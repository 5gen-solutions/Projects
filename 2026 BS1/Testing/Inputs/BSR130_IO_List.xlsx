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tim_sleight_riotinto_com/Documents/Desktop/New folder/"/>
    </mc:Choice>
  </mc:AlternateContent>
  <xr:revisionPtr revIDLastSave="5" documentId="11_F25DC773A252ABDACC1048E3099D58485ADE5906" xr6:coauthVersionLast="47" xr6:coauthVersionMax="47" xr10:uidLastSave="{0CEDB677-06CE-45EE-919C-7F1DDCFAB746}"/>
  <bookViews>
    <workbookView xWindow="28680" yWindow="-120" windowWidth="29040" windowHeight="15720" xr2:uid="{00000000-000D-0000-FFFF-FFFF00000000}"/>
  </bookViews>
  <sheets>
    <sheet name="Sub IO Assignment" sheetId="3" r:id="rId1"/>
    <sheet name="Field IO Assignment" sheetId="4" r:id="rId2"/>
  </sheets>
  <externalReferences>
    <externalReference r:id="rId3"/>
  </externalReferences>
  <definedNames>
    <definedName name="_xlnm._FilterDatabase" localSheetId="1" hidden="1">'Field IO Assignment'!$A$1:$AO$1318</definedName>
    <definedName name="_xlnm._FilterDatabase" localSheetId="0" hidden="1">'Sub IO Assignment'!$A$1:$AH$1832</definedName>
    <definedName name="Devices">[1]dropdowns!$C$10:$J$10</definedName>
    <definedName name="Drives_Starter">#REF!</definedName>
    <definedName name="Drives_Starters">[1]dropdowns!$C$28:$M$28</definedName>
    <definedName name="_xlnm.Print_Area" localSheetId="1">'Field IO Assignment'!$A$1:$W$1</definedName>
    <definedName name="_xlnm.Print_Titles" localSheetId="0">'Sub IO Assignment'!$1:$1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4" l="1"/>
  <c r="C7" i="4" s="1"/>
  <c r="C8" i="4" s="1"/>
  <c r="F6" i="4"/>
  <c r="F7" i="4" s="1"/>
  <c r="F8" i="4"/>
  <c r="F9" i="4" s="1"/>
  <c r="M8" i="4"/>
  <c r="O8" i="4"/>
  <c r="Q8" i="4" s="1"/>
  <c r="C9" i="4"/>
  <c r="C10" i="4" s="1"/>
  <c r="C11" i="4" s="1"/>
  <c r="C12" i="4" s="1"/>
  <c r="C13" i="4" s="1"/>
  <c r="C14" i="4" s="1"/>
  <c r="C15" i="4" s="1"/>
  <c r="C16" i="4" s="1"/>
  <c r="H9" i="4"/>
  <c r="A10" i="4"/>
  <c r="I10" i="4"/>
  <c r="A11" i="4"/>
  <c r="A12" i="4" s="1"/>
  <c r="I11" i="4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A13" i="4"/>
  <c r="A14" i="4" s="1"/>
  <c r="A15" i="4" s="1"/>
  <c r="A16" i="4" s="1"/>
  <c r="A17" i="4" s="1"/>
  <c r="A18" i="4" s="1"/>
  <c r="C17" i="4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A19" i="4"/>
  <c r="A20" i="4" s="1"/>
  <c r="A21" i="4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2" i="4"/>
  <c r="A43" i="4" s="1"/>
  <c r="H42" i="4"/>
  <c r="I42" i="4"/>
  <c r="H43" i="4"/>
  <c r="H44" i="4" s="1"/>
  <c r="H45" i="4" s="1"/>
  <c r="H46" i="4" s="1"/>
  <c r="H47" i="4" s="1"/>
  <c r="H48" i="4" s="1"/>
  <c r="H49" i="4" s="1"/>
  <c r="H50" i="4" s="1"/>
  <c r="I43" i="4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A44" i="4"/>
  <c r="A45" i="4" s="1"/>
  <c r="A46" i="4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H51" i="4"/>
  <c r="H52" i="4" s="1"/>
  <c r="H53" i="4" s="1"/>
  <c r="H54" i="4" s="1"/>
  <c r="H55" i="4" s="1"/>
  <c r="H56" i="4" s="1"/>
  <c r="A58" i="4"/>
  <c r="A59" i="4" s="1"/>
  <c r="A60" i="4" s="1"/>
  <c r="A61" i="4" s="1"/>
  <c r="A62" i="4" s="1"/>
  <c r="A63" i="4" s="1"/>
  <c r="A64" i="4" s="1"/>
  <c r="A65" i="4" s="1"/>
  <c r="H58" i="4"/>
  <c r="H59" i="4" s="1"/>
  <c r="H60" i="4" s="1"/>
  <c r="H61" i="4" s="1"/>
  <c r="H62" i="4" s="1"/>
  <c r="H63" i="4" s="1"/>
  <c r="I58" i="4"/>
  <c r="I59" i="4" s="1"/>
  <c r="I60" i="4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H64" i="4"/>
  <c r="H65" i="4" s="1"/>
  <c r="H66" i="4" s="1"/>
  <c r="H67" i="4" s="1"/>
  <c r="H68" i="4" s="1"/>
  <c r="H69" i="4" s="1"/>
  <c r="H70" i="4" s="1"/>
  <c r="H71" i="4" s="1"/>
  <c r="H72" i="4" s="1"/>
  <c r="A66" i="4"/>
  <c r="A67" i="4" s="1"/>
  <c r="A68" i="4" s="1"/>
  <c r="A69" i="4" s="1"/>
  <c r="A70" i="4" s="1"/>
  <c r="A71" i="4" s="1"/>
  <c r="A72" i="4" s="1"/>
  <c r="I71" i="4"/>
  <c r="I72" i="4" s="1"/>
  <c r="A74" i="4"/>
  <c r="H74" i="4"/>
  <c r="H75" i="4" s="1"/>
  <c r="H76" i="4" s="1"/>
  <c r="H77" i="4" s="1"/>
  <c r="H78" i="4" s="1"/>
  <c r="H79" i="4" s="1"/>
  <c r="H80" i="4" s="1"/>
  <c r="I74" i="4"/>
  <c r="I75" i="4" s="1"/>
  <c r="I76" i="4" s="1"/>
  <c r="I77" i="4" s="1"/>
  <c r="A75" i="4"/>
  <c r="A76" i="4" s="1"/>
  <c r="A77" i="4" s="1"/>
  <c r="A78" i="4" s="1"/>
  <c r="A79" i="4" s="1"/>
  <c r="A80" i="4" s="1"/>
  <c r="I78" i="4"/>
  <c r="I79" i="4" s="1"/>
  <c r="I80" i="4" s="1"/>
  <c r="A82" i="4"/>
  <c r="H82" i="4"/>
  <c r="A83" i="4"/>
  <c r="H83" i="4"/>
  <c r="H84" i="4" s="1"/>
  <c r="A84" i="4"/>
  <c r="A86" i="4"/>
  <c r="A87" i="4" s="1"/>
  <c r="A88" i="4" s="1"/>
  <c r="H86" i="4"/>
  <c r="H87" i="4" s="1"/>
  <c r="H88" i="4" s="1"/>
  <c r="A90" i="4"/>
  <c r="H90" i="4"/>
  <c r="A91" i="4"/>
  <c r="A92" i="4" s="1"/>
  <c r="H91" i="4"/>
  <c r="H92" i="4" s="1"/>
  <c r="A94" i="4"/>
  <c r="A95" i="4" s="1"/>
  <c r="A96" i="4" s="1"/>
  <c r="H94" i="4"/>
  <c r="H95" i="4" s="1"/>
  <c r="H96" i="4" s="1"/>
  <c r="C97" i="4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A98" i="4"/>
  <c r="H98" i="4"/>
  <c r="A99" i="4"/>
  <c r="A100" i="4" s="1"/>
  <c r="H99" i="4"/>
  <c r="H100" i="4" s="1"/>
  <c r="H101" i="4"/>
  <c r="H105" i="4" s="1"/>
  <c r="A102" i="4"/>
  <c r="A103" i="4" s="1"/>
  <c r="A104" i="4" s="1"/>
  <c r="H102" i="4"/>
  <c r="H103" i="4" s="1"/>
  <c r="H104" i="4" s="1"/>
  <c r="A106" i="4"/>
  <c r="H106" i="4"/>
  <c r="H107" i="4" s="1"/>
  <c r="H108" i="4" s="1"/>
  <c r="A107" i="4"/>
  <c r="A108" i="4" s="1"/>
  <c r="C129" i="4"/>
  <c r="E129" i="4"/>
  <c r="F129" i="4"/>
  <c r="F130" i="4" s="1"/>
  <c r="F131" i="4" s="1"/>
  <c r="F132" i="4" s="1"/>
  <c r="F133" i="4" s="1"/>
  <c r="C130" i="4"/>
  <c r="C131" i="4" s="1"/>
  <c r="E130" i="4"/>
  <c r="E131" i="4" s="1"/>
  <c r="E132" i="4" s="1"/>
  <c r="M131" i="4"/>
  <c r="O131" i="4"/>
  <c r="Q131" i="4"/>
  <c r="C132" i="4"/>
  <c r="H132" i="4"/>
  <c r="H133" i="4" s="1"/>
  <c r="C133" i="4"/>
  <c r="I133" i="4"/>
  <c r="A134" i="4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C134" i="4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F134" i="4"/>
  <c r="F135" i="4" s="1"/>
  <c r="F136" i="4" s="1"/>
  <c r="H134" i="4"/>
  <c r="H137" i="4" s="1"/>
  <c r="H140" i="4" s="1"/>
  <c r="H143" i="4" s="1"/>
  <c r="H146" i="4" s="1"/>
  <c r="H150" i="4" s="1"/>
  <c r="I134" i="4"/>
  <c r="I135" i="4"/>
  <c r="I136" i="4" s="1"/>
  <c r="I137" i="4" s="1"/>
  <c r="I138" i="4" s="1"/>
  <c r="I139" i="4" s="1"/>
  <c r="H136" i="4"/>
  <c r="F137" i="4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H139" i="4"/>
  <c r="I140" i="4"/>
  <c r="I141" i="4" s="1"/>
  <c r="I142" i="4" s="1"/>
  <c r="I143" i="4" s="1"/>
  <c r="I144" i="4" s="1"/>
  <c r="H142" i="4"/>
  <c r="H145" i="4" s="1"/>
  <c r="H149" i="4" s="1"/>
  <c r="H153" i="4" s="1"/>
  <c r="H157" i="4" s="1"/>
  <c r="H161" i="4" s="1"/>
  <c r="I145" i="4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H147" i="4"/>
  <c r="H151" i="4"/>
  <c r="H155" i="4" s="1"/>
  <c r="H159" i="4" s="1"/>
  <c r="H163" i="4" s="1"/>
  <c r="H154" i="4"/>
  <c r="C157" i="4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H158" i="4"/>
  <c r="H162" i="4" s="1"/>
  <c r="A165" i="4"/>
  <c r="I165" i="4"/>
  <c r="I166" i="4" s="1"/>
  <c r="I167" i="4" s="1"/>
  <c r="A166" i="4"/>
  <c r="A167" i="4"/>
  <c r="A168" i="4" s="1"/>
  <c r="A169" i="4" s="1"/>
  <c r="A170" i="4" s="1"/>
  <c r="A171" i="4" s="1"/>
  <c r="A172" i="4" s="1"/>
  <c r="A173" i="4" s="1"/>
  <c r="I168" i="4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A174" i="4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I185" i="4"/>
  <c r="I186" i="4" s="1"/>
  <c r="I187" i="4" s="1"/>
  <c r="I188" i="4" s="1"/>
  <c r="I189" i="4" s="1"/>
  <c r="I190" i="4" s="1"/>
  <c r="I191" i="4" s="1"/>
  <c r="I192" i="4" s="1"/>
  <c r="I193" i="4" s="1"/>
  <c r="I194" i="4" s="1"/>
  <c r="I195" i="4" s="1"/>
  <c r="A197" i="4"/>
  <c r="A198" i="4" s="1"/>
  <c r="A199" i="4" s="1"/>
  <c r="A200" i="4" s="1"/>
  <c r="A201" i="4" s="1"/>
  <c r="A202" i="4" s="1"/>
  <c r="A203" i="4" s="1"/>
  <c r="I197" i="4"/>
  <c r="I198" i="4"/>
  <c r="I199" i="4" s="1"/>
  <c r="I200" i="4" s="1"/>
  <c r="I201" i="4" s="1"/>
  <c r="I202" i="4" s="1"/>
  <c r="I203" i="4" s="1"/>
  <c r="I204" i="4" s="1"/>
  <c r="I205" i="4" s="1"/>
  <c r="I206" i="4" s="1"/>
  <c r="I207" i="4" s="1"/>
  <c r="I208" i="4" s="1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19" i="4" s="1"/>
  <c r="I220" i="4" s="1"/>
  <c r="I221" i="4" s="1"/>
  <c r="I222" i="4" s="1"/>
  <c r="I223" i="4" s="1"/>
  <c r="I224" i="4" s="1"/>
  <c r="I225" i="4" s="1"/>
  <c r="I226" i="4" s="1"/>
  <c r="I227" i="4" s="1"/>
  <c r="A204" i="4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9" i="4"/>
  <c r="H229" i="4"/>
  <c r="H230" i="4" s="1"/>
  <c r="I229" i="4"/>
  <c r="A230" i="4"/>
  <c r="I230" i="4"/>
  <c r="A231" i="4"/>
  <c r="A232" i="4" s="1"/>
  <c r="H231" i="4"/>
  <c r="I231" i="4"/>
  <c r="I232" i="4" s="1"/>
  <c r="I233" i="4" s="1"/>
  <c r="I234" i="4" s="1"/>
  <c r="I235" i="4" s="1"/>
  <c r="I236" i="4" s="1"/>
  <c r="I237" i="4" s="1"/>
  <c r="I238" i="4" s="1"/>
  <c r="H232" i="4"/>
  <c r="A233" i="4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H233" i="4"/>
  <c r="H234" i="4"/>
  <c r="H235" i="4" s="1"/>
  <c r="H236" i="4"/>
  <c r="H237" i="4" s="1"/>
  <c r="H238" i="4" s="1"/>
  <c r="H239" i="4" s="1"/>
  <c r="H240" i="4" s="1"/>
  <c r="H241" i="4" s="1"/>
  <c r="H242" i="4" s="1"/>
  <c r="H243" i="4" s="1"/>
  <c r="I239" i="4"/>
  <c r="I240" i="4" s="1"/>
  <c r="I241" i="4" s="1"/>
  <c r="I242" i="4" s="1"/>
  <c r="I243" i="4" s="1"/>
  <c r="A245" i="4"/>
  <c r="H245" i="4"/>
  <c r="I245" i="4"/>
  <c r="I246" i="4" s="1"/>
  <c r="A246" i="4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H246" i="4"/>
  <c r="H247" i="4" s="1"/>
  <c r="H248" i="4" s="1"/>
  <c r="H249" i="4" s="1"/>
  <c r="H250" i="4" s="1"/>
  <c r="H251" i="4" s="1"/>
  <c r="H252" i="4" s="1"/>
  <c r="H253" i="4" s="1"/>
  <c r="H254" i="4" s="1"/>
  <c r="H255" i="4" s="1"/>
  <c r="H256" i="4" s="1"/>
  <c r="H257" i="4" s="1"/>
  <c r="H258" i="4" s="1"/>
  <c r="H259" i="4" s="1"/>
  <c r="I247" i="4"/>
  <c r="I248" i="4" s="1"/>
  <c r="I249" i="4" s="1"/>
  <c r="I250" i="4" s="1"/>
  <c r="I251" i="4" s="1"/>
  <c r="I252" i="4" s="1"/>
  <c r="I253" i="4" s="1"/>
  <c r="I254" i="4" s="1"/>
  <c r="I255" i="4" s="1"/>
  <c r="I256" i="4"/>
  <c r="I257" i="4" s="1"/>
  <c r="I258" i="4" s="1"/>
  <c r="I259" i="4" s="1"/>
  <c r="A261" i="4"/>
  <c r="H261" i="4"/>
  <c r="I261" i="4"/>
  <c r="A262" i="4"/>
  <c r="A263" i="4" s="1"/>
  <c r="A264" i="4" s="1"/>
  <c r="A265" i="4" s="1"/>
  <c r="A266" i="4" s="1"/>
  <c r="A267" i="4" s="1"/>
  <c r="H262" i="4"/>
  <c r="H263" i="4" s="1"/>
  <c r="I262" i="4"/>
  <c r="I263" i="4" s="1"/>
  <c r="I264" i="4" s="1"/>
  <c r="I265" i="4" s="1"/>
  <c r="I266" i="4" s="1"/>
  <c r="I267" i="4" s="1"/>
  <c r="H264" i="4"/>
  <c r="H265" i="4" s="1"/>
  <c r="H266" i="4" s="1"/>
  <c r="H267" i="4" s="1"/>
  <c r="A269" i="4"/>
  <c r="H269" i="4"/>
  <c r="H270" i="4" s="1"/>
  <c r="H271" i="4" s="1"/>
  <c r="H272" i="4" s="1"/>
  <c r="H273" i="4" s="1"/>
  <c r="H274" i="4" s="1"/>
  <c r="H275" i="4" s="1"/>
  <c r="I269" i="4"/>
  <c r="I270" i="4" s="1"/>
  <c r="A270" i="4"/>
  <c r="A271" i="4" s="1"/>
  <c r="A272" i="4" s="1"/>
  <c r="A273" i="4" s="1"/>
  <c r="A274" i="4" s="1"/>
  <c r="A275" i="4" s="1"/>
  <c r="I271" i="4"/>
  <c r="I272" i="4" s="1"/>
  <c r="I273" i="4" s="1"/>
  <c r="I274" i="4" s="1"/>
  <c r="I275" i="4" s="1"/>
  <c r="A277" i="4"/>
  <c r="H277" i="4"/>
  <c r="I277" i="4"/>
  <c r="A278" i="4"/>
  <c r="A279" i="4" s="1"/>
  <c r="A280" i="4" s="1"/>
  <c r="A281" i="4" s="1"/>
  <c r="A282" i="4" s="1"/>
  <c r="A283" i="4" s="1"/>
  <c r="H278" i="4"/>
  <c r="H279" i="4" s="1"/>
  <c r="I278" i="4"/>
  <c r="I279" i="4"/>
  <c r="I280" i="4" s="1"/>
  <c r="I281" i="4" s="1"/>
  <c r="I282" i="4" s="1"/>
  <c r="I283" i="4" s="1"/>
  <c r="H280" i="4"/>
  <c r="H281" i="4" s="1"/>
  <c r="H282" i="4" s="1"/>
  <c r="H283" i="4" s="1"/>
  <c r="A285" i="4"/>
  <c r="H285" i="4"/>
  <c r="A286" i="4"/>
  <c r="A287" i="4" s="1"/>
  <c r="H286" i="4"/>
  <c r="H287" i="4" s="1"/>
  <c r="A289" i="4"/>
  <c r="A290" i="4" s="1"/>
  <c r="H289" i="4"/>
  <c r="H290" i="4" s="1"/>
  <c r="H291" i="4" s="1"/>
  <c r="A291" i="4"/>
  <c r="A293" i="4"/>
  <c r="H293" i="4"/>
  <c r="A294" i="4"/>
  <c r="H294" i="4"/>
  <c r="H295" i="4" s="1"/>
  <c r="A295" i="4"/>
  <c r="E316" i="4"/>
  <c r="E317" i="4" s="1"/>
  <c r="E318" i="4" s="1"/>
  <c r="E319" i="4" s="1"/>
  <c r="F316" i="4"/>
  <c r="C317" i="4"/>
  <c r="C318" i="4" s="1"/>
  <c r="C319" i="4" s="1"/>
  <c r="F317" i="4"/>
  <c r="F318" i="4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M318" i="4"/>
  <c r="O318" i="4"/>
  <c r="Q318" i="4" s="1"/>
  <c r="H319" i="4"/>
  <c r="C320" i="4"/>
  <c r="C321" i="4" s="1"/>
  <c r="C322" i="4" s="1"/>
  <c r="I320" i="4"/>
  <c r="A321" i="4"/>
  <c r="I321" i="4"/>
  <c r="I322" i="4" s="1"/>
  <c r="A322" i="4"/>
  <c r="A323" i="4"/>
  <c r="A324" i="4" s="1"/>
  <c r="A325" i="4" s="1"/>
  <c r="A326" i="4" s="1"/>
  <c r="A327" i="4" s="1"/>
  <c r="A328" i="4" s="1"/>
  <c r="A329" i="4" s="1"/>
  <c r="A330" i="4" s="1"/>
  <c r="C323" i="4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C403" i="4" s="1"/>
  <c r="I323" i="4"/>
  <c r="I324" i="4" s="1"/>
  <c r="I325" i="4" s="1"/>
  <c r="I326" i="4" s="1"/>
  <c r="I327" i="4" s="1"/>
  <c r="I328" i="4" s="1"/>
  <c r="I329" i="4" s="1"/>
  <c r="I330" i="4" s="1"/>
  <c r="I331" i="4" s="1"/>
  <c r="I332" i="4" s="1"/>
  <c r="A331" i="4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I333" i="4"/>
  <c r="I334" i="4" s="1"/>
  <c r="I335" i="4" s="1"/>
  <c r="I336" i="4" s="1"/>
  <c r="I337" i="4" s="1"/>
  <c r="I338" i="4" s="1"/>
  <c r="I339" i="4" s="1"/>
  <c r="I340" i="4" s="1"/>
  <c r="I341" i="4" s="1"/>
  <c r="I342" i="4" s="1"/>
  <c r="I343" i="4" s="1"/>
  <c r="I344" i="4" s="1"/>
  <c r="I345" i="4" s="1"/>
  <c r="I346" i="4" s="1"/>
  <c r="I347" i="4" s="1"/>
  <c r="I348" i="4" s="1"/>
  <c r="I349" i="4" s="1"/>
  <c r="I350" i="4" s="1"/>
  <c r="A352" i="4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I352" i="4"/>
  <c r="I353" i="4"/>
  <c r="I354" i="4" s="1"/>
  <c r="I355" i="4" s="1"/>
  <c r="I356" i="4" s="1"/>
  <c r="I357" i="4" s="1"/>
  <c r="I358" i="4" s="1"/>
  <c r="I359" i="4" s="1"/>
  <c r="I360" i="4" s="1"/>
  <c r="I361" i="4" s="1"/>
  <c r="I362" i="4" s="1"/>
  <c r="I363" i="4" s="1"/>
  <c r="I364" i="4" s="1"/>
  <c r="I365" i="4" s="1"/>
  <c r="I366" i="4" s="1"/>
  <c r="I367" i="4" s="1"/>
  <c r="I368" i="4" s="1"/>
  <c r="I369" i="4" s="1"/>
  <c r="A365" i="4"/>
  <c r="A366" i="4" s="1"/>
  <c r="A367" i="4" s="1"/>
  <c r="A368" i="4" s="1"/>
  <c r="A369" i="4" s="1"/>
  <c r="A370" i="4" s="1"/>
  <c r="A371" i="4" s="1"/>
  <c r="A372" i="4" s="1"/>
  <c r="A373" i="4" s="1"/>
  <c r="I370" i="4"/>
  <c r="I371" i="4" s="1"/>
  <c r="I372" i="4" s="1"/>
  <c r="I373" i="4" s="1"/>
  <c r="I374" i="4" s="1"/>
  <c r="I375" i="4" s="1"/>
  <c r="I376" i="4" s="1"/>
  <c r="I377" i="4" s="1"/>
  <c r="I378" i="4" s="1"/>
  <c r="I379" i="4" s="1"/>
  <c r="I380" i="4" s="1"/>
  <c r="I381" i="4" s="1"/>
  <c r="I382" i="4" s="1"/>
  <c r="A374" i="4"/>
  <c r="A375" i="4" s="1"/>
  <c r="A376" i="4" s="1"/>
  <c r="A377" i="4" s="1"/>
  <c r="A378" i="4" s="1"/>
  <c r="A379" i="4" s="1"/>
  <c r="A380" i="4" s="1"/>
  <c r="A381" i="4" s="1"/>
  <c r="A382" i="4" s="1"/>
  <c r="A384" i="4"/>
  <c r="H384" i="4"/>
  <c r="H385" i="4" s="1"/>
  <c r="H386" i="4" s="1"/>
  <c r="H387" i="4" s="1"/>
  <c r="H388" i="4" s="1"/>
  <c r="H389" i="4" s="1"/>
  <c r="H390" i="4" s="1"/>
  <c r="H391" i="4" s="1"/>
  <c r="H392" i="4" s="1"/>
  <c r="H393" i="4" s="1"/>
  <c r="H394" i="4" s="1"/>
  <c r="H395" i="4" s="1"/>
  <c r="H396" i="4" s="1"/>
  <c r="H397" i="4" s="1"/>
  <c r="H398" i="4" s="1"/>
  <c r="I384" i="4"/>
  <c r="I385" i="4" s="1"/>
  <c r="A385" i="4"/>
  <c r="A386" i="4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I386" i="4"/>
  <c r="I387" i="4" s="1"/>
  <c r="I388" i="4" s="1"/>
  <c r="F388" i="4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I389" i="4"/>
  <c r="I390" i="4" s="1"/>
  <c r="I391" i="4" s="1"/>
  <c r="I392" i="4" s="1"/>
  <c r="I393" i="4" s="1"/>
  <c r="I394" i="4" s="1"/>
  <c r="I395" i="4" s="1"/>
  <c r="I396" i="4" s="1"/>
  <c r="I397" i="4" s="1"/>
  <c r="I398" i="4" s="1"/>
  <c r="A400" i="4"/>
  <c r="A401" i="4" s="1"/>
  <c r="H400" i="4"/>
  <c r="H401" i="4" s="1"/>
  <c r="I400" i="4"/>
  <c r="I401" i="4" s="1"/>
  <c r="I402" i="4" s="1"/>
  <c r="I403" i="4" s="1"/>
  <c r="I404" i="4" s="1"/>
  <c r="I405" i="4" s="1"/>
  <c r="I406" i="4" s="1"/>
  <c r="A402" i="4"/>
  <c r="A403" i="4" s="1"/>
  <c r="H402" i="4"/>
  <c r="H403" i="4" s="1"/>
  <c r="H404" i="4" s="1"/>
  <c r="A404" i="4"/>
  <c r="A405" i="4" s="1"/>
  <c r="A406" i="4" s="1"/>
  <c r="C404" i="4"/>
  <c r="C405" i="4" s="1"/>
  <c r="C406" i="4" s="1"/>
  <c r="C407" i="4" s="1"/>
  <c r="C408" i="4" s="1"/>
  <c r="C409" i="4" s="1"/>
  <c r="C410" i="4" s="1"/>
  <c r="C411" i="4" s="1"/>
  <c r="C412" i="4" s="1"/>
  <c r="C413" i="4" s="1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H405" i="4"/>
  <c r="H406" i="4" s="1"/>
  <c r="A408" i="4"/>
  <c r="H408" i="4"/>
  <c r="H409" i="4" s="1"/>
  <c r="H410" i="4" s="1"/>
  <c r="H411" i="4" s="1"/>
  <c r="I408" i="4"/>
  <c r="A409" i="4"/>
  <c r="A410" i="4" s="1"/>
  <c r="A411" i="4" s="1"/>
  <c r="A412" i="4" s="1"/>
  <c r="A413" i="4" s="1"/>
  <c r="A414" i="4" s="1"/>
  <c r="I409" i="4"/>
  <c r="I410" i="4"/>
  <c r="I411" i="4" s="1"/>
  <c r="I412" i="4" s="1"/>
  <c r="I413" i="4" s="1"/>
  <c r="I414" i="4" s="1"/>
  <c r="H412" i="4"/>
  <c r="H413" i="4" s="1"/>
  <c r="H414" i="4" s="1"/>
  <c r="A416" i="4"/>
  <c r="H416" i="4"/>
  <c r="H417" i="4" s="1"/>
  <c r="I416" i="4"/>
  <c r="I417" i="4" s="1"/>
  <c r="I418" i="4" s="1"/>
  <c r="I419" i="4" s="1"/>
  <c r="A417" i="4"/>
  <c r="A418" i="4"/>
  <c r="A419" i="4" s="1"/>
  <c r="A420" i="4" s="1"/>
  <c r="A421" i="4" s="1"/>
  <c r="A422" i="4" s="1"/>
  <c r="H418" i="4"/>
  <c r="H419" i="4" s="1"/>
  <c r="H420" i="4" s="1"/>
  <c r="I420" i="4"/>
  <c r="I421" i="4" s="1"/>
  <c r="I422" i="4" s="1"/>
  <c r="H421" i="4"/>
  <c r="H422" i="4" s="1"/>
  <c r="A424" i="4"/>
  <c r="A425" i="4" s="1"/>
  <c r="H424" i="4"/>
  <c r="H425" i="4" s="1"/>
  <c r="I424" i="4"/>
  <c r="I425" i="4" s="1"/>
  <c r="I426" i="4" s="1"/>
  <c r="A426" i="4"/>
  <c r="A427" i="4" s="1"/>
  <c r="A428" i="4" s="1"/>
  <c r="A429" i="4" s="1"/>
  <c r="H426" i="4"/>
  <c r="H427" i="4" s="1"/>
  <c r="H428" i="4" s="1"/>
  <c r="H429" i="4" s="1"/>
  <c r="H430" i="4" s="1"/>
  <c r="I427" i="4"/>
  <c r="I428" i="4"/>
  <c r="I429" i="4"/>
  <c r="I430" i="4" s="1"/>
  <c r="A430" i="4"/>
  <c r="A432" i="4"/>
  <c r="A433" i="4" s="1"/>
  <c r="H432" i="4"/>
  <c r="H433" i="4" s="1"/>
  <c r="H434" i="4" s="1"/>
  <c r="A434" i="4"/>
  <c r="A436" i="4"/>
  <c r="H436" i="4"/>
  <c r="A437" i="4"/>
  <c r="A438" i="4" s="1"/>
  <c r="H437" i="4"/>
  <c r="H438" i="4" s="1"/>
  <c r="A440" i="4"/>
  <c r="A441" i="4" s="1"/>
  <c r="H440" i="4"/>
  <c r="H441" i="4" s="1"/>
  <c r="H442" i="4" s="1"/>
  <c r="A442" i="4"/>
  <c r="A444" i="4"/>
  <c r="H444" i="4"/>
  <c r="H445" i="4" s="1"/>
  <c r="H446" i="4" s="1"/>
  <c r="A445" i="4"/>
  <c r="A446" i="4" s="1"/>
  <c r="C468" i="4"/>
  <c r="C469" i="4" s="1"/>
  <c r="C470" i="4" s="1"/>
  <c r="C471" i="4" s="1"/>
  <c r="C472" i="4" s="1"/>
  <c r="C473" i="4" s="1"/>
  <c r="C474" i="4" s="1"/>
  <c r="C475" i="4" s="1"/>
  <c r="E468" i="4"/>
  <c r="E469" i="4" s="1"/>
  <c r="E470" i="4" s="1"/>
  <c r="E471" i="4" s="1"/>
  <c r="F468" i="4"/>
  <c r="F469" i="4"/>
  <c r="F470" i="4" s="1"/>
  <c r="F471" i="4" s="1"/>
  <c r="F472" i="4" s="1"/>
  <c r="F473" i="4" s="1"/>
  <c r="F474" i="4" s="1"/>
  <c r="M470" i="4"/>
  <c r="O470" i="4"/>
  <c r="Q470" i="4"/>
  <c r="H472" i="4"/>
  <c r="I472" i="4"/>
  <c r="I473" i="4" s="1"/>
  <c r="I474" i="4" s="1"/>
  <c r="I475" i="4" s="1"/>
  <c r="I476" i="4" s="1"/>
  <c r="I477" i="4" s="1"/>
  <c r="I478" i="4" s="1"/>
  <c r="I479" i="4" s="1"/>
  <c r="I480" i="4" s="1"/>
  <c r="A473" i="4"/>
  <c r="H473" i="4"/>
  <c r="A474" i="4"/>
  <c r="A475" i="4" s="1"/>
  <c r="A476" i="4" s="1"/>
  <c r="A477" i="4" s="1"/>
  <c r="H474" i="4"/>
  <c r="H477" i="4" s="1"/>
  <c r="F475" i="4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H475" i="4"/>
  <c r="H478" i="4" s="1"/>
  <c r="C476" i="4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H476" i="4"/>
  <c r="A478" i="4"/>
  <c r="A479" i="4" s="1"/>
  <c r="H479" i="4"/>
  <c r="H482" i="4" s="1"/>
  <c r="A480" i="4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H480" i="4"/>
  <c r="H483" i="4" s="1"/>
  <c r="H487" i="4" s="1"/>
  <c r="H481" i="4"/>
  <c r="H484" i="4" s="1"/>
  <c r="H488" i="4" s="1"/>
  <c r="H492" i="4" s="1"/>
  <c r="H496" i="4" s="1"/>
  <c r="H500" i="4" s="1"/>
  <c r="I481" i="4"/>
  <c r="I482" i="4" s="1"/>
  <c r="I483" i="4" s="1"/>
  <c r="I484" i="4" s="1"/>
  <c r="I485" i="4" s="1"/>
  <c r="I486" i="4" s="1"/>
  <c r="I487" i="4" s="1"/>
  <c r="I488" i="4" s="1"/>
  <c r="I489" i="4" s="1"/>
  <c r="I490" i="4" s="1"/>
  <c r="C489" i="4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I491" i="4"/>
  <c r="I492" i="4" s="1"/>
  <c r="I493" i="4" s="1"/>
  <c r="I494" i="4" s="1"/>
  <c r="I495" i="4" s="1"/>
  <c r="I496" i="4" s="1"/>
  <c r="I497" i="4" s="1"/>
  <c r="I498" i="4" s="1"/>
  <c r="I499" i="4" s="1"/>
  <c r="I500" i="4" s="1"/>
  <c r="I501" i="4" s="1"/>
  <c r="I502" i="4" s="1"/>
  <c r="C503" i="4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A504" i="4"/>
  <c r="I504" i="4"/>
  <c r="A505" i="4"/>
  <c r="A506" i="4" s="1"/>
  <c r="A507" i="4" s="1"/>
  <c r="I505" i="4"/>
  <c r="I506" i="4" s="1"/>
  <c r="I507" i="4" s="1"/>
  <c r="I508" i="4" s="1"/>
  <c r="I509" i="4" s="1"/>
  <c r="I510" i="4" s="1"/>
  <c r="I511" i="4" s="1"/>
  <c r="I512" i="4" s="1"/>
  <c r="I513" i="4" s="1"/>
  <c r="I514" i="4" s="1"/>
  <c r="I515" i="4" s="1"/>
  <c r="I516" i="4" s="1"/>
  <c r="I517" i="4" s="1"/>
  <c r="I518" i="4" s="1"/>
  <c r="I519" i="4" s="1"/>
  <c r="I520" i="4" s="1"/>
  <c r="I521" i="4" s="1"/>
  <c r="I522" i="4" s="1"/>
  <c r="I523" i="4" s="1"/>
  <c r="I524" i="4" s="1"/>
  <c r="I525" i="4" s="1"/>
  <c r="I526" i="4" s="1"/>
  <c r="I527" i="4" s="1"/>
  <c r="I528" i="4" s="1"/>
  <c r="I529" i="4" s="1"/>
  <c r="I530" i="4" s="1"/>
  <c r="I531" i="4" s="1"/>
  <c r="I532" i="4" s="1"/>
  <c r="I533" i="4" s="1"/>
  <c r="I534" i="4" s="1"/>
  <c r="A508" i="4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F511" i="4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A536" i="4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I536" i="4"/>
  <c r="I537" i="4"/>
  <c r="I538" i="4"/>
  <c r="I539" i="4"/>
  <c r="I540" i="4" s="1"/>
  <c r="I541" i="4" s="1"/>
  <c r="I542" i="4" s="1"/>
  <c r="I543" i="4" s="1"/>
  <c r="I544" i="4" s="1"/>
  <c r="I545" i="4" s="1"/>
  <c r="I546" i="4" s="1"/>
  <c r="I547" i="4" s="1"/>
  <c r="I548" i="4" s="1"/>
  <c r="I549" i="4" s="1"/>
  <c r="I550" i="4" s="1"/>
  <c r="I551" i="4" s="1"/>
  <c r="I552" i="4" s="1"/>
  <c r="I553" i="4" s="1"/>
  <c r="I554" i="4" s="1"/>
  <c r="I555" i="4" s="1"/>
  <c r="I556" i="4" s="1"/>
  <c r="I557" i="4" s="1"/>
  <c r="I558" i="4" s="1"/>
  <c r="I559" i="4" s="1"/>
  <c r="I560" i="4" s="1"/>
  <c r="I561" i="4" s="1"/>
  <c r="I562" i="4" s="1"/>
  <c r="I563" i="4" s="1"/>
  <c r="I564" i="4" s="1"/>
  <c r="I565" i="4" s="1"/>
  <c r="I566" i="4" s="1"/>
  <c r="A549" i="4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8" i="4"/>
  <c r="A569" i="4" s="1"/>
  <c r="A570" i="4" s="1"/>
  <c r="H568" i="4"/>
  <c r="H569" i="4" s="1"/>
  <c r="H570" i="4" s="1"/>
  <c r="H571" i="4" s="1"/>
  <c r="H572" i="4" s="1"/>
  <c r="H573" i="4" s="1"/>
  <c r="H574" i="4" s="1"/>
  <c r="I568" i="4"/>
  <c r="I569" i="4" s="1"/>
  <c r="I570" i="4" s="1"/>
  <c r="I571" i="4" s="1"/>
  <c r="I572" i="4" s="1"/>
  <c r="I573" i="4" s="1"/>
  <c r="A571" i="4"/>
  <c r="A572" i="4" s="1"/>
  <c r="A573" i="4" s="1"/>
  <c r="A574" i="4" s="1"/>
  <c r="A575" i="4" s="1"/>
  <c r="A576" i="4" s="1"/>
  <c r="A577" i="4" s="1"/>
  <c r="A578" i="4" s="1"/>
  <c r="A579" i="4" s="1"/>
  <c r="A580" i="4" s="1"/>
  <c r="I574" i="4"/>
  <c r="I575" i="4" s="1"/>
  <c r="I576" i="4" s="1"/>
  <c r="I577" i="4" s="1"/>
  <c r="I578" i="4" s="1"/>
  <c r="I579" i="4" s="1"/>
  <c r="I580" i="4" s="1"/>
  <c r="I581" i="4" s="1"/>
  <c r="I582" i="4" s="1"/>
  <c r="H575" i="4"/>
  <c r="H576" i="4" s="1"/>
  <c r="H577" i="4" s="1"/>
  <c r="H578" i="4" s="1"/>
  <c r="H579" i="4" s="1"/>
  <c r="H580" i="4" s="1"/>
  <c r="H581" i="4" s="1"/>
  <c r="H582" i="4" s="1"/>
  <c r="A581" i="4"/>
  <c r="A582" i="4" s="1"/>
  <c r="A584" i="4"/>
  <c r="H584" i="4"/>
  <c r="H585" i="4" s="1"/>
  <c r="H586" i="4" s="1"/>
  <c r="H587" i="4" s="1"/>
  <c r="I584" i="4"/>
  <c r="A585" i="4"/>
  <c r="A586" i="4" s="1"/>
  <c r="A587" i="4" s="1"/>
  <c r="A588" i="4" s="1"/>
  <c r="A589" i="4" s="1"/>
  <c r="A590" i="4" s="1"/>
  <c r="I585" i="4"/>
  <c r="I586" i="4"/>
  <c r="I587" i="4" s="1"/>
  <c r="H588" i="4"/>
  <c r="I588" i="4"/>
  <c r="I589" i="4" s="1"/>
  <c r="I590" i="4" s="1"/>
  <c r="H589" i="4"/>
  <c r="H590" i="4" s="1"/>
  <c r="A592" i="4"/>
  <c r="H592" i="4"/>
  <c r="H593" i="4" s="1"/>
  <c r="H594" i="4" s="1"/>
  <c r="A593" i="4"/>
  <c r="A594" i="4" s="1"/>
  <c r="A596" i="4"/>
  <c r="H596" i="4"/>
  <c r="A597" i="4"/>
  <c r="H597" i="4"/>
  <c r="H598" i="4" s="1"/>
  <c r="A598" i="4"/>
  <c r="A600" i="4"/>
  <c r="A601" i="4" s="1"/>
  <c r="A602" i="4" s="1"/>
  <c r="H600" i="4"/>
  <c r="H601" i="4" s="1"/>
  <c r="H602" i="4"/>
  <c r="A604" i="4"/>
  <c r="H604" i="4"/>
  <c r="A605" i="4"/>
  <c r="A606" i="4" s="1"/>
  <c r="H605" i="4"/>
  <c r="H606" i="4"/>
  <c r="A608" i="4"/>
  <c r="H608" i="4"/>
  <c r="A609" i="4"/>
  <c r="H609" i="4"/>
  <c r="H610" i="4" s="1"/>
  <c r="A610" i="4"/>
  <c r="A612" i="4"/>
  <c r="A613" i="4" s="1"/>
  <c r="A614" i="4" s="1"/>
  <c r="H612" i="4"/>
  <c r="H613" i="4"/>
  <c r="H614" i="4" s="1"/>
  <c r="C634" i="4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E634" i="4"/>
  <c r="F634" i="4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E635" i="4"/>
  <c r="E636" i="4"/>
  <c r="E637" i="4" s="1"/>
  <c r="M636" i="4"/>
  <c r="O636" i="4"/>
  <c r="Q636" i="4"/>
  <c r="E638" i="4"/>
  <c r="H638" i="4"/>
  <c r="H641" i="4" s="1"/>
  <c r="H644" i="4" s="1"/>
  <c r="H647" i="4" s="1"/>
  <c r="H650" i="4" s="1"/>
  <c r="H654" i="4" s="1"/>
  <c r="H658" i="4" s="1"/>
  <c r="H662" i="4" s="1"/>
  <c r="H666" i="4" s="1"/>
  <c r="I638" i="4"/>
  <c r="I639" i="4" s="1"/>
  <c r="I640" i="4" s="1"/>
  <c r="A639" i="4"/>
  <c r="H639" i="4"/>
  <c r="H642" i="4" s="1"/>
  <c r="H645" i="4" s="1"/>
  <c r="A640" i="4"/>
  <c r="H640" i="4"/>
  <c r="H643" i="4" s="1"/>
  <c r="H646" i="4" s="1"/>
  <c r="H649" i="4" s="1"/>
  <c r="H653" i="4" s="1"/>
  <c r="H669" i="4" s="1"/>
  <c r="A641" i="4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I641" i="4"/>
  <c r="I642" i="4" s="1"/>
  <c r="I643" i="4" s="1"/>
  <c r="I644" i="4" s="1"/>
  <c r="I645" i="4" s="1"/>
  <c r="I646" i="4" s="1"/>
  <c r="I647" i="4" s="1"/>
  <c r="I648" i="4" s="1"/>
  <c r="I649" i="4" s="1"/>
  <c r="I650" i="4" s="1"/>
  <c r="I651" i="4" s="1"/>
  <c r="I652" i="4" s="1"/>
  <c r="I653" i="4" s="1"/>
  <c r="I654" i="4" s="1"/>
  <c r="I655" i="4" s="1"/>
  <c r="I656" i="4" s="1"/>
  <c r="I657" i="4" s="1"/>
  <c r="I658" i="4" s="1"/>
  <c r="I659" i="4" s="1"/>
  <c r="I660" i="4" s="1"/>
  <c r="I661" i="4" s="1"/>
  <c r="I662" i="4" s="1"/>
  <c r="I663" i="4" s="1"/>
  <c r="I664" i="4" s="1"/>
  <c r="I665" i="4" s="1"/>
  <c r="I666" i="4" s="1"/>
  <c r="I667" i="4" s="1"/>
  <c r="I668" i="4" s="1"/>
  <c r="H648" i="4"/>
  <c r="H657" i="4"/>
  <c r="H661" i="4" s="1"/>
  <c r="H665" i="4" s="1"/>
  <c r="A670" i="4"/>
  <c r="A671" i="4" s="1"/>
  <c r="A672" i="4" s="1"/>
  <c r="H670" i="4"/>
  <c r="H673" i="4" s="1"/>
  <c r="H676" i="4" s="1"/>
  <c r="H679" i="4" s="1"/>
  <c r="H682" i="4" s="1"/>
  <c r="H686" i="4" s="1"/>
  <c r="H690" i="4" s="1"/>
  <c r="H694" i="4" s="1"/>
  <c r="H698" i="4" s="1"/>
  <c r="I670" i="4"/>
  <c r="I671" i="4"/>
  <c r="I672" i="4"/>
  <c r="I673" i="4" s="1"/>
  <c r="I674" i="4" s="1"/>
  <c r="I675" i="4" s="1"/>
  <c r="I676" i="4" s="1"/>
  <c r="I677" i="4" s="1"/>
  <c r="A673" i="4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I678" i="4"/>
  <c r="I679" i="4" s="1"/>
  <c r="I680" i="4" s="1"/>
  <c r="I681" i="4" s="1"/>
  <c r="I682" i="4" s="1"/>
  <c r="I683" i="4" s="1"/>
  <c r="I684" i="4" s="1"/>
  <c r="I685" i="4" s="1"/>
  <c r="I686" i="4" s="1"/>
  <c r="I687" i="4" s="1"/>
  <c r="I688" i="4" s="1"/>
  <c r="I689" i="4" s="1"/>
  <c r="I690" i="4" s="1"/>
  <c r="I691" i="4" s="1"/>
  <c r="I692" i="4" s="1"/>
  <c r="I693" i="4" s="1"/>
  <c r="I694" i="4" s="1"/>
  <c r="I695" i="4" s="1"/>
  <c r="I696" i="4" s="1"/>
  <c r="I697" i="4" s="1"/>
  <c r="I698" i="4" s="1"/>
  <c r="I699" i="4" s="1"/>
  <c r="I700" i="4" s="1"/>
  <c r="A702" i="4"/>
  <c r="H702" i="4"/>
  <c r="I702" i="4"/>
  <c r="A703" i="4"/>
  <c r="H703" i="4"/>
  <c r="H704" i="4" s="1"/>
  <c r="H705" i="4" s="1"/>
  <c r="H706" i="4" s="1"/>
  <c r="H707" i="4" s="1"/>
  <c r="H708" i="4" s="1"/>
  <c r="H709" i="4" s="1"/>
  <c r="H710" i="4" s="1"/>
  <c r="I703" i="4"/>
  <c r="I704" i="4" s="1"/>
  <c r="I705" i="4" s="1"/>
  <c r="I706" i="4" s="1"/>
  <c r="I707" i="4" s="1"/>
  <c r="I708" i="4" s="1"/>
  <c r="I709" i="4" s="1"/>
  <c r="I710" i="4" s="1"/>
  <c r="I711" i="4" s="1"/>
  <c r="I712" i="4" s="1"/>
  <c r="I713" i="4" s="1"/>
  <c r="I714" i="4" s="1"/>
  <c r="I715" i="4" s="1"/>
  <c r="I716" i="4" s="1"/>
  <c r="A704" i="4"/>
  <c r="A705" i="4" s="1"/>
  <c r="A706" i="4" s="1"/>
  <c r="A707" i="4"/>
  <c r="A708" i="4" s="1"/>
  <c r="A709" i="4" s="1"/>
  <c r="A710" i="4" s="1"/>
  <c r="A711" i="4" s="1"/>
  <c r="A712" i="4" s="1"/>
  <c r="A713" i="4" s="1"/>
  <c r="A714" i="4" s="1"/>
  <c r="A715" i="4" s="1"/>
  <c r="A716" i="4" s="1"/>
  <c r="H711" i="4"/>
  <c r="H712" i="4" s="1"/>
  <c r="H713" i="4" s="1"/>
  <c r="H714" i="4" s="1"/>
  <c r="H715" i="4" s="1"/>
  <c r="H716" i="4" s="1"/>
  <c r="A718" i="4"/>
  <c r="H718" i="4"/>
  <c r="H719" i="4" s="1"/>
  <c r="H720" i="4" s="1"/>
  <c r="I718" i="4"/>
  <c r="I719" i="4" s="1"/>
  <c r="I720" i="4" s="1"/>
  <c r="I721" i="4" s="1"/>
  <c r="I722" i="4" s="1"/>
  <c r="A719" i="4"/>
  <c r="A720" i="4"/>
  <c r="A721" i="4" s="1"/>
  <c r="A722" i="4" s="1"/>
  <c r="A723" i="4" s="1"/>
  <c r="A724" i="4" s="1"/>
  <c r="H721" i="4"/>
  <c r="H722" i="4" s="1"/>
  <c r="H723" i="4" s="1"/>
  <c r="H724" i="4" s="1"/>
  <c r="I723" i="4"/>
  <c r="I724" i="4" s="1"/>
  <c r="A726" i="4"/>
  <c r="A727" i="4" s="1"/>
  <c r="A728" i="4" s="1"/>
  <c r="A729" i="4" s="1"/>
  <c r="A730" i="4" s="1"/>
  <c r="H726" i="4"/>
  <c r="H727" i="4" s="1"/>
  <c r="H728" i="4" s="1"/>
  <c r="H729" i="4" s="1"/>
  <c r="H730" i="4" s="1"/>
  <c r="H731" i="4" s="1"/>
  <c r="H732" i="4" s="1"/>
  <c r="I726" i="4"/>
  <c r="I727" i="4" s="1"/>
  <c r="I728" i="4" s="1"/>
  <c r="I729" i="4" s="1"/>
  <c r="I730" i="4" s="1"/>
  <c r="I731" i="4" s="1"/>
  <c r="I732" i="4" s="1"/>
  <c r="A731" i="4"/>
  <c r="A732" i="4" s="1"/>
  <c r="A734" i="4"/>
  <c r="A735" i="4" s="1"/>
  <c r="H734" i="4"/>
  <c r="H735" i="4"/>
  <c r="A736" i="4"/>
  <c r="H736" i="4"/>
  <c r="A738" i="4"/>
  <c r="A739" i="4" s="1"/>
  <c r="A740" i="4" s="1"/>
  <c r="H738" i="4"/>
  <c r="H739" i="4" s="1"/>
  <c r="H740" i="4"/>
  <c r="A742" i="4"/>
  <c r="H742" i="4"/>
  <c r="A743" i="4"/>
  <c r="A744" i="4" s="1"/>
  <c r="H743" i="4"/>
  <c r="H744" i="4"/>
  <c r="A746" i="4"/>
  <c r="H746" i="4"/>
  <c r="A747" i="4"/>
  <c r="A748" i="4" s="1"/>
  <c r="H747" i="4"/>
  <c r="H748" i="4" s="1"/>
  <c r="A750" i="4"/>
  <c r="A751" i="4" s="1"/>
  <c r="H750" i="4"/>
  <c r="H751" i="4"/>
  <c r="H752" i="4" s="1"/>
  <c r="A752" i="4"/>
  <c r="A754" i="4"/>
  <c r="A755" i="4" s="1"/>
  <c r="A756" i="4" s="1"/>
  <c r="H754" i="4"/>
  <c r="H755" i="4" s="1"/>
  <c r="H756" i="4"/>
  <c r="C776" i="4"/>
  <c r="E776" i="4"/>
  <c r="F776" i="4"/>
  <c r="C777" i="4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E777" i="4"/>
  <c r="F777" i="4"/>
  <c r="E778" i="4"/>
  <c r="F778" i="4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M778" i="4"/>
  <c r="O778" i="4"/>
  <c r="Q778" i="4"/>
  <c r="E779" i="4"/>
  <c r="A780" i="4"/>
  <c r="H780" i="4"/>
  <c r="H783" i="4" s="1"/>
  <c r="H786" i="4" s="1"/>
  <c r="H789" i="4" s="1"/>
  <c r="H792" i="4" s="1"/>
  <c r="H796" i="4" s="1"/>
  <c r="H800" i="4" s="1"/>
  <c r="H804" i="4" s="1"/>
  <c r="H808" i="4" s="1"/>
  <c r="I780" i="4"/>
  <c r="I781" i="4" s="1"/>
  <c r="I782" i="4" s="1"/>
  <c r="A781" i="4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H781" i="4"/>
  <c r="H784" i="4" s="1"/>
  <c r="H782" i="4"/>
  <c r="H785" i="4" s="1"/>
  <c r="H788" i="4" s="1"/>
  <c r="H791" i="4" s="1"/>
  <c r="H795" i="4" s="1"/>
  <c r="I783" i="4"/>
  <c r="I784" i="4" s="1"/>
  <c r="I785" i="4" s="1"/>
  <c r="I786" i="4" s="1"/>
  <c r="I787" i="4" s="1"/>
  <c r="I788" i="4" s="1"/>
  <c r="I789" i="4" s="1"/>
  <c r="I790" i="4" s="1"/>
  <c r="I791" i="4" s="1"/>
  <c r="I792" i="4" s="1"/>
  <c r="I793" i="4" s="1"/>
  <c r="I794" i="4" s="1"/>
  <c r="I795" i="4" s="1"/>
  <c r="I796" i="4" s="1"/>
  <c r="I797" i="4" s="1"/>
  <c r="I798" i="4" s="1"/>
  <c r="I799" i="4" s="1"/>
  <c r="I800" i="4" s="1"/>
  <c r="I801" i="4" s="1"/>
  <c r="I802" i="4" s="1"/>
  <c r="I803" i="4" s="1"/>
  <c r="I804" i="4" s="1"/>
  <c r="I805" i="4" s="1"/>
  <c r="I806" i="4" s="1"/>
  <c r="I807" i="4" s="1"/>
  <c r="I808" i="4" s="1"/>
  <c r="I809" i="4" s="1"/>
  <c r="I810" i="4" s="1"/>
  <c r="H787" i="4"/>
  <c r="H790" i="4" s="1"/>
  <c r="H794" i="4" s="1"/>
  <c r="H798" i="4" s="1"/>
  <c r="H802" i="4" s="1"/>
  <c r="H806" i="4" s="1"/>
  <c r="H810" i="4" s="1"/>
  <c r="H793" i="4"/>
  <c r="H797" i="4" s="1"/>
  <c r="H801" i="4" s="1"/>
  <c r="A804" i="4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H805" i="4"/>
  <c r="H809" i="4" s="1"/>
  <c r="I812" i="4"/>
  <c r="I813" i="4" s="1"/>
  <c r="I814" i="4" s="1"/>
  <c r="I815" i="4"/>
  <c r="I816" i="4" s="1"/>
  <c r="I817" i="4" s="1"/>
  <c r="I818" i="4" s="1"/>
  <c r="I819" i="4" s="1"/>
  <c r="I820" i="4" s="1"/>
  <c r="I821" i="4" s="1"/>
  <c r="I822" i="4" s="1"/>
  <c r="I823" i="4" s="1"/>
  <c r="I824" i="4" s="1"/>
  <c r="I825" i="4" s="1"/>
  <c r="I826" i="4" s="1"/>
  <c r="I827" i="4"/>
  <c r="I828" i="4" s="1"/>
  <c r="I829" i="4" s="1"/>
  <c r="I830" i="4" s="1"/>
  <c r="I831" i="4" s="1"/>
  <c r="I832" i="4" s="1"/>
  <c r="I833" i="4" s="1"/>
  <c r="I834" i="4" s="1"/>
  <c r="I835" i="4" s="1"/>
  <c r="I836" i="4" s="1"/>
  <c r="I837" i="4" s="1"/>
  <c r="I838" i="4" s="1"/>
  <c r="I839" i="4" s="1"/>
  <c r="I840" i="4" s="1"/>
  <c r="I841" i="4" s="1"/>
  <c r="I842" i="4" s="1"/>
  <c r="H844" i="4"/>
  <c r="I844" i="4"/>
  <c r="H845" i="4"/>
  <c r="H846" i="4" s="1"/>
  <c r="H847" i="4" s="1"/>
  <c r="H848" i="4" s="1"/>
  <c r="H849" i="4" s="1"/>
  <c r="H850" i="4" s="1"/>
  <c r="H851" i="4" s="1"/>
  <c r="H852" i="4" s="1"/>
  <c r="H853" i="4" s="1"/>
  <c r="H854" i="4" s="1"/>
  <c r="H855" i="4" s="1"/>
  <c r="H856" i="4" s="1"/>
  <c r="H857" i="4" s="1"/>
  <c r="H858" i="4" s="1"/>
  <c r="I845" i="4"/>
  <c r="I846" i="4"/>
  <c r="I847" i="4" s="1"/>
  <c r="I848" i="4"/>
  <c r="I849" i="4" s="1"/>
  <c r="I850" i="4" s="1"/>
  <c r="I851" i="4" s="1"/>
  <c r="I852" i="4" s="1"/>
  <c r="I853" i="4" s="1"/>
  <c r="I854" i="4" s="1"/>
  <c r="I855" i="4" s="1"/>
  <c r="I856" i="4" s="1"/>
  <c r="I857" i="4" s="1"/>
  <c r="I858" i="4" s="1"/>
  <c r="A857" i="4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H860" i="4"/>
  <c r="I860" i="4"/>
  <c r="I861" i="4" s="1"/>
  <c r="I862" i="4" s="1"/>
  <c r="I863" i="4" s="1"/>
  <c r="I864" i="4" s="1"/>
  <c r="I865" i="4" s="1"/>
  <c r="I866" i="4" s="1"/>
  <c r="I867" i="4" s="1"/>
  <c r="I868" i="4" s="1"/>
  <c r="I869" i="4" s="1"/>
  <c r="I870" i="4" s="1"/>
  <c r="I871" i="4" s="1"/>
  <c r="I872" i="4" s="1"/>
  <c r="I873" i="4" s="1"/>
  <c r="I874" i="4" s="1"/>
  <c r="H861" i="4"/>
  <c r="H862" i="4"/>
  <c r="H863" i="4"/>
  <c r="H864" i="4" s="1"/>
  <c r="H865" i="4" s="1"/>
  <c r="H866" i="4" s="1"/>
  <c r="H867" i="4" s="1"/>
  <c r="H868" i="4" s="1"/>
  <c r="H869" i="4" s="1"/>
  <c r="H870" i="4" s="1"/>
  <c r="H871" i="4" s="1"/>
  <c r="H872" i="4" s="1"/>
  <c r="H873" i="4" s="1"/>
  <c r="H874" i="4" s="1"/>
  <c r="H876" i="4"/>
  <c r="H877" i="4" s="1"/>
  <c r="H878" i="4" s="1"/>
  <c r="H879" i="4" s="1"/>
  <c r="H880" i="4" s="1"/>
  <c r="H881" i="4" s="1"/>
  <c r="H882" i="4" s="1"/>
  <c r="I876" i="4"/>
  <c r="I877" i="4" s="1"/>
  <c r="I878" i="4" s="1"/>
  <c r="I879" i="4" s="1"/>
  <c r="I880" i="4" s="1"/>
  <c r="I881" i="4" s="1"/>
  <c r="I882" i="4" s="1"/>
  <c r="H884" i="4"/>
  <c r="H885" i="4"/>
  <c r="H886" i="4" s="1"/>
  <c r="H888" i="4"/>
  <c r="H889" i="4"/>
  <c r="H890" i="4" s="1"/>
  <c r="H892" i="4"/>
  <c r="H893" i="4" s="1"/>
  <c r="H894" i="4"/>
  <c r="H896" i="4"/>
  <c r="H897" i="4" s="1"/>
  <c r="H898" i="4" s="1"/>
  <c r="H900" i="4"/>
  <c r="H901" i="4" s="1"/>
  <c r="H902" i="4" s="1"/>
  <c r="H904" i="4"/>
  <c r="H905" i="4"/>
  <c r="H906" i="4" s="1"/>
  <c r="C927" i="4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E927" i="4"/>
  <c r="E928" i="4" s="1"/>
  <c r="E929" i="4" s="1"/>
  <c r="E930" i="4" s="1"/>
  <c r="F927" i="4"/>
  <c r="F928" i="4"/>
  <c r="F929" i="4"/>
  <c r="F930" i="4" s="1"/>
  <c r="F931" i="4" s="1"/>
  <c r="F932" i="4" s="1"/>
  <c r="M929" i="4"/>
  <c r="O929" i="4"/>
  <c r="Q929" i="4" s="1"/>
  <c r="A931" i="4"/>
  <c r="H931" i="4"/>
  <c r="I931" i="4"/>
  <c r="I932" i="4" s="1"/>
  <c r="I933" i="4" s="1"/>
  <c r="I934" i="4" s="1"/>
  <c r="I935" i="4" s="1"/>
  <c r="I936" i="4" s="1"/>
  <c r="I937" i="4" s="1"/>
  <c r="I938" i="4" s="1"/>
  <c r="I939" i="4" s="1"/>
  <c r="I940" i="4" s="1"/>
  <c r="I941" i="4" s="1"/>
  <c r="I942" i="4" s="1"/>
  <c r="I943" i="4" s="1"/>
  <c r="I944" i="4" s="1"/>
  <c r="I945" i="4" s="1"/>
  <c r="I946" i="4" s="1"/>
  <c r="I947" i="4" s="1"/>
  <c r="I948" i="4" s="1"/>
  <c r="I949" i="4" s="1"/>
  <c r="I950" i="4" s="1"/>
  <c r="I951" i="4" s="1"/>
  <c r="I952" i="4" s="1"/>
  <c r="I953" i="4" s="1"/>
  <c r="I954" i="4" s="1"/>
  <c r="I955" i="4" s="1"/>
  <c r="I956" i="4" s="1"/>
  <c r="I957" i="4" s="1"/>
  <c r="I958" i="4" s="1"/>
  <c r="I959" i="4" s="1"/>
  <c r="I960" i="4" s="1"/>
  <c r="I961" i="4" s="1"/>
  <c r="A932" i="4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H932" i="4"/>
  <c r="F933" i="4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H933" i="4"/>
  <c r="H936" i="4" s="1"/>
  <c r="H934" i="4"/>
  <c r="H937" i="4" s="1"/>
  <c r="H935" i="4"/>
  <c r="H938" i="4"/>
  <c r="H941" i="4" s="1"/>
  <c r="H939" i="4"/>
  <c r="H940" i="4"/>
  <c r="H943" i="4" s="1"/>
  <c r="H947" i="4" s="1"/>
  <c r="H951" i="4" s="1"/>
  <c r="H955" i="4" s="1"/>
  <c r="H959" i="4" s="1"/>
  <c r="H942" i="4"/>
  <c r="H946" i="4"/>
  <c r="C948" i="4"/>
  <c r="C949" i="4" s="1"/>
  <c r="C950" i="4" s="1"/>
  <c r="C951" i="4" s="1"/>
  <c r="C952" i="4" s="1"/>
  <c r="C953" i="4" s="1"/>
  <c r="A963" i="4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I963" i="4"/>
  <c r="I964" i="4" s="1"/>
  <c r="I965" i="4" s="1"/>
  <c r="I966" i="4" s="1"/>
  <c r="I967" i="4" s="1"/>
  <c r="I968" i="4" s="1"/>
  <c r="I969" i="4" s="1"/>
  <c r="I970" i="4" s="1"/>
  <c r="I971" i="4" s="1"/>
  <c r="I972" i="4" s="1"/>
  <c r="I973" i="4" s="1"/>
  <c r="I974" i="4" s="1"/>
  <c r="I975" i="4" s="1"/>
  <c r="I976" i="4"/>
  <c r="I977" i="4" s="1"/>
  <c r="I978" i="4" s="1"/>
  <c r="I979" i="4" s="1"/>
  <c r="I980" i="4" s="1"/>
  <c r="I981" i="4" s="1"/>
  <c r="I982" i="4" s="1"/>
  <c r="I983" i="4" s="1"/>
  <c r="I984" i="4" s="1"/>
  <c r="I985" i="4" s="1"/>
  <c r="I986" i="4" s="1"/>
  <c r="I987" i="4" s="1"/>
  <c r="I988" i="4" s="1"/>
  <c r="I989" i="4" s="1"/>
  <c r="I990" i="4" s="1"/>
  <c r="I991" i="4" s="1"/>
  <c r="I992" i="4" s="1"/>
  <c r="I993" i="4" s="1"/>
  <c r="A995" i="4"/>
  <c r="A996" i="4" s="1"/>
  <c r="A997" i="4" s="1"/>
  <c r="I995" i="4"/>
  <c r="I996" i="4" s="1"/>
  <c r="I997" i="4" s="1"/>
  <c r="I998" i="4" s="1"/>
  <c r="I999" i="4" s="1"/>
  <c r="I1000" i="4" s="1"/>
  <c r="I1001" i="4" s="1"/>
  <c r="I1002" i="4" s="1"/>
  <c r="I1003" i="4" s="1"/>
  <c r="I1004" i="4" s="1"/>
  <c r="I1005" i="4" s="1"/>
  <c r="I1006" i="4" s="1"/>
  <c r="I1007" i="4" s="1"/>
  <c r="I1008" i="4" s="1"/>
  <c r="I1009" i="4" s="1"/>
  <c r="I1010" i="4" s="1"/>
  <c r="I1011" i="4" s="1"/>
  <c r="I1012" i="4" s="1"/>
  <c r="I1013" i="4" s="1"/>
  <c r="A998" i="4"/>
  <c r="A999" i="4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I1014" i="4"/>
  <c r="I1015" i="4" s="1"/>
  <c r="I1016" i="4" s="1"/>
  <c r="I1017" i="4" s="1"/>
  <c r="I1018" i="4" s="1"/>
  <c r="I1019" i="4" s="1"/>
  <c r="I1020" i="4" s="1"/>
  <c r="I1021" i="4" s="1"/>
  <c r="I1022" i="4" s="1"/>
  <c r="I1023" i="4" s="1"/>
  <c r="I1024" i="4" s="1"/>
  <c r="I1025" i="4" s="1"/>
  <c r="A1027" i="4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H1027" i="4"/>
  <c r="I1027" i="4"/>
  <c r="H1028" i="4"/>
  <c r="I1028" i="4"/>
  <c r="I1029" i="4" s="1"/>
  <c r="I1030" i="4" s="1"/>
  <c r="H1029" i="4"/>
  <c r="H1030" i="4" s="1"/>
  <c r="H1031" i="4" s="1"/>
  <c r="H1032" i="4" s="1"/>
  <c r="H1033" i="4" s="1"/>
  <c r="H1034" i="4" s="1"/>
  <c r="H1035" i="4" s="1"/>
  <c r="H1036" i="4" s="1"/>
  <c r="H1037" i="4" s="1"/>
  <c r="H1038" i="4" s="1"/>
  <c r="H1039" i="4" s="1"/>
  <c r="H1040" i="4" s="1"/>
  <c r="H1041" i="4" s="1"/>
  <c r="I1031" i="4"/>
  <c r="I1032" i="4" s="1"/>
  <c r="I1033" i="4" s="1"/>
  <c r="I1034" i="4" s="1"/>
  <c r="I1035" i="4" s="1"/>
  <c r="I1036" i="4" s="1"/>
  <c r="I1037" i="4" s="1"/>
  <c r="I1038" i="4" s="1"/>
  <c r="I1039" i="4" s="1"/>
  <c r="I1040" i="4" s="1"/>
  <c r="I1041" i="4" s="1"/>
  <c r="A1043" i="4"/>
  <c r="A1044" i="4" s="1"/>
  <c r="A1045" i="4" s="1"/>
  <c r="A1046" i="4" s="1"/>
  <c r="A1047" i="4" s="1"/>
  <c r="A1048" i="4" s="1"/>
  <c r="A1049" i="4" s="1"/>
  <c r="H1043" i="4"/>
  <c r="I1043" i="4"/>
  <c r="H1044" i="4"/>
  <c r="I1044" i="4"/>
  <c r="H1045" i="4"/>
  <c r="H1046" i="4" s="1"/>
  <c r="I1045" i="4"/>
  <c r="I1046" i="4" s="1"/>
  <c r="I1047" i="4" s="1"/>
  <c r="I1048" i="4" s="1"/>
  <c r="I1049" i="4" s="1"/>
  <c r="H1047" i="4"/>
  <c r="H1048" i="4" s="1"/>
  <c r="H1049" i="4" s="1"/>
  <c r="A1051" i="4"/>
  <c r="H1051" i="4"/>
  <c r="H1052" i="4" s="1"/>
  <c r="I1051" i="4"/>
  <c r="A1052" i="4"/>
  <c r="I1052" i="4"/>
  <c r="I1053" i="4" s="1"/>
  <c r="I1054" i="4" s="1"/>
  <c r="I1055" i="4" s="1"/>
  <c r="I1056" i="4" s="1"/>
  <c r="I1057" i="4" s="1"/>
  <c r="A1053" i="4"/>
  <c r="A1054" i="4" s="1"/>
  <c r="A1055" i="4" s="1"/>
  <c r="A1056" i="4" s="1"/>
  <c r="H1053" i="4"/>
  <c r="H1054" i="4"/>
  <c r="H1055" i="4" s="1"/>
  <c r="H1056" i="4" s="1"/>
  <c r="H1057" i="4" s="1"/>
  <c r="A1057" i="4"/>
  <c r="A1059" i="4"/>
  <c r="H1059" i="4"/>
  <c r="I1059" i="4"/>
  <c r="I1060" i="4" s="1"/>
  <c r="I1061" i="4" s="1"/>
  <c r="I1062" i="4" s="1"/>
  <c r="I1063" i="4" s="1"/>
  <c r="I1064" i="4" s="1"/>
  <c r="I1065" i="4" s="1"/>
  <c r="A1060" i="4"/>
  <c r="A1061" i="4" s="1"/>
  <c r="H1060" i="4"/>
  <c r="H1061" i="4" s="1"/>
  <c r="H1062" i="4" s="1"/>
  <c r="H1063" i="4" s="1"/>
  <c r="H1064" i="4" s="1"/>
  <c r="H1065" i="4" s="1"/>
  <c r="A1062" i="4"/>
  <c r="A1063" i="4" s="1"/>
  <c r="A1064" i="4" s="1"/>
  <c r="A1065" i="4" s="1"/>
  <c r="A1067" i="4"/>
  <c r="A1068" i="4" s="1"/>
  <c r="A1069" i="4" s="1"/>
  <c r="A1070" i="4" s="1"/>
  <c r="A1071" i="4" s="1"/>
  <c r="A1072" i="4" s="1"/>
  <c r="A1073" i="4" s="1"/>
  <c r="H1067" i="4"/>
  <c r="H1068" i="4" s="1"/>
  <c r="H1069" i="4"/>
  <c r="H1071" i="4"/>
  <c r="H1072" i="4"/>
  <c r="H1073" i="4" s="1"/>
  <c r="A1075" i="4"/>
  <c r="A1076" i="4" s="1"/>
  <c r="A1077" i="4" s="1"/>
  <c r="A1078" i="4" s="1"/>
  <c r="A1079" i="4" s="1"/>
  <c r="A1080" i="4" s="1"/>
  <c r="A1081" i="4" s="1"/>
  <c r="H1075" i="4"/>
  <c r="H1076" i="4"/>
  <c r="H1077" i="4" s="1"/>
  <c r="H1079" i="4"/>
  <c r="H1080" i="4"/>
  <c r="H1081" i="4" s="1"/>
  <c r="C1100" i="4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E1100" i="4"/>
  <c r="E1101" i="4" s="1"/>
  <c r="F1100" i="4"/>
  <c r="F1101" i="4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E1102" i="4"/>
  <c r="E1103" i="4" s="1"/>
  <c r="M1102" i="4"/>
  <c r="O1102" i="4"/>
  <c r="Q1102" i="4" s="1"/>
  <c r="A1104" i="4"/>
  <c r="A1105" i="4" s="1"/>
  <c r="A1106" i="4" s="1"/>
  <c r="H1104" i="4"/>
  <c r="I1104" i="4"/>
  <c r="H1105" i="4"/>
  <c r="H1108" i="4" s="1"/>
  <c r="H1111" i="4" s="1"/>
  <c r="H1114" i="4" s="1"/>
  <c r="I1105" i="4"/>
  <c r="I1106" i="4" s="1"/>
  <c r="I1107" i="4" s="1"/>
  <c r="I1108" i="4" s="1"/>
  <c r="I1109" i="4" s="1"/>
  <c r="I1110" i="4" s="1"/>
  <c r="I1111" i="4" s="1"/>
  <c r="I1112" i="4" s="1"/>
  <c r="I1113" i="4" s="1"/>
  <c r="I1114" i="4" s="1"/>
  <c r="I1115" i="4" s="1"/>
  <c r="I1116" i="4" s="1"/>
  <c r="I1117" i="4" s="1"/>
  <c r="I1118" i="4" s="1"/>
  <c r="I1119" i="4" s="1"/>
  <c r="I1120" i="4" s="1"/>
  <c r="I1121" i="4" s="1"/>
  <c r="I1122" i="4" s="1"/>
  <c r="I1123" i="4" s="1"/>
  <c r="I1124" i="4" s="1"/>
  <c r="I1125" i="4" s="1"/>
  <c r="I1126" i="4" s="1"/>
  <c r="I1127" i="4" s="1"/>
  <c r="I1128" i="4" s="1"/>
  <c r="I1129" i="4" s="1"/>
  <c r="I1130" i="4" s="1"/>
  <c r="I1131" i="4" s="1"/>
  <c r="I1132" i="4" s="1"/>
  <c r="I1133" i="4" s="1"/>
  <c r="I1134" i="4" s="1"/>
  <c r="H1106" i="4"/>
  <c r="H1109" i="4" s="1"/>
  <c r="H1112" i="4" s="1"/>
  <c r="H1115" i="4" s="1"/>
  <c r="H1119" i="4" s="1"/>
  <c r="A1107" i="4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H1107" i="4"/>
  <c r="H1110" i="4"/>
  <c r="H1113" i="4"/>
  <c r="H1116" i="4" s="1"/>
  <c r="H1120" i="4" s="1"/>
  <c r="H1124" i="4" s="1"/>
  <c r="H1128" i="4" s="1"/>
  <c r="H1132" i="4"/>
  <c r="A1136" i="4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I1136" i="4"/>
  <c r="I1137" i="4" s="1"/>
  <c r="I1138" i="4" s="1"/>
  <c r="I1139" i="4" s="1"/>
  <c r="I1140" i="4" s="1"/>
  <c r="I1141" i="4" s="1"/>
  <c r="I1142" i="4" s="1"/>
  <c r="I1143" i="4" s="1"/>
  <c r="I1144" i="4" s="1"/>
  <c r="I1145" i="4" s="1"/>
  <c r="I1146" i="4" s="1"/>
  <c r="AH1144" i="4"/>
  <c r="AH1145" i="4" s="1"/>
  <c r="AH1146" i="4" s="1"/>
  <c r="AH1147" i="4" s="1"/>
  <c r="AH1148" i="4" s="1"/>
  <c r="AH1149" i="4" s="1"/>
  <c r="AH1150" i="4" s="1"/>
  <c r="AH1151" i="4" s="1"/>
  <c r="AH1152" i="4" s="1"/>
  <c r="AH1153" i="4" s="1"/>
  <c r="AH1154" i="4" s="1"/>
  <c r="AH1155" i="4" s="1"/>
  <c r="AH1156" i="4" s="1"/>
  <c r="AH1157" i="4" s="1"/>
  <c r="AH1158" i="4" s="1"/>
  <c r="AH1159" i="4" s="1"/>
  <c r="AH1160" i="4" s="1"/>
  <c r="AH1161" i="4" s="1"/>
  <c r="AH1162" i="4" s="1"/>
  <c r="AH1163" i="4" s="1"/>
  <c r="AH1164" i="4" s="1"/>
  <c r="AH1165" i="4" s="1"/>
  <c r="AH1166" i="4" s="1"/>
  <c r="AI1144" i="4"/>
  <c r="AI1145" i="4" s="1"/>
  <c r="AI1146" i="4" s="1"/>
  <c r="AI1147" i="4" s="1"/>
  <c r="AI1148" i="4" s="1"/>
  <c r="AI1149" i="4" s="1"/>
  <c r="AI1150" i="4" s="1"/>
  <c r="AI1151" i="4" s="1"/>
  <c r="AI1152" i="4" s="1"/>
  <c r="AI1153" i="4" s="1"/>
  <c r="AI1154" i="4" s="1"/>
  <c r="AI1155" i="4" s="1"/>
  <c r="I1147" i="4"/>
  <c r="I1148" i="4" s="1"/>
  <c r="I1149" i="4" s="1"/>
  <c r="I1150" i="4" s="1"/>
  <c r="I1151" i="4" s="1"/>
  <c r="I1152" i="4" s="1"/>
  <c r="I1153" i="4" s="1"/>
  <c r="I1154" i="4" s="1"/>
  <c r="I1155" i="4" s="1"/>
  <c r="I1156" i="4" s="1"/>
  <c r="I1157" i="4" s="1"/>
  <c r="I1158" i="4" s="1"/>
  <c r="I1159" i="4" s="1"/>
  <c r="I1160" i="4" s="1"/>
  <c r="I1161" i="4" s="1"/>
  <c r="I1162" i="4" s="1"/>
  <c r="I1163" i="4" s="1"/>
  <c r="I1164" i="4" s="1"/>
  <c r="I1165" i="4" s="1"/>
  <c r="I1166" i="4" s="1"/>
  <c r="AI1156" i="4"/>
  <c r="AI1157" i="4" s="1"/>
  <c r="AI1158" i="4" s="1"/>
  <c r="AI1159" i="4" s="1"/>
  <c r="AI1160" i="4" s="1"/>
  <c r="AI1161" i="4" s="1"/>
  <c r="AI1162" i="4" s="1"/>
  <c r="AI1163" i="4" s="1"/>
  <c r="AI1164" i="4" s="1"/>
  <c r="AI1165" i="4" s="1"/>
  <c r="AI1166" i="4" s="1"/>
  <c r="A1168" i="4"/>
  <c r="A1169" i="4" s="1"/>
  <c r="I1168" i="4"/>
  <c r="I1169" i="4" s="1"/>
  <c r="I1170" i="4" s="1"/>
  <c r="A1170" i="4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I1171" i="4"/>
  <c r="I1172" i="4" s="1"/>
  <c r="I1173" i="4" s="1"/>
  <c r="I1174" i="4" s="1"/>
  <c r="I1175" i="4" s="1"/>
  <c r="I1176" i="4" s="1"/>
  <c r="I1177" i="4" s="1"/>
  <c r="I1178" i="4" s="1"/>
  <c r="I1179" i="4" s="1"/>
  <c r="I1180" i="4" s="1"/>
  <c r="I1181" i="4" s="1"/>
  <c r="I1182" i="4" s="1"/>
  <c r="I1183" i="4" s="1"/>
  <c r="I1184" i="4" s="1"/>
  <c r="I1185" i="4" s="1"/>
  <c r="I1186" i="4" s="1"/>
  <c r="I1187" i="4" s="1"/>
  <c r="I1188" i="4" s="1"/>
  <c r="I1189" i="4" s="1"/>
  <c r="I1190" i="4" s="1"/>
  <c r="I1191" i="4" s="1"/>
  <c r="I1192" i="4" s="1"/>
  <c r="I1193" i="4" s="1"/>
  <c r="I1194" i="4" s="1"/>
  <c r="I1195" i="4" s="1"/>
  <c r="I1196" i="4" s="1"/>
  <c r="I1197" i="4" s="1"/>
  <c r="I1198" i="4" s="1"/>
  <c r="A1200" i="4"/>
  <c r="A1201" i="4" s="1"/>
  <c r="A1202" i="4" s="1"/>
  <c r="A1203" i="4" s="1"/>
  <c r="A1204" i="4" s="1"/>
  <c r="I1200" i="4"/>
  <c r="I1201" i="4"/>
  <c r="I1202" i="4" s="1"/>
  <c r="I1203" i="4" s="1"/>
  <c r="I1204" i="4" s="1"/>
  <c r="A1205" i="4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I1205" i="4"/>
  <c r="I1206" i="4" s="1"/>
  <c r="I1207" i="4" s="1"/>
  <c r="I1208" i="4" s="1"/>
  <c r="I1209" i="4" s="1"/>
  <c r="I1210" i="4" s="1"/>
  <c r="I1211" i="4" s="1"/>
  <c r="I1212" i="4" s="1"/>
  <c r="I1213" i="4" s="1"/>
  <c r="I1214" i="4" s="1"/>
  <c r="I1215" i="4" s="1"/>
  <c r="I1216" i="4" s="1"/>
  <c r="I1217" i="4" s="1"/>
  <c r="I1218" i="4" s="1"/>
  <c r="I1219" i="4" s="1"/>
  <c r="I1220" i="4" s="1"/>
  <c r="I1221" i="4" s="1"/>
  <c r="I1222" i="4" s="1"/>
  <c r="I1223" i="4" s="1"/>
  <c r="I1224" i="4" s="1"/>
  <c r="I1225" i="4" s="1"/>
  <c r="I1226" i="4" s="1"/>
  <c r="I1227" i="4" s="1"/>
  <c r="I1228" i="4" s="1"/>
  <c r="I1229" i="4" s="1"/>
  <c r="I1230" i="4" s="1"/>
  <c r="A1232" i="4"/>
  <c r="H1232" i="4"/>
  <c r="I1232" i="4"/>
  <c r="I1233" i="4" s="1"/>
  <c r="A1233" i="4"/>
  <c r="A1234" i="4" s="1"/>
  <c r="A1235" i="4" s="1"/>
  <c r="A1236" i="4" s="1"/>
  <c r="A1237" i="4" s="1"/>
  <c r="A1238" i="4" s="1"/>
  <c r="H1233" i="4"/>
  <c r="H1234" i="4"/>
  <c r="H1235" i="4" s="1"/>
  <c r="H1236" i="4" s="1"/>
  <c r="H1237" i="4" s="1"/>
  <c r="H1238" i="4" s="1"/>
  <c r="I1234" i="4"/>
  <c r="I1235" i="4" s="1"/>
  <c r="I1236" i="4" s="1"/>
  <c r="I1237" i="4" s="1"/>
  <c r="I1238" i="4" s="1"/>
  <c r="A1240" i="4"/>
  <c r="A1241" i="4" s="1"/>
  <c r="H1240" i="4"/>
  <c r="I1240" i="4"/>
  <c r="H1241" i="4"/>
  <c r="I1241" i="4"/>
  <c r="I1242" i="4" s="1"/>
  <c r="I1243" i="4" s="1"/>
  <c r="I1244" i="4" s="1"/>
  <c r="I1245" i="4" s="1"/>
  <c r="I1246" i="4" s="1"/>
  <c r="A1242" i="4"/>
  <c r="A1243" i="4" s="1"/>
  <c r="A1244" i="4" s="1"/>
  <c r="A1245" i="4" s="1"/>
  <c r="A1246" i="4" s="1"/>
  <c r="H1242" i="4"/>
  <c r="H1243" i="4" s="1"/>
  <c r="H1244" i="4" s="1"/>
  <c r="H1245" i="4" s="1"/>
  <c r="H1246" i="4" s="1"/>
  <c r="A1248" i="4"/>
  <c r="H1248" i="4"/>
  <c r="I1248" i="4"/>
  <c r="I1249" i="4" s="1"/>
  <c r="A1249" i="4"/>
  <c r="A1250" i="4" s="1"/>
  <c r="H1249" i="4"/>
  <c r="H1250" i="4"/>
  <c r="I1250" i="4"/>
  <c r="A1252" i="4"/>
  <c r="H1252" i="4"/>
  <c r="I1252" i="4"/>
  <c r="I1253" i="4" s="1"/>
  <c r="I1254" i="4" s="1"/>
  <c r="I1255" i="4" s="1"/>
  <c r="I1256" i="4" s="1"/>
  <c r="I1257" i="4" s="1"/>
  <c r="I1258" i="4" s="1"/>
  <c r="I1259" i="4" s="1"/>
  <c r="I1260" i="4" s="1"/>
  <c r="I1261" i="4" s="1"/>
  <c r="I1262" i="4" s="1"/>
  <c r="I1263" i="4" s="1"/>
  <c r="I1264" i="4" s="1"/>
  <c r="I1265" i="4" s="1"/>
  <c r="I1266" i="4" s="1"/>
  <c r="A1253" i="4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H1253" i="4"/>
  <c r="H1254" i="4" s="1"/>
  <c r="H1255" i="4"/>
  <c r="H1256" i="4" s="1"/>
  <c r="H1257" i="4" s="1"/>
  <c r="H1258" i="4" s="1"/>
  <c r="H1259" i="4" s="1"/>
  <c r="H1260" i="4" s="1"/>
  <c r="H1261" i="4" s="1"/>
  <c r="H1262" i="4" s="1"/>
  <c r="H1263" i="4" s="1"/>
  <c r="H1264" i="4" s="1"/>
  <c r="H1265" i="4" s="1"/>
  <c r="H1266" i="4" s="1"/>
  <c r="A1268" i="4"/>
  <c r="H1268" i="4"/>
  <c r="A1269" i="4"/>
  <c r="A1270" i="4" s="1"/>
  <c r="H1269" i="4"/>
  <c r="H1270" i="4" s="1"/>
  <c r="A1272" i="4"/>
  <c r="A1273" i="4" s="1"/>
  <c r="A1274" i="4" s="1"/>
  <c r="A1275" i="4" s="1"/>
  <c r="A1276" i="4" s="1"/>
  <c r="A1277" i="4" s="1"/>
  <c r="A1278" i="4" s="1"/>
  <c r="H1272" i="4"/>
  <c r="H1273" i="4"/>
  <c r="H1274" i="4" s="1"/>
  <c r="H1276" i="4"/>
  <c r="H1277" i="4"/>
  <c r="H1278" i="4" s="1"/>
  <c r="A6" i="3"/>
  <c r="B6" i="3"/>
  <c r="C6" i="3"/>
  <c r="D6" i="3"/>
  <c r="A7" i="3"/>
  <c r="B7" i="3"/>
  <c r="C7" i="3"/>
  <c r="D7" i="3"/>
  <c r="A8" i="3"/>
  <c r="A9" i="3" s="1"/>
  <c r="A10" i="3" s="1"/>
  <c r="B8" i="3"/>
  <c r="B9" i="3" s="1"/>
  <c r="B10" i="3" s="1"/>
  <c r="B11" i="3" s="1"/>
  <c r="B12" i="3" s="1"/>
  <c r="B13" i="3" s="1"/>
  <c r="C8" i="3"/>
  <c r="C9" i="3" s="1"/>
  <c r="C10" i="3" s="1"/>
  <c r="C11" i="3" s="1"/>
  <c r="C12" i="3" s="1"/>
  <c r="C13" i="3" s="1"/>
  <c r="D8" i="3"/>
  <c r="D9" i="3"/>
  <c r="D10" i="3"/>
  <c r="H10" i="3"/>
  <c r="H11" i="3" s="1"/>
  <c r="A11" i="3"/>
  <c r="A12" i="3" s="1"/>
  <c r="D11" i="3"/>
  <c r="D12" i="3"/>
  <c r="A13" i="3"/>
  <c r="A14" i="3" s="1"/>
  <c r="A15" i="3" s="1"/>
  <c r="A16" i="3" s="1"/>
  <c r="A17" i="3" s="1"/>
  <c r="A18" i="3" s="1"/>
  <c r="D13" i="3"/>
  <c r="H13" i="3"/>
  <c r="H14" i="3" s="1"/>
  <c r="D14" i="3"/>
  <c r="D15" i="3"/>
  <c r="H15" i="3"/>
  <c r="H16" i="3" s="1"/>
  <c r="H17" i="3" s="1"/>
  <c r="H18" i="3" s="1"/>
  <c r="D16" i="3"/>
  <c r="D17" i="3"/>
  <c r="D18" i="3"/>
  <c r="D22" i="3"/>
  <c r="A23" i="3"/>
  <c r="B23" i="3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C23" i="3"/>
  <c r="D23" i="3"/>
  <c r="F23" i="3"/>
  <c r="A24" i="3"/>
  <c r="A25" i="3" s="1"/>
  <c r="A26" i="3" s="1"/>
  <c r="A27" i="3" s="1"/>
  <c r="C24" i="3"/>
  <c r="D24" i="3"/>
  <c r="F24" i="3"/>
  <c r="N24" i="3"/>
  <c r="P24" i="3" s="1"/>
  <c r="R24" i="3" s="1"/>
  <c r="C25" i="3"/>
  <c r="C26" i="3" s="1"/>
  <c r="C27" i="3" s="1"/>
  <c r="C28" i="3" s="1"/>
  <c r="C29" i="3" s="1"/>
  <c r="C30" i="3" s="1"/>
  <c r="C31" i="3" s="1"/>
  <c r="C32" i="3" s="1"/>
  <c r="C33" i="3" s="1"/>
  <c r="C34" i="3" s="1"/>
  <c r="D25" i="3"/>
  <c r="H25" i="3"/>
  <c r="D26" i="3"/>
  <c r="I26" i="3"/>
  <c r="I27" i="3" s="1"/>
  <c r="AH26" i="3"/>
  <c r="AH27" i="3" s="1"/>
  <c r="AH28" i="3" s="1"/>
  <c r="D27" i="3"/>
  <c r="A28" i="3"/>
  <c r="A29" i="3" s="1"/>
  <c r="A30" i="3" s="1"/>
  <c r="A31" i="3" s="1"/>
  <c r="D28" i="3"/>
  <c r="I28" i="3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D29" i="3"/>
  <c r="AH29" i="3"/>
  <c r="AH30" i="3" s="1"/>
  <c r="AH31" i="3" s="1"/>
  <c r="AH32" i="3" s="1"/>
  <c r="D30" i="3"/>
  <c r="D31" i="3"/>
  <c r="A32" i="3"/>
  <c r="A33" i="3" s="1"/>
  <c r="D32" i="3"/>
  <c r="D33" i="3"/>
  <c r="AH33" i="3"/>
  <c r="AH34" i="3" s="1"/>
  <c r="AH35" i="3" s="1"/>
  <c r="AH36" i="3" s="1"/>
  <c r="A34" i="3"/>
  <c r="A35" i="3" s="1"/>
  <c r="D34" i="3"/>
  <c r="C35" i="3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D35" i="3"/>
  <c r="A36" i="3"/>
  <c r="A37" i="3" s="1"/>
  <c r="D36" i="3"/>
  <c r="D37" i="3"/>
  <c r="AH37" i="3"/>
  <c r="AH38" i="3" s="1"/>
  <c r="AH39" i="3" s="1"/>
  <c r="AH40" i="3" s="1"/>
  <c r="AH41" i="3" s="1"/>
  <c r="AH42" i="3" s="1"/>
  <c r="AH43" i="3" s="1"/>
  <c r="AH44" i="3" s="1"/>
  <c r="AH45" i="3" s="1"/>
  <c r="AH46" i="3" s="1"/>
  <c r="AH47" i="3" s="1"/>
  <c r="AH48" i="3" s="1"/>
  <c r="AH49" i="3" s="1"/>
  <c r="AH50" i="3" s="1"/>
  <c r="AH51" i="3" s="1"/>
  <c r="AH52" i="3" s="1"/>
  <c r="AH53" i="3" s="1"/>
  <c r="AH54" i="3" s="1"/>
  <c r="AH55" i="3" s="1"/>
  <c r="AH56" i="3" s="1"/>
  <c r="A38" i="3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D38" i="3"/>
  <c r="D39" i="3"/>
  <c r="D40" i="3"/>
  <c r="D41" i="3"/>
  <c r="D42" i="3"/>
  <c r="D43" i="3"/>
  <c r="D44" i="3"/>
  <c r="D45" i="3"/>
  <c r="D46" i="3"/>
  <c r="I46" i="3"/>
  <c r="I47" i="3" s="1"/>
  <c r="I48" i="3" s="1"/>
  <c r="I49" i="3" s="1"/>
  <c r="D47" i="3"/>
  <c r="D48" i="3"/>
  <c r="D49" i="3"/>
  <c r="D50" i="3"/>
  <c r="I50" i="3"/>
  <c r="I51" i="3" s="1"/>
  <c r="D51" i="3"/>
  <c r="D52" i="3"/>
  <c r="I52" i="3"/>
  <c r="I53" i="3" s="1"/>
  <c r="D53" i="3"/>
  <c r="D54" i="3"/>
  <c r="I54" i="3"/>
  <c r="I55" i="3" s="1"/>
  <c r="I56" i="3" s="1"/>
  <c r="D55" i="3"/>
  <c r="D56" i="3"/>
  <c r="D57" i="3"/>
  <c r="A58" i="3"/>
  <c r="D58" i="3"/>
  <c r="I58" i="3"/>
  <c r="AH58" i="3"/>
  <c r="A59" i="3"/>
  <c r="A60" i="3" s="1"/>
  <c r="A61" i="3" s="1"/>
  <c r="A62" i="3" s="1"/>
  <c r="D59" i="3"/>
  <c r="I59" i="3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AH59" i="3"/>
  <c r="D60" i="3"/>
  <c r="AH60" i="3"/>
  <c r="D61" i="3"/>
  <c r="AH61" i="3"/>
  <c r="AH62" i="3" s="1"/>
  <c r="AH63" i="3" s="1"/>
  <c r="AH64" i="3" s="1"/>
  <c r="D62" i="3"/>
  <c r="A63" i="3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D63" i="3"/>
  <c r="D64" i="3"/>
  <c r="D65" i="3"/>
  <c r="AH65" i="3"/>
  <c r="AH66" i="3" s="1"/>
  <c r="AH67" i="3" s="1"/>
  <c r="AH68" i="3" s="1"/>
  <c r="AH69" i="3" s="1"/>
  <c r="AH70" i="3" s="1"/>
  <c r="AH71" i="3" s="1"/>
  <c r="AH72" i="3" s="1"/>
  <c r="AH73" i="3" s="1"/>
  <c r="AH74" i="3" s="1"/>
  <c r="AH75" i="3" s="1"/>
  <c r="AH76" i="3" s="1"/>
  <c r="AH77" i="3" s="1"/>
  <c r="AH78" i="3" s="1"/>
  <c r="AH79" i="3" s="1"/>
  <c r="AH80" i="3" s="1"/>
  <c r="AH81" i="3" s="1"/>
  <c r="AH82" i="3" s="1"/>
  <c r="AH83" i="3" s="1"/>
  <c r="AH84" i="3" s="1"/>
  <c r="AH85" i="3" s="1"/>
  <c r="AH86" i="3" s="1"/>
  <c r="AH87" i="3" s="1"/>
  <c r="AH88" i="3" s="1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I87" i="3"/>
  <c r="I88" i="3" s="1"/>
  <c r="D88" i="3"/>
  <c r="D89" i="3"/>
  <c r="A90" i="3"/>
  <c r="A91" i="3" s="1"/>
  <c r="D90" i="3"/>
  <c r="I90" i="3"/>
  <c r="I91" i="3" s="1"/>
  <c r="I92" i="3" s="1"/>
  <c r="I93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AH90" i="3"/>
  <c r="D91" i="3"/>
  <c r="AH91" i="3"/>
  <c r="AH92" i="3" s="1"/>
  <c r="AH93" i="3" s="1"/>
  <c r="AH94" i="3" s="1"/>
  <c r="AH95" i="3" s="1"/>
  <c r="AH96" i="3" s="1"/>
  <c r="AH97" i="3" s="1"/>
  <c r="AH98" i="3" s="1"/>
  <c r="AH99" i="3" s="1"/>
  <c r="AH100" i="3" s="1"/>
  <c r="AH101" i="3" s="1"/>
  <c r="AH102" i="3" s="1"/>
  <c r="AH103" i="3" s="1"/>
  <c r="AH104" i="3" s="1"/>
  <c r="AH105" i="3" s="1"/>
  <c r="AH106" i="3" s="1"/>
  <c r="AH107" i="3" s="1"/>
  <c r="AH108" i="3" s="1"/>
  <c r="AH109" i="3" s="1"/>
  <c r="AH110" i="3" s="1"/>
  <c r="AH111" i="3" s="1"/>
  <c r="AH112" i="3" s="1"/>
  <c r="AH113" i="3" s="1"/>
  <c r="AH114" i="3" s="1"/>
  <c r="AH115" i="3" s="1"/>
  <c r="AH116" i="3" s="1"/>
  <c r="AH117" i="3" s="1"/>
  <c r="AH118" i="3" s="1"/>
  <c r="AH119" i="3" s="1"/>
  <c r="AH120" i="3" s="1"/>
  <c r="A92" i="3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I104" i="3"/>
  <c r="I105" i="3" s="1"/>
  <c r="I106" i="3" s="1"/>
  <c r="I107" i="3" s="1"/>
  <c r="D105" i="3"/>
  <c r="D106" i="3"/>
  <c r="D107" i="3"/>
  <c r="D108" i="3"/>
  <c r="I108" i="3"/>
  <c r="I109" i="3" s="1"/>
  <c r="I110" i="3" s="1"/>
  <c r="I111" i="3" s="1"/>
  <c r="D109" i="3"/>
  <c r="D110" i="3"/>
  <c r="D111" i="3"/>
  <c r="D112" i="3"/>
  <c r="I112" i="3"/>
  <c r="I113" i="3" s="1"/>
  <c r="I114" i="3" s="1"/>
  <c r="I115" i="3" s="1"/>
  <c r="I116" i="3" s="1"/>
  <c r="I117" i="3" s="1"/>
  <c r="I118" i="3" s="1"/>
  <c r="I119" i="3" s="1"/>
  <c r="I120" i="3" s="1"/>
  <c r="D113" i="3"/>
  <c r="D114" i="3"/>
  <c r="D115" i="3"/>
  <c r="D116" i="3"/>
  <c r="D117" i="3"/>
  <c r="D118" i="3"/>
  <c r="D119" i="3"/>
  <c r="D120" i="3"/>
  <c r="D121" i="3"/>
  <c r="A122" i="3"/>
  <c r="A123" i="3" s="1"/>
  <c r="A124" i="3" s="1"/>
  <c r="A125" i="3" s="1"/>
  <c r="A126" i="3" s="1"/>
  <c r="D122" i="3"/>
  <c r="I122" i="3"/>
  <c r="AH122" i="3"/>
  <c r="D123" i="3"/>
  <c r="I123" i="3"/>
  <c r="I124" i="3" s="1"/>
  <c r="I125" i="3" s="1"/>
  <c r="I126" i="3" s="1"/>
  <c r="I127" i="3" s="1"/>
  <c r="I128" i="3" s="1"/>
  <c r="I129" i="3" s="1"/>
  <c r="I130" i="3" s="1"/>
  <c r="I131" i="3" s="1"/>
  <c r="I132" i="3" s="1"/>
  <c r="I133" i="3" s="1"/>
  <c r="I134" i="3" s="1"/>
  <c r="I135" i="3" s="1"/>
  <c r="I136" i="3" s="1"/>
  <c r="I137" i="3" s="1"/>
  <c r="I138" i="3" s="1"/>
  <c r="I139" i="3" s="1"/>
  <c r="I140" i="3" s="1"/>
  <c r="I141" i="3" s="1"/>
  <c r="I142" i="3" s="1"/>
  <c r="I143" i="3" s="1"/>
  <c r="I144" i="3" s="1"/>
  <c r="I145" i="3" s="1"/>
  <c r="I146" i="3" s="1"/>
  <c r="I147" i="3" s="1"/>
  <c r="I148" i="3" s="1"/>
  <c r="I149" i="3" s="1"/>
  <c r="I150" i="3" s="1"/>
  <c r="I151" i="3" s="1"/>
  <c r="I152" i="3" s="1"/>
  <c r="AH123" i="3"/>
  <c r="AH124" i="3" s="1"/>
  <c r="AH125" i="3" s="1"/>
  <c r="AH126" i="3" s="1"/>
  <c r="AH127" i="3" s="1"/>
  <c r="AH128" i="3" s="1"/>
  <c r="AH129" i="3" s="1"/>
  <c r="AH130" i="3" s="1"/>
  <c r="AH131" i="3" s="1"/>
  <c r="AH132" i="3" s="1"/>
  <c r="AH133" i="3" s="1"/>
  <c r="AH134" i="3" s="1"/>
  <c r="AH135" i="3" s="1"/>
  <c r="AH136" i="3" s="1"/>
  <c r="AH137" i="3" s="1"/>
  <c r="AH138" i="3" s="1"/>
  <c r="AH139" i="3" s="1"/>
  <c r="AH140" i="3" s="1"/>
  <c r="AH141" i="3" s="1"/>
  <c r="AH142" i="3" s="1"/>
  <c r="AH143" i="3" s="1"/>
  <c r="AH144" i="3" s="1"/>
  <c r="AH145" i="3" s="1"/>
  <c r="AH146" i="3" s="1"/>
  <c r="AH147" i="3" s="1"/>
  <c r="AH148" i="3" s="1"/>
  <c r="AH149" i="3" s="1"/>
  <c r="AH150" i="3" s="1"/>
  <c r="AH151" i="3" s="1"/>
  <c r="AH152" i="3" s="1"/>
  <c r="D124" i="3"/>
  <c r="D125" i="3"/>
  <c r="D126" i="3"/>
  <c r="A127" i="3"/>
  <c r="A128" i="3" s="1"/>
  <c r="A129" i="3" s="1"/>
  <c r="D127" i="3"/>
  <c r="D128" i="3"/>
  <c r="D129" i="3"/>
  <c r="A130" i="3"/>
  <c r="A131" i="3" s="1"/>
  <c r="A132" i="3" s="1"/>
  <c r="A133" i="3" s="1"/>
  <c r="A134" i="3" s="1"/>
  <c r="A135" i="3" s="1"/>
  <c r="A136" i="3" s="1"/>
  <c r="A137" i="3" s="1"/>
  <c r="D130" i="3"/>
  <c r="D131" i="3"/>
  <c r="D132" i="3"/>
  <c r="D133" i="3"/>
  <c r="D134" i="3"/>
  <c r="D135" i="3"/>
  <c r="D136" i="3"/>
  <c r="D137" i="3"/>
  <c r="A138" i="3"/>
  <c r="A139" i="3" s="1"/>
  <c r="A140" i="3" s="1"/>
  <c r="D138" i="3"/>
  <c r="D139" i="3"/>
  <c r="D140" i="3"/>
  <c r="A141" i="3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A154" i="3"/>
  <c r="D154" i="3"/>
  <c r="I154" i="3"/>
  <c r="I155" i="3" s="1"/>
  <c r="I156" i="3" s="1"/>
  <c r="I157" i="3" s="1"/>
  <c r="AH154" i="3"/>
  <c r="AH155" i="3" s="1"/>
  <c r="A155" i="3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D155" i="3"/>
  <c r="D156" i="3"/>
  <c r="AH156" i="3"/>
  <c r="AH157" i="3" s="1"/>
  <c r="D157" i="3"/>
  <c r="D158" i="3"/>
  <c r="I158" i="3"/>
  <c r="I159" i="3" s="1"/>
  <c r="I160" i="3" s="1"/>
  <c r="I161" i="3" s="1"/>
  <c r="I162" i="3" s="1"/>
  <c r="I163" i="3" s="1"/>
  <c r="I164" i="3" s="1"/>
  <c r="I165" i="3" s="1"/>
  <c r="AH158" i="3"/>
  <c r="AH159" i="3" s="1"/>
  <c r="AH160" i="3" s="1"/>
  <c r="AH161" i="3" s="1"/>
  <c r="AH162" i="3" s="1"/>
  <c r="AH163" i="3" s="1"/>
  <c r="AH164" i="3" s="1"/>
  <c r="AH165" i="3" s="1"/>
  <c r="AH166" i="3" s="1"/>
  <c r="AH167" i="3" s="1"/>
  <c r="AH168" i="3" s="1"/>
  <c r="AH169" i="3" s="1"/>
  <c r="AH170" i="3" s="1"/>
  <c r="AH171" i="3" s="1"/>
  <c r="AH172" i="3" s="1"/>
  <c r="AH173" i="3" s="1"/>
  <c r="AH174" i="3" s="1"/>
  <c r="AH175" i="3" s="1"/>
  <c r="AH176" i="3" s="1"/>
  <c r="AH177" i="3" s="1"/>
  <c r="AH178" i="3" s="1"/>
  <c r="AH179" i="3" s="1"/>
  <c r="AH180" i="3" s="1"/>
  <c r="AH181" i="3" s="1"/>
  <c r="AH182" i="3" s="1"/>
  <c r="AH183" i="3" s="1"/>
  <c r="AH184" i="3" s="1"/>
  <c r="D159" i="3"/>
  <c r="D160" i="3"/>
  <c r="D161" i="3"/>
  <c r="D162" i="3"/>
  <c r="D163" i="3"/>
  <c r="D164" i="3"/>
  <c r="D165" i="3"/>
  <c r="D166" i="3"/>
  <c r="I166" i="3"/>
  <c r="I167" i="3" s="1"/>
  <c r="I168" i="3" s="1"/>
  <c r="I169" i="3" s="1"/>
  <c r="I170" i="3" s="1"/>
  <c r="I171" i="3" s="1"/>
  <c r="I172" i="3" s="1"/>
  <c r="I173" i="3" s="1"/>
  <c r="I174" i="3" s="1"/>
  <c r="I175" i="3" s="1"/>
  <c r="I176" i="3" s="1"/>
  <c r="I177" i="3" s="1"/>
  <c r="I178" i="3" s="1"/>
  <c r="I179" i="3" s="1"/>
  <c r="I180" i="3" s="1"/>
  <c r="I181" i="3" s="1"/>
  <c r="I182" i="3" s="1"/>
  <c r="I183" i="3" s="1"/>
  <c r="I184" i="3" s="1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W185" i="3"/>
  <c r="A186" i="3"/>
  <c r="A187" i="3" s="1"/>
  <c r="A188" i="3" s="1"/>
  <c r="A189" i="3" s="1"/>
  <c r="A190" i="3" s="1"/>
  <c r="D186" i="3"/>
  <c r="F186" i="3"/>
  <c r="H186" i="3"/>
  <c r="H187" i="3" s="1"/>
  <c r="H188" i="3" s="1"/>
  <c r="H189" i="3" s="1"/>
  <c r="I186" i="3"/>
  <c r="W186" i="3"/>
  <c r="AH186" i="3"/>
  <c r="D187" i="3"/>
  <c r="F187" i="3"/>
  <c r="I187" i="3"/>
  <c r="AH187" i="3"/>
  <c r="D188" i="3"/>
  <c r="I188" i="3"/>
  <c r="I189" i="3" s="1"/>
  <c r="AH188" i="3"/>
  <c r="AH189" i="3" s="1"/>
  <c r="AH190" i="3" s="1"/>
  <c r="AH191" i="3" s="1"/>
  <c r="AH192" i="3" s="1"/>
  <c r="AH193" i="3" s="1"/>
  <c r="AH194" i="3" s="1"/>
  <c r="AH195" i="3" s="1"/>
  <c r="AH196" i="3" s="1"/>
  <c r="AH197" i="3" s="1"/>
  <c r="AH198" i="3" s="1"/>
  <c r="AH199" i="3" s="1"/>
  <c r="AH200" i="3" s="1"/>
  <c r="AH201" i="3" s="1"/>
  <c r="AH202" i="3" s="1"/>
  <c r="AH203" i="3" s="1"/>
  <c r="D189" i="3"/>
  <c r="D190" i="3"/>
  <c r="H190" i="3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H205" i="3" s="1"/>
  <c r="H206" i="3" s="1"/>
  <c r="H207" i="3" s="1"/>
  <c r="H208" i="3" s="1"/>
  <c r="H209" i="3" s="1"/>
  <c r="H210" i="3" s="1"/>
  <c r="H211" i="3" s="1"/>
  <c r="H212" i="3" s="1"/>
  <c r="H213" i="3" s="1"/>
  <c r="H214" i="3" s="1"/>
  <c r="H215" i="3" s="1"/>
  <c r="H216" i="3" s="1"/>
  <c r="I190" i="3"/>
  <c r="I191" i="3" s="1"/>
  <c r="I192" i="3" s="1"/>
  <c r="I193" i="3" s="1"/>
  <c r="I194" i="3" s="1"/>
  <c r="I195" i="3" s="1"/>
  <c r="I196" i="3" s="1"/>
  <c r="I197" i="3" s="1"/>
  <c r="I198" i="3" s="1"/>
  <c r="I199" i="3" s="1"/>
  <c r="I200" i="3" s="1"/>
  <c r="I201" i="3" s="1"/>
  <c r="I202" i="3" s="1"/>
  <c r="I203" i="3" s="1"/>
  <c r="I204" i="3" s="1"/>
  <c r="I205" i="3" s="1"/>
  <c r="I206" i="3" s="1"/>
  <c r="I207" i="3" s="1"/>
  <c r="I208" i="3" s="1"/>
  <c r="I209" i="3" s="1"/>
  <c r="I210" i="3" s="1"/>
  <c r="I211" i="3" s="1"/>
  <c r="I212" i="3" s="1"/>
  <c r="I213" i="3" s="1"/>
  <c r="I214" i="3" s="1"/>
  <c r="I215" i="3" s="1"/>
  <c r="I216" i="3" s="1"/>
  <c r="A191" i="3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AH204" i="3"/>
  <c r="AH205" i="3" s="1"/>
  <c r="AH206" i="3" s="1"/>
  <c r="AH207" i="3" s="1"/>
  <c r="AH208" i="3" s="1"/>
  <c r="D205" i="3"/>
  <c r="D206" i="3"/>
  <c r="D207" i="3"/>
  <c r="D208" i="3"/>
  <c r="D209" i="3"/>
  <c r="AH209" i="3"/>
  <c r="AH210" i="3" s="1"/>
  <c r="AH211" i="3" s="1"/>
  <c r="AH212" i="3" s="1"/>
  <c r="AH213" i="3" s="1"/>
  <c r="AH214" i="3" s="1"/>
  <c r="AH215" i="3" s="1"/>
  <c r="AH216" i="3" s="1"/>
  <c r="D210" i="3"/>
  <c r="D211" i="3"/>
  <c r="D212" i="3"/>
  <c r="D213" i="3"/>
  <c r="D214" i="3"/>
  <c r="D215" i="3"/>
  <c r="D216" i="3"/>
  <c r="D217" i="3"/>
  <c r="H217" i="3"/>
  <c r="H218" i="3" s="1"/>
  <c r="H219" i="3" s="1"/>
  <c r="H220" i="3" s="1"/>
  <c r="W217" i="3"/>
  <c r="A218" i="3"/>
  <c r="B218" i="3"/>
  <c r="B219" i="3" s="1"/>
  <c r="C218" i="3"/>
  <c r="D218" i="3"/>
  <c r="F218" i="3"/>
  <c r="I218" i="3"/>
  <c r="A219" i="3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C219" i="3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D219" i="3"/>
  <c r="I219" i="3"/>
  <c r="B220" i="3"/>
  <c r="D220" i="3"/>
  <c r="I220" i="3"/>
  <c r="I221" i="3" s="1"/>
  <c r="I222" i="3" s="1"/>
  <c r="I223" i="3" s="1"/>
  <c r="I224" i="3" s="1"/>
  <c r="I225" i="3" s="1"/>
  <c r="I226" i="3" s="1"/>
  <c r="I227" i="3" s="1"/>
  <c r="I228" i="3" s="1"/>
  <c r="I229" i="3" s="1"/>
  <c r="I230" i="3" s="1"/>
  <c r="I231" i="3" s="1"/>
  <c r="I232" i="3" s="1"/>
  <c r="B221" i="3"/>
  <c r="B222" i="3" s="1"/>
  <c r="B223" i="3" s="1"/>
  <c r="B224" i="3" s="1"/>
  <c r="D221" i="3"/>
  <c r="H221" i="3"/>
  <c r="H222" i="3" s="1"/>
  <c r="H223" i="3" s="1"/>
  <c r="H224" i="3" s="1"/>
  <c r="H225" i="3" s="1"/>
  <c r="H226" i="3" s="1"/>
  <c r="H227" i="3" s="1"/>
  <c r="H228" i="3" s="1"/>
  <c r="H229" i="3" s="1"/>
  <c r="H230" i="3" s="1"/>
  <c r="H231" i="3" s="1"/>
  <c r="H232" i="3" s="1"/>
  <c r="D222" i="3"/>
  <c r="D223" i="3"/>
  <c r="D224" i="3"/>
  <c r="B225" i="3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D225" i="3"/>
  <c r="D226" i="3"/>
  <c r="D227" i="3"/>
  <c r="D228" i="3"/>
  <c r="D229" i="3"/>
  <c r="D230" i="3"/>
  <c r="D231" i="3"/>
  <c r="D232" i="3"/>
  <c r="D233" i="3"/>
  <c r="H233" i="3"/>
  <c r="H237" i="3" s="1"/>
  <c r="H238" i="3" s="1"/>
  <c r="H239" i="3" s="1"/>
  <c r="H240" i="3" s="1"/>
  <c r="A234" i="3"/>
  <c r="D234" i="3"/>
  <c r="H234" i="3"/>
  <c r="H235" i="3" s="1"/>
  <c r="H236" i="3" s="1"/>
  <c r="I234" i="3"/>
  <c r="I235" i="3" s="1"/>
  <c r="A235" i="3"/>
  <c r="A236" i="3" s="1"/>
  <c r="D235" i="3"/>
  <c r="D236" i="3"/>
  <c r="I236" i="3"/>
  <c r="D237" i="3"/>
  <c r="A238" i="3"/>
  <c r="A239" i="3" s="1"/>
  <c r="A240" i="3" s="1"/>
  <c r="D238" i="3"/>
  <c r="I238" i="3"/>
  <c r="D239" i="3"/>
  <c r="I239" i="3"/>
  <c r="I240" i="3" s="1"/>
  <c r="D240" i="3"/>
  <c r="D241" i="3"/>
  <c r="A242" i="3"/>
  <c r="D242" i="3"/>
  <c r="I242" i="3"/>
  <c r="A243" i="3"/>
  <c r="A244" i="3" s="1"/>
  <c r="D243" i="3"/>
  <c r="I243" i="3"/>
  <c r="I244" i="3" s="1"/>
  <c r="D244" i="3"/>
  <c r="D245" i="3"/>
  <c r="A246" i="3"/>
  <c r="D246" i="3"/>
  <c r="I246" i="3"/>
  <c r="A247" i="3"/>
  <c r="A248" i="3" s="1"/>
  <c r="D247" i="3"/>
  <c r="I247" i="3"/>
  <c r="I248" i="3" s="1"/>
  <c r="D248" i="3"/>
  <c r="A251" i="3"/>
  <c r="AH251" i="3"/>
  <c r="AH252" i="3" s="1"/>
  <c r="AH253" i="3"/>
  <c r="AH254" i="3" s="1"/>
  <c r="AH255" i="3" s="1"/>
  <c r="H285" i="3"/>
  <c r="U285" i="3"/>
  <c r="U286" i="3" s="1"/>
  <c r="X285" i="3"/>
  <c r="X286" i="3" s="1"/>
  <c r="Y285" i="3"/>
  <c r="H286" i="3"/>
  <c r="Y286" i="3"/>
  <c r="Y287" i="3" s="1"/>
  <c r="Y288" i="3" s="1"/>
  <c r="Y289" i="3" s="1"/>
  <c r="Y290" i="3" s="1"/>
  <c r="Y291" i="3" s="1"/>
  <c r="Y292" i="3" s="1"/>
  <c r="Y293" i="3" s="1"/>
  <c r="H287" i="3"/>
  <c r="U287" i="3"/>
  <c r="U288" i="3" s="1"/>
  <c r="U289" i="3" s="1"/>
  <c r="X287" i="3"/>
  <c r="X288" i="3" s="1"/>
  <c r="X289" i="3" s="1"/>
  <c r="X290" i="3" s="1"/>
  <c r="X291" i="3" s="1"/>
  <c r="X292" i="3" s="1"/>
  <c r="X293" i="3" s="1"/>
  <c r="H288" i="3"/>
  <c r="H289" i="3" s="1"/>
  <c r="H290" i="3" s="1"/>
  <c r="H291" i="3" s="1"/>
  <c r="H292" i="3" s="1"/>
  <c r="H293" i="3" s="1"/>
  <c r="U290" i="3"/>
  <c r="U291" i="3" s="1"/>
  <c r="U292" i="3" s="1"/>
  <c r="U293" i="3" s="1"/>
  <c r="H296" i="3"/>
  <c r="H297" i="3"/>
  <c r="H298" i="3" s="1"/>
  <c r="H299" i="3" s="1"/>
  <c r="H300" i="3" s="1"/>
  <c r="H301" i="3" s="1"/>
  <c r="H302" i="3" s="1"/>
  <c r="H303" i="3" s="1"/>
  <c r="H304" i="3" s="1"/>
  <c r="H305" i="3" s="1"/>
  <c r="H306" i="3" s="1"/>
  <c r="H307" i="3" s="1"/>
  <c r="H308" i="3" s="1"/>
  <c r="H311" i="3"/>
  <c r="H312" i="3" s="1"/>
  <c r="H313" i="3" s="1"/>
  <c r="H314" i="3" s="1"/>
  <c r="H315" i="3" s="1"/>
  <c r="H316" i="3" s="1"/>
  <c r="H317" i="3" s="1"/>
  <c r="H318" i="3"/>
  <c r="H319" i="3" s="1"/>
  <c r="H320" i="3" s="1"/>
  <c r="H321" i="3" s="1"/>
  <c r="H322" i="3" s="1"/>
  <c r="H323" i="3" s="1"/>
  <c r="H326" i="3"/>
  <c r="H327" i="3" s="1"/>
  <c r="H328" i="3" s="1"/>
  <c r="H329" i="3" s="1"/>
  <c r="H330" i="3" s="1"/>
  <c r="H331" i="3" s="1"/>
  <c r="H332" i="3" s="1"/>
  <c r="H333" i="3" s="1"/>
  <c r="H334" i="3" s="1"/>
  <c r="U326" i="3"/>
  <c r="U327" i="3" s="1"/>
  <c r="U328" i="3" s="1"/>
  <c r="U329" i="3" s="1"/>
  <c r="X326" i="3"/>
  <c r="X327" i="3" s="1"/>
  <c r="X328" i="3" s="1"/>
  <c r="X329" i="3" s="1"/>
  <c r="X330" i="3" s="1"/>
  <c r="X331" i="3" s="1"/>
  <c r="Y326" i="3"/>
  <c r="Y327" i="3"/>
  <c r="Y328" i="3" s="1"/>
  <c r="Y329" i="3" s="1"/>
  <c r="Y330" i="3" s="1"/>
  <c r="Y331" i="3" s="1"/>
  <c r="Y332" i="3" s="1"/>
  <c r="Y333" i="3" s="1"/>
  <c r="Y334" i="3" s="1"/>
  <c r="U330" i="3"/>
  <c r="U331" i="3" s="1"/>
  <c r="U332" i="3" s="1"/>
  <c r="U333" i="3" s="1"/>
  <c r="U334" i="3" s="1"/>
  <c r="X332" i="3"/>
  <c r="X333" i="3" s="1"/>
  <c r="X334" i="3" s="1"/>
  <c r="H337" i="3"/>
  <c r="U337" i="3"/>
  <c r="X337" i="3"/>
  <c r="X338" i="3" s="1"/>
  <c r="X339" i="3" s="1"/>
  <c r="X340" i="3" s="1"/>
  <c r="X341" i="3" s="1"/>
  <c r="X342" i="3" s="1"/>
  <c r="X343" i="3" s="1"/>
  <c r="X344" i="3" s="1"/>
  <c r="X345" i="3" s="1"/>
  <c r="Y337" i="3"/>
  <c r="H338" i="3"/>
  <c r="H339" i="3" s="1"/>
  <c r="H340" i="3" s="1"/>
  <c r="H341" i="3" s="1"/>
  <c r="H342" i="3" s="1"/>
  <c r="H343" i="3" s="1"/>
  <c r="H344" i="3" s="1"/>
  <c r="H345" i="3" s="1"/>
  <c r="U338" i="3"/>
  <c r="U339" i="3" s="1"/>
  <c r="U340" i="3" s="1"/>
  <c r="U341" i="3" s="1"/>
  <c r="U342" i="3" s="1"/>
  <c r="U343" i="3" s="1"/>
  <c r="U344" i="3" s="1"/>
  <c r="U345" i="3" s="1"/>
  <c r="Y338" i="3"/>
  <c r="Y339" i="3"/>
  <c r="Y340" i="3"/>
  <c r="Y341" i="3" s="1"/>
  <c r="Y342" i="3" s="1"/>
  <c r="Y343" i="3" s="1"/>
  <c r="Y344" i="3" s="1"/>
  <c r="Y345" i="3" s="1"/>
  <c r="H348" i="3"/>
  <c r="U348" i="3"/>
  <c r="U349" i="3" s="1"/>
  <c r="U350" i="3" s="1"/>
  <c r="U351" i="3" s="1"/>
  <c r="U352" i="3" s="1"/>
  <c r="U353" i="3" s="1"/>
  <c r="U354" i="3" s="1"/>
  <c r="U355" i="3" s="1"/>
  <c r="U356" i="3" s="1"/>
  <c r="X348" i="3"/>
  <c r="Y348" i="3"/>
  <c r="H349" i="3"/>
  <c r="H350" i="3" s="1"/>
  <c r="H351" i="3" s="1"/>
  <c r="H352" i="3" s="1"/>
  <c r="H353" i="3" s="1"/>
  <c r="H354" i="3" s="1"/>
  <c r="X349" i="3"/>
  <c r="X350" i="3" s="1"/>
  <c r="Y349" i="3"/>
  <c r="Y350" i="3"/>
  <c r="Y351" i="3" s="1"/>
  <c r="Y352" i="3" s="1"/>
  <c r="Y353" i="3" s="1"/>
  <c r="Y354" i="3" s="1"/>
  <c r="X351" i="3"/>
  <c r="X352" i="3"/>
  <c r="X353" i="3"/>
  <c r="X354" i="3" s="1"/>
  <c r="X355" i="3" s="1"/>
  <c r="X356" i="3" s="1"/>
  <c r="H355" i="3"/>
  <c r="H356" i="3" s="1"/>
  <c r="Y355" i="3"/>
  <c r="Y356" i="3" s="1"/>
  <c r="H359" i="3"/>
  <c r="U359" i="3"/>
  <c r="U360" i="3" s="1"/>
  <c r="U361" i="3" s="1"/>
  <c r="U362" i="3" s="1"/>
  <c r="X359" i="3"/>
  <c r="X360" i="3" s="1"/>
  <c r="Y359" i="3"/>
  <c r="H360" i="3"/>
  <c r="Y360" i="3"/>
  <c r="Y361" i="3" s="1"/>
  <c r="Y362" i="3" s="1"/>
  <c r="Y363" i="3" s="1"/>
  <c r="Y364" i="3" s="1"/>
  <c r="Y365" i="3" s="1"/>
  <c r="Y366" i="3" s="1"/>
  <c r="H361" i="3"/>
  <c r="X361" i="3"/>
  <c r="H362" i="3"/>
  <c r="H363" i="3" s="1"/>
  <c r="H364" i="3" s="1"/>
  <c r="H365" i="3" s="1"/>
  <c r="H366" i="3" s="1"/>
  <c r="H367" i="3" s="1"/>
  <c r="X362" i="3"/>
  <c r="X363" i="3" s="1"/>
  <c r="X364" i="3" s="1"/>
  <c r="X365" i="3" s="1"/>
  <c r="U363" i="3"/>
  <c r="U364" i="3" s="1"/>
  <c r="U365" i="3" s="1"/>
  <c r="U366" i="3" s="1"/>
  <c r="U367" i="3" s="1"/>
  <c r="X366" i="3"/>
  <c r="X367" i="3" s="1"/>
  <c r="Y367" i="3"/>
  <c r="H370" i="3"/>
  <c r="H371" i="3" s="1"/>
  <c r="U370" i="3"/>
  <c r="U371" i="3" s="1"/>
  <c r="U372" i="3" s="1"/>
  <c r="U373" i="3" s="1"/>
  <c r="U374" i="3" s="1"/>
  <c r="U375" i="3" s="1"/>
  <c r="U376" i="3" s="1"/>
  <c r="U377" i="3" s="1"/>
  <c r="U378" i="3" s="1"/>
  <c r="X370" i="3"/>
  <c r="X371" i="3" s="1"/>
  <c r="Y370" i="3"/>
  <c r="Y371" i="3"/>
  <c r="H372" i="3"/>
  <c r="H373" i="3" s="1"/>
  <c r="H374" i="3" s="1"/>
  <c r="H375" i="3" s="1"/>
  <c r="H376" i="3" s="1"/>
  <c r="H377" i="3" s="1"/>
  <c r="H378" i="3" s="1"/>
  <c r="X372" i="3"/>
  <c r="Y372" i="3"/>
  <c r="Y373" i="3" s="1"/>
  <c r="X373" i="3"/>
  <c r="X374" i="3" s="1"/>
  <c r="Y374" i="3"/>
  <c r="Y375" i="3" s="1"/>
  <c r="Y376" i="3" s="1"/>
  <c r="Y377" i="3" s="1"/>
  <c r="Y378" i="3" s="1"/>
  <c r="X375" i="3"/>
  <c r="X376" i="3" s="1"/>
  <c r="X377" i="3" s="1"/>
  <c r="X378" i="3" s="1"/>
  <c r="H381" i="3"/>
  <c r="H382" i="3" s="1"/>
  <c r="H383" i="3"/>
  <c r="H384" i="3" s="1"/>
  <c r="H385" i="3" s="1"/>
  <c r="H386" i="3" s="1"/>
  <c r="H387" i="3" s="1"/>
  <c r="H388" i="3" s="1"/>
  <c r="H389" i="3" s="1"/>
  <c r="H390" i="3" s="1"/>
  <c r="H391" i="3" s="1"/>
  <c r="H392" i="3" s="1"/>
  <c r="H393" i="3" s="1"/>
  <c r="H396" i="3"/>
  <c r="H397" i="3" s="1"/>
  <c r="H398" i="3" s="1"/>
  <c r="H399" i="3" s="1"/>
  <c r="H400" i="3" s="1"/>
  <c r="H401" i="3" s="1"/>
  <c r="H402" i="3" s="1"/>
  <c r="H403" i="3" s="1"/>
  <c r="H404" i="3" s="1"/>
  <c r="U396" i="3"/>
  <c r="U397" i="3" s="1"/>
  <c r="U398" i="3" s="1"/>
  <c r="U399" i="3" s="1"/>
  <c r="U400" i="3" s="1"/>
  <c r="U401" i="3" s="1"/>
  <c r="U402" i="3" s="1"/>
  <c r="U403" i="3" s="1"/>
  <c r="X396" i="3"/>
  <c r="Y396" i="3"/>
  <c r="Y397" i="3" s="1"/>
  <c r="Y398" i="3" s="1"/>
  <c r="Y399" i="3" s="1"/>
  <c r="X397" i="3"/>
  <c r="X398" i="3"/>
  <c r="X399" i="3" s="1"/>
  <c r="X400" i="3"/>
  <c r="Y400" i="3"/>
  <c r="Y401" i="3" s="1"/>
  <c r="Y402" i="3" s="1"/>
  <c r="Y403" i="3" s="1"/>
  <c r="Y404" i="3" s="1"/>
  <c r="X401" i="3"/>
  <c r="X402" i="3" s="1"/>
  <c r="X403" i="3"/>
  <c r="X404" i="3" s="1"/>
  <c r="U404" i="3"/>
  <c r="H407" i="3"/>
  <c r="H408" i="3"/>
  <c r="H409" i="3" s="1"/>
  <c r="H410" i="3" s="1"/>
  <c r="H411" i="3" s="1"/>
  <c r="H412" i="3" s="1"/>
  <c r="H413" i="3" s="1"/>
  <c r="H414" i="3" s="1"/>
  <c r="H415" i="3" s="1"/>
  <c r="H416" i="3" s="1"/>
  <c r="H417" i="3" s="1"/>
  <c r="H418" i="3" s="1"/>
  <c r="H419" i="3" s="1"/>
  <c r="H422" i="3"/>
  <c r="H423" i="3" s="1"/>
  <c r="H424" i="3" s="1"/>
  <c r="H425" i="3" s="1"/>
  <c r="H426" i="3" s="1"/>
  <c r="H427" i="3" s="1"/>
  <c r="U422" i="3"/>
  <c r="X422" i="3"/>
  <c r="Y422" i="3"/>
  <c r="Y423" i="3" s="1"/>
  <c r="Y424" i="3" s="1"/>
  <c r="Y425" i="3" s="1"/>
  <c r="Y426" i="3" s="1"/>
  <c r="Y427" i="3" s="1"/>
  <c r="Y428" i="3" s="1"/>
  <c r="Y429" i="3" s="1"/>
  <c r="Y430" i="3" s="1"/>
  <c r="U423" i="3"/>
  <c r="X423" i="3"/>
  <c r="X424" i="3" s="1"/>
  <c r="X425" i="3" s="1"/>
  <c r="X426" i="3" s="1"/>
  <c r="X427" i="3" s="1"/>
  <c r="X428" i="3" s="1"/>
  <c r="X429" i="3" s="1"/>
  <c r="X430" i="3" s="1"/>
  <c r="U424" i="3"/>
  <c r="U425" i="3" s="1"/>
  <c r="U426" i="3" s="1"/>
  <c r="U427" i="3" s="1"/>
  <c r="U428" i="3" s="1"/>
  <c r="H428" i="3"/>
  <c r="H429" i="3" s="1"/>
  <c r="H430" i="3" s="1"/>
  <c r="U429" i="3"/>
  <c r="U430" i="3" s="1"/>
  <c r="H439" i="3"/>
  <c r="H440" i="3" s="1"/>
  <c r="D447" i="3"/>
  <c r="A448" i="3"/>
  <c r="B448" i="3"/>
  <c r="C448" i="3"/>
  <c r="D448" i="3"/>
  <c r="F448" i="3"/>
  <c r="A449" i="3"/>
  <c r="B449" i="3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C449" i="3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D449" i="3"/>
  <c r="F449" i="3"/>
  <c r="W449" i="3" s="1"/>
  <c r="N449" i="3"/>
  <c r="P449" i="3"/>
  <c r="R449" i="3" s="1"/>
  <c r="A450" i="3"/>
  <c r="A451" i="3" s="1"/>
  <c r="A452" i="3" s="1"/>
  <c r="A453" i="3" s="1"/>
  <c r="A454" i="3" s="1"/>
  <c r="D450" i="3"/>
  <c r="H450" i="3"/>
  <c r="H452" i="3" s="1"/>
  <c r="H455" i="3" s="1"/>
  <c r="H458" i="3" s="1"/>
  <c r="D451" i="3"/>
  <c r="H451" i="3"/>
  <c r="H454" i="3" s="1"/>
  <c r="H457" i="3" s="1"/>
  <c r="H460" i="3" s="1"/>
  <c r="I451" i="3"/>
  <c r="I452" i="3" s="1"/>
  <c r="I453" i="3" s="1"/>
  <c r="I454" i="3" s="1"/>
  <c r="I455" i="3" s="1"/>
  <c r="I456" i="3" s="1"/>
  <c r="I457" i="3" s="1"/>
  <c r="D452" i="3"/>
  <c r="D453" i="3"/>
  <c r="H453" i="3"/>
  <c r="D454" i="3"/>
  <c r="A455" i="3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D455" i="3"/>
  <c r="D456" i="3"/>
  <c r="H456" i="3"/>
  <c r="H459" i="3" s="1"/>
  <c r="H462" i="3" s="1"/>
  <c r="H466" i="3" s="1"/>
  <c r="H470" i="3" s="1"/>
  <c r="H474" i="3" s="1"/>
  <c r="H478" i="3" s="1"/>
  <c r="D457" i="3"/>
  <c r="D458" i="3"/>
  <c r="I458" i="3"/>
  <c r="I459" i="3" s="1"/>
  <c r="I460" i="3" s="1"/>
  <c r="I461" i="3" s="1"/>
  <c r="I462" i="3" s="1"/>
  <c r="I463" i="3" s="1"/>
  <c r="I464" i="3" s="1"/>
  <c r="I465" i="3" s="1"/>
  <c r="I466" i="3" s="1"/>
  <c r="I467" i="3" s="1"/>
  <c r="D459" i="3"/>
  <c r="D460" i="3"/>
  <c r="D461" i="3"/>
  <c r="H461" i="3"/>
  <c r="H464" i="3" s="1"/>
  <c r="H468" i="3" s="1"/>
  <c r="H472" i="3" s="1"/>
  <c r="H476" i="3" s="1"/>
  <c r="H480" i="3" s="1"/>
  <c r="D462" i="3"/>
  <c r="D463" i="3"/>
  <c r="H463" i="3"/>
  <c r="H467" i="3" s="1"/>
  <c r="H471" i="3" s="1"/>
  <c r="H475" i="3" s="1"/>
  <c r="D464" i="3"/>
  <c r="D465" i="3"/>
  <c r="D466" i="3"/>
  <c r="D467" i="3"/>
  <c r="D468" i="3"/>
  <c r="I468" i="3"/>
  <c r="I469" i="3" s="1"/>
  <c r="I470" i="3" s="1"/>
  <c r="I471" i="3" s="1"/>
  <c r="I472" i="3" s="1"/>
  <c r="I473" i="3" s="1"/>
  <c r="I474" i="3" s="1"/>
  <c r="I475" i="3" s="1"/>
  <c r="I476" i="3" s="1"/>
  <c r="I477" i="3" s="1"/>
  <c r="I478" i="3" s="1"/>
  <c r="I479" i="3" s="1"/>
  <c r="I480" i="3" s="1"/>
  <c r="I481" i="3" s="1"/>
  <c r="D469" i="3"/>
  <c r="D470" i="3"/>
  <c r="D471" i="3"/>
  <c r="D472" i="3"/>
  <c r="B473" i="3"/>
  <c r="B474" i="3" s="1"/>
  <c r="B475" i="3" s="1"/>
  <c r="B476" i="3" s="1"/>
  <c r="B477" i="3" s="1"/>
  <c r="B478" i="3" s="1"/>
  <c r="B479" i="3" s="1"/>
  <c r="B480" i="3" s="1"/>
  <c r="B481" i="3" s="1"/>
  <c r="D473" i="3"/>
  <c r="D474" i="3"/>
  <c r="D475" i="3"/>
  <c r="D476" i="3"/>
  <c r="D477" i="3"/>
  <c r="D478" i="3"/>
  <c r="D479" i="3"/>
  <c r="H479" i="3"/>
  <c r="D480" i="3"/>
  <c r="D481" i="3"/>
  <c r="B482" i="3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D482" i="3"/>
  <c r="A483" i="3"/>
  <c r="D483" i="3"/>
  <c r="I483" i="3"/>
  <c r="I484" i="3" s="1"/>
  <c r="A484" i="3"/>
  <c r="A485" i="3" s="1"/>
  <c r="A486" i="3" s="1"/>
  <c r="A487" i="3" s="1"/>
  <c r="D484" i="3"/>
  <c r="D485" i="3"/>
  <c r="I485" i="3"/>
  <c r="I486" i="3" s="1"/>
  <c r="I487" i="3" s="1"/>
  <c r="I488" i="3" s="1"/>
  <c r="I489" i="3" s="1"/>
  <c r="I490" i="3" s="1"/>
  <c r="I491" i="3" s="1"/>
  <c r="I492" i="3" s="1"/>
  <c r="I493" i="3" s="1"/>
  <c r="I494" i="3" s="1"/>
  <c r="I495" i="3" s="1"/>
  <c r="I496" i="3" s="1"/>
  <c r="I497" i="3" s="1"/>
  <c r="I498" i="3" s="1"/>
  <c r="I499" i="3" s="1"/>
  <c r="I500" i="3" s="1"/>
  <c r="I501" i="3" s="1"/>
  <c r="I502" i="3" s="1"/>
  <c r="I503" i="3" s="1"/>
  <c r="I504" i="3" s="1"/>
  <c r="I505" i="3" s="1"/>
  <c r="I506" i="3" s="1"/>
  <c r="I507" i="3" s="1"/>
  <c r="I508" i="3" s="1"/>
  <c r="I509" i="3" s="1"/>
  <c r="I510" i="3" s="1"/>
  <c r="I511" i="3" s="1"/>
  <c r="I512" i="3" s="1"/>
  <c r="I513" i="3" s="1"/>
  <c r="D486" i="3"/>
  <c r="D487" i="3"/>
  <c r="A488" i="3"/>
  <c r="A489" i="3" s="1"/>
  <c r="D488" i="3"/>
  <c r="D489" i="3"/>
  <c r="A490" i="3"/>
  <c r="A491" i="3" s="1"/>
  <c r="A492" i="3" s="1"/>
  <c r="A493" i="3" s="1"/>
  <c r="D490" i="3"/>
  <c r="D491" i="3"/>
  <c r="D492" i="3"/>
  <c r="D493" i="3"/>
  <c r="A494" i="3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A515" i="3"/>
  <c r="D515" i="3"/>
  <c r="I515" i="3"/>
  <c r="I516" i="3" s="1"/>
  <c r="I517" i="3" s="1"/>
  <c r="I518" i="3" s="1"/>
  <c r="A516" i="3"/>
  <c r="D516" i="3"/>
  <c r="A517" i="3"/>
  <c r="A518" i="3" s="1"/>
  <c r="D517" i="3"/>
  <c r="D518" i="3"/>
  <c r="A519" i="3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D519" i="3"/>
  <c r="I519" i="3"/>
  <c r="I520" i="3" s="1"/>
  <c r="D520" i="3"/>
  <c r="D521" i="3"/>
  <c r="I521" i="3"/>
  <c r="I522" i="3" s="1"/>
  <c r="I523" i="3" s="1"/>
  <c r="I524" i="3" s="1"/>
  <c r="I525" i="3" s="1"/>
  <c r="I526" i="3" s="1"/>
  <c r="I527" i="3" s="1"/>
  <c r="I528" i="3" s="1"/>
  <c r="I529" i="3" s="1"/>
  <c r="I530" i="3" s="1"/>
  <c r="I531" i="3" s="1"/>
  <c r="I532" i="3" s="1"/>
  <c r="I533" i="3" s="1"/>
  <c r="I534" i="3" s="1"/>
  <c r="I535" i="3" s="1"/>
  <c r="I536" i="3" s="1"/>
  <c r="I537" i="3" s="1"/>
  <c r="I538" i="3" s="1"/>
  <c r="I539" i="3" s="1"/>
  <c r="I540" i="3" s="1"/>
  <c r="I541" i="3" s="1"/>
  <c r="I542" i="3" s="1"/>
  <c r="I543" i="3" s="1"/>
  <c r="I544" i="3" s="1"/>
  <c r="I545" i="3" s="1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A547" i="3"/>
  <c r="D547" i="3"/>
  <c r="I547" i="3"/>
  <c r="I548" i="3" s="1"/>
  <c r="I549" i="3" s="1"/>
  <c r="A548" i="3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D548" i="3"/>
  <c r="D549" i="3"/>
  <c r="D550" i="3"/>
  <c r="I550" i="3"/>
  <c r="D551" i="3"/>
  <c r="I551" i="3"/>
  <c r="I552" i="3" s="1"/>
  <c r="I553" i="3" s="1"/>
  <c r="I554" i="3" s="1"/>
  <c r="I555" i="3" s="1"/>
  <c r="I556" i="3" s="1"/>
  <c r="I557" i="3" s="1"/>
  <c r="I558" i="3" s="1"/>
  <c r="I559" i="3" s="1"/>
  <c r="I560" i="3" s="1"/>
  <c r="I561" i="3" s="1"/>
  <c r="I562" i="3" s="1"/>
  <c r="I563" i="3" s="1"/>
  <c r="I564" i="3" s="1"/>
  <c r="I565" i="3" s="1"/>
  <c r="I566" i="3" s="1"/>
  <c r="I567" i="3" s="1"/>
  <c r="I568" i="3" s="1"/>
  <c r="I569" i="3" s="1"/>
  <c r="I570" i="3" s="1"/>
  <c r="I571" i="3" s="1"/>
  <c r="I572" i="3" s="1"/>
  <c r="I573" i="3" s="1"/>
  <c r="I574" i="3" s="1"/>
  <c r="I575" i="3" s="1"/>
  <c r="I576" i="3" s="1"/>
  <c r="I577" i="3" s="1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A579" i="3"/>
  <c r="A580" i="3" s="1"/>
  <c r="D579" i="3"/>
  <c r="I579" i="3"/>
  <c r="D580" i="3"/>
  <c r="I580" i="3"/>
  <c r="I581" i="3" s="1"/>
  <c r="I582" i="3" s="1"/>
  <c r="I583" i="3" s="1"/>
  <c r="I584" i="3" s="1"/>
  <c r="I585" i="3" s="1"/>
  <c r="I586" i="3" s="1"/>
  <c r="I587" i="3" s="1"/>
  <c r="I588" i="3" s="1"/>
  <c r="I589" i="3" s="1"/>
  <c r="I590" i="3" s="1"/>
  <c r="I591" i="3" s="1"/>
  <c r="I592" i="3" s="1"/>
  <c r="I593" i="3" s="1"/>
  <c r="I594" i="3" s="1"/>
  <c r="I595" i="3" s="1"/>
  <c r="I596" i="3" s="1"/>
  <c r="I597" i="3" s="1"/>
  <c r="I598" i="3" s="1"/>
  <c r="I599" i="3" s="1"/>
  <c r="I600" i="3" s="1"/>
  <c r="I601" i="3" s="1"/>
  <c r="I602" i="3" s="1"/>
  <c r="I603" i="3" s="1"/>
  <c r="I604" i="3" s="1"/>
  <c r="I605" i="3" s="1"/>
  <c r="I606" i="3" s="1"/>
  <c r="I607" i="3" s="1"/>
  <c r="I608" i="3" s="1"/>
  <c r="I609" i="3" s="1"/>
  <c r="A581" i="3"/>
  <c r="D581" i="3"/>
  <c r="A582" i="3"/>
  <c r="A583" i="3" s="1"/>
  <c r="D582" i="3"/>
  <c r="D583" i="3"/>
  <c r="A584" i="3"/>
  <c r="D584" i="3"/>
  <c r="A585" i="3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A611" i="3"/>
  <c r="A612" i="3" s="1"/>
  <c r="D611" i="3"/>
  <c r="I611" i="3"/>
  <c r="D612" i="3"/>
  <c r="I612" i="3"/>
  <c r="I613" i="3" s="1"/>
  <c r="A613" i="3"/>
  <c r="D613" i="3"/>
  <c r="D614" i="3"/>
  <c r="A615" i="3"/>
  <c r="D615" i="3"/>
  <c r="H615" i="3"/>
  <c r="I615" i="3"/>
  <c r="I616" i="3" s="1"/>
  <c r="A616" i="3"/>
  <c r="D616" i="3"/>
  <c r="H616" i="3"/>
  <c r="H617" i="3" s="1"/>
  <c r="A617" i="3"/>
  <c r="D617" i="3"/>
  <c r="I617" i="3"/>
  <c r="D618" i="3"/>
  <c r="A619" i="3"/>
  <c r="D619" i="3"/>
  <c r="H619" i="3"/>
  <c r="I619" i="3"/>
  <c r="A620" i="3"/>
  <c r="D620" i="3"/>
  <c r="H620" i="3"/>
  <c r="H621" i="3" s="1"/>
  <c r="I620" i="3"/>
  <c r="I621" i="3" s="1"/>
  <c r="A621" i="3"/>
  <c r="D621" i="3"/>
  <c r="D622" i="3"/>
  <c r="A623" i="3"/>
  <c r="A624" i="3" s="1"/>
  <c r="A625" i="3" s="1"/>
  <c r="D623" i="3"/>
  <c r="H623" i="3"/>
  <c r="I623" i="3"/>
  <c r="I624" i="3" s="1"/>
  <c r="D624" i="3"/>
  <c r="H624" i="3"/>
  <c r="H625" i="3" s="1"/>
  <c r="D625" i="3"/>
  <c r="I625" i="3"/>
  <c r="D626" i="3"/>
  <c r="A627" i="3"/>
  <c r="D627" i="3"/>
  <c r="H627" i="3"/>
  <c r="I627" i="3"/>
  <c r="A628" i="3"/>
  <c r="D628" i="3"/>
  <c r="H628" i="3"/>
  <c r="I628" i="3"/>
  <c r="I629" i="3" s="1"/>
  <c r="A629" i="3"/>
  <c r="D629" i="3"/>
  <c r="H629" i="3"/>
  <c r="D630" i="3"/>
  <c r="A631" i="3"/>
  <c r="A632" i="3" s="1"/>
  <c r="A633" i="3" s="1"/>
  <c r="D631" i="3"/>
  <c r="H631" i="3"/>
  <c r="I631" i="3"/>
  <c r="D632" i="3"/>
  <c r="H632" i="3"/>
  <c r="H633" i="3" s="1"/>
  <c r="I632" i="3"/>
  <c r="I633" i="3" s="1"/>
  <c r="D633" i="3"/>
  <c r="W639" i="3"/>
  <c r="E640" i="3"/>
  <c r="E641" i="3" s="1"/>
  <c r="W641" i="3" s="1"/>
  <c r="F640" i="3"/>
  <c r="W640" i="3"/>
  <c r="G641" i="3"/>
  <c r="A642" i="3"/>
  <c r="B642" i="3"/>
  <c r="E642" i="3"/>
  <c r="E643" i="3" s="1"/>
  <c r="F642" i="3"/>
  <c r="F643" i="3" s="1"/>
  <c r="G642" i="3"/>
  <c r="G643" i="3" s="1"/>
  <c r="H642" i="3"/>
  <c r="H643" i="3" s="1"/>
  <c r="H644" i="3" s="1"/>
  <c r="H645" i="3" s="1"/>
  <c r="H646" i="3" s="1"/>
  <c r="H647" i="3" s="1"/>
  <c r="H648" i="3" s="1"/>
  <c r="H649" i="3" s="1"/>
  <c r="H650" i="3" s="1"/>
  <c r="H651" i="3" s="1"/>
  <c r="H652" i="3" s="1"/>
  <c r="U642" i="3"/>
  <c r="U645" i="3" s="1"/>
  <c r="W642" i="3"/>
  <c r="A643" i="3"/>
  <c r="A644" i="3" s="1"/>
  <c r="A645" i="3" s="1"/>
  <c r="A646" i="3" s="1"/>
  <c r="B643" i="3"/>
  <c r="B644" i="3"/>
  <c r="B645" i="3" s="1"/>
  <c r="B646" i="3" s="1"/>
  <c r="B647" i="3" s="1"/>
  <c r="B648" i="3" s="1"/>
  <c r="B649" i="3" s="1"/>
  <c r="F644" i="3"/>
  <c r="F645" i="3" s="1"/>
  <c r="G644" i="3"/>
  <c r="G645" i="3" s="1"/>
  <c r="G646" i="3" s="1"/>
  <c r="G647" i="3" s="1"/>
  <c r="U644" i="3"/>
  <c r="F646" i="3"/>
  <c r="F647" i="3" s="1"/>
  <c r="F648" i="3" s="1"/>
  <c r="F649" i="3" s="1"/>
  <c r="F650" i="3" s="1"/>
  <c r="F651" i="3" s="1"/>
  <c r="F652" i="3" s="1"/>
  <c r="F653" i="3" s="1"/>
  <c r="F654" i="3" s="1"/>
  <c r="F655" i="3" s="1"/>
  <c r="F656" i="3" s="1"/>
  <c r="F657" i="3" s="1"/>
  <c r="F658" i="3" s="1"/>
  <c r="F659" i="3" s="1"/>
  <c r="F660" i="3" s="1"/>
  <c r="U646" i="3"/>
  <c r="U647" i="3" s="1"/>
  <c r="U648" i="3" s="1"/>
  <c r="U649" i="3" s="1"/>
  <c r="U650" i="3" s="1"/>
  <c r="U651" i="3" s="1"/>
  <c r="U652" i="3" s="1"/>
  <c r="U653" i="3" s="1"/>
  <c r="U654" i="3" s="1"/>
  <c r="U655" i="3" s="1"/>
  <c r="U656" i="3" s="1"/>
  <c r="U657" i="3" s="1"/>
  <c r="U658" i="3" s="1"/>
  <c r="U659" i="3" s="1"/>
  <c r="U660" i="3" s="1"/>
  <c r="A647" i="3"/>
  <c r="A648" i="3" s="1"/>
  <c r="A649" i="3" s="1"/>
  <c r="A650" i="3" s="1"/>
  <c r="A651" i="3" s="1"/>
  <c r="G648" i="3"/>
  <c r="G649" i="3" s="1"/>
  <c r="B650" i="3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G650" i="3"/>
  <c r="G651" i="3" s="1"/>
  <c r="G652" i="3" s="1"/>
  <c r="G653" i="3" s="1"/>
  <c r="G654" i="3" s="1"/>
  <c r="G655" i="3" s="1"/>
  <c r="G656" i="3" s="1"/>
  <c r="G657" i="3" s="1"/>
  <c r="G658" i="3" s="1"/>
  <c r="G659" i="3" s="1"/>
  <c r="G660" i="3" s="1"/>
  <c r="A652" i="3"/>
  <c r="A653" i="3" s="1"/>
  <c r="A654" i="3"/>
  <c r="H654" i="3"/>
  <c r="H655" i="3" s="1"/>
  <c r="A655" i="3"/>
  <c r="A656" i="3" s="1"/>
  <c r="A657" i="3" s="1"/>
  <c r="A658" i="3" s="1"/>
  <c r="A659" i="3" s="1"/>
  <c r="A660" i="3" s="1"/>
  <c r="H656" i="3"/>
  <c r="H657" i="3"/>
  <c r="H658" i="3" s="1"/>
  <c r="H659" i="3"/>
  <c r="H660" i="3" s="1"/>
  <c r="W665" i="3"/>
  <c r="F666" i="3"/>
  <c r="F667" i="3" s="1"/>
  <c r="F668" i="3" s="1"/>
  <c r="F669" i="3" s="1"/>
  <c r="F670" i="3" s="1"/>
  <c r="F671" i="3" s="1"/>
  <c r="F672" i="3" s="1"/>
  <c r="F673" i="3" s="1"/>
  <c r="F674" i="3" s="1"/>
  <c r="F675" i="3" s="1"/>
  <c r="F676" i="3" s="1"/>
  <c r="F677" i="3" s="1"/>
  <c r="F678" i="3" s="1"/>
  <c r="F679" i="3" s="1"/>
  <c r="F680" i="3" s="1"/>
  <c r="F681" i="3" s="1"/>
  <c r="F682" i="3" s="1"/>
  <c r="F683" i="3" s="1"/>
  <c r="F684" i="3" s="1"/>
  <c r="F685" i="3" s="1"/>
  <c r="F686" i="3" s="1"/>
  <c r="E667" i="3"/>
  <c r="G667" i="3"/>
  <c r="A668" i="3"/>
  <c r="B668" i="3"/>
  <c r="E668" i="3"/>
  <c r="E669" i="3" s="1"/>
  <c r="G668" i="3"/>
  <c r="H668" i="3"/>
  <c r="H669" i="3" s="1"/>
  <c r="U668" i="3"/>
  <c r="U671" i="3" s="1"/>
  <c r="U672" i="3" s="1"/>
  <c r="U673" i="3" s="1"/>
  <c r="U674" i="3" s="1"/>
  <c r="U675" i="3" s="1"/>
  <c r="U676" i="3" s="1"/>
  <c r="U677" i="3" s="1"/>
  <c r="U678" i="3" s="1"/>
  <c r="U679" i="3" s="1"/>
  <c r="U680" i="3" s="1"/>
  <c r="U681" i="3" s="1"/>
  <c r="U682" i="3" s="1"/>
  <c r="U683" i="3" s="1"/>
  <c r="U684" i="3" s="1"/>
  <c r="U685" i="3" s="1"/>
  <c r="U686" i="3" s="1"/>
  <c r="A669" i="3"/>
  <c r="A670" i="3" s="1"/>
  <c r="A671" i="3" s="1"/>
  <c r="A672" i="3" s="1"/>
  <c r="B669" i="3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G669" i="3"/>
  <c r="G670" i="3"/>
  <c r="G671" i="3" s="1"/>
  <c r="G672" i="3" s="1"/>
  <c r="G673" i="3" s="1"/>
  <c r="H670" i="3"/>
  <c r="H671" i="3" s="1"/>
  <c r="H672" i="3" s="1"/>
  <c r="H673" i="3" s="1"/>
  <c r="H674" i="3" s="1"/>
  <c r="H675" i="3" s="1"/>
  <c r="H676" i="3" s="1"/>
  <c r="H677" i="3" s="1"/>
  <c r="H678" i="3" s="1"/>
  <c r="U670" i="3"/>
  <c r="A673" i="3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G674" i="3"/>
  <c r="G675" i="3" s="1"/>
  <c r="G676" i="3" s="1"/>
  <c r="G677" i="3" s="1"/>
  <c r="G678" i="3" s="1"/>
  <c r="G679" i="3" s="1"/>
  <c r="G680" i="3" s="1"/>
  <c r="G681" i="3" s="1"/>
  <c r="G682" i="3" s="1"/>
  <c r="G683" i="3" s="1"/>
  <c r="G684" i="3" s="1"/>
  <c r="G685" i="3" s="1"/>
  <c r="G686" i="3" s="1"/>
  <c r="H680" i="3"/>
  <c r="H681" i="3" s="1"/>
  <c r="H682" i="3"/>
  <c r="H683" i="3"/>
  <c r="H684" i="3" s="1"/>
  <c r="H685" i="3" s="1"/>
  <c r="H686" i="3" s="1"/>
  <c r="AH691" i="3"/>
  <c r="AH692" i="3"/>
  <c r="AH693" i="3"/>
  <c r="AH694" i="3"/>
  <c r="AH695" i="3" s="1"/>
  <c r="AH696" i="3" s="1"/>
  <c r="AH697" i="3" s="1"/>
  <c r="AH698" i="3" s="1"/>
  <c r="AH699" i="3" s="1"/>
  <c r="AH700" i="3" s="1"/>
  <c r="AH701" i="3" s="1"/>
  <c r="AH702" i="3" s="1"/>
  <c r="AH703" i="3" s="1"/>
  <c r="H714" i="3"/>
  <c r="U714" i="3"/>
  <c r="X714" i="3"/>
  <c r="Y714" i="3"/>
  <c r="H715" i="3"/>
  <c r="H716" i="3" s="1"/>
  <c r="H717" i="3" s="1"/>
  <c r="H718" i="3" s="1"/>
  <c r="H719" i="3" s="1"/>
  <c r="H720" i="3" s="1"/>
  <c r="H721" i="3" s="1"/>
  <c r="H722" i="3" s="1"/>
  <c r="U715" i="3"/>
  <c r="U716" i="3" s="1"/>
  <c r="U717" i="3" s="1"/>
  <c r="U718" i="3" s="1"/>
  <c r="U719" i="3" s="1"/>
  <c r="U720" i="3" s="1"/>
  <c r="U721" i="3" s="1"/>
  <c r="U722" i="3" s="1"/>
  <c r="X715" i="3"/>
  <c r="X716" i="3" s="1"/>
  <c r="X717" i="3" s="1"/>
  <c r="X718" i="3" s="1"/>
  <c r="X719" i="3" s="1"/>
  <c r="X720" i="3" s="1"/>
  <c r="X721" i="3" s="1"/>
  <c r="X722" i="3" s="1"/>
  <c r="Y715" i="3"/>
  <c r="Y716" i="3" s="1"/>
  <c r="Y717" i="3" s="1"/>
  <c r="Y718" i="3"/>
  <c r="Y719" i="3" s="1"/>
  <c r="Y720" i="3" s="1"/>
  <c r="Y721" i="3"/>
  <c r="Y722" i="3" s="1"/>
  <c r="H725" i="3"/>
  <c r="H726" i="3" s="1"/>
  <c r="H727" i="3" s="1"/>
  <c r="H728" i="3" s="1"/>
  <c r="H729" i="3" s="1"/>
  <c r="H730" i="3" s="1"/>
  <c r="H731" i="3" s="1"/>
  <c r="H732" i="3" s="1"/>
  <c r="H733" i="3" s="1"/>
  <c r="H736" i="3"/>
  <c r="U736" i="3"/>
  <c r="U737" i="3" s="1"/>
  <c r="U738" i="3" s="1"/>
  <c r="U739" i="3" s="1"/>
  <c r="U740" i="3" s="1"/>
  <c r="U741" i="3" s="1"/>
  <c r="U742" i="3" s="1"/>
  <c r="U743" i="3" s="1"/>
  <c r="U744" i="3" s="1"/>
  <c r="X736" i="3"/>
  <c r="Y736" i="3"/>
  <c r="H737" i="3"/>
  <c r="X737" i="3"/>
  <c r="Y737" i="3"/>
  <c r="Y738" i="3" s="1"/>
  <c r="Y739" i="3" s="1"/>
  <c r="Y740" i="3" s="1"/>
  <c r="Y741" i="3" s="1"/>
  <c r="Y742" i="3" s="1"/>
  <c r="Y743" i="3" s="1"/>
  <c r="Y744" i="3" s="1"/>
  <c r="H738" i="3"/>
  <c r="H739" i="3" s="1"/>
  <c r="H740" i="3" s="1"/>
  <c r="H741" i="3" s="1"/>
  <c r="H742" i="3" s="1"/>
  <c r="H743" i="3" s="1"/>
  <c r="H744" i="3" s="1"/>
  <c r="X738" i="3"/>
  <c r="X739" i="3" s="1"/>
  <c r="X740" i="3" s="1"/>
  <c r="X741" i="3"/>
  <c r="X742" i="3" s="1"/>
  <c r="X743" i="3" s="1"/>
  <c r="X744" i="3"/>
  <c r="H747" i="3"/>
  <c r="U747" i="3"/>
  <c r="U748" i="3" s="1"/>
  <c r="X747" i="3"/>
  <c r="Y747" i="3"/>
  <c r="Y748" i="3" s="1"/>
  <c r="Y749" i="3" s="1"/>
  <c r="Y750" i="3" s="1"/>
  <c r="Y751" i="3" s="1"/>
  <c r="Y752" i="3" s="1"/>
  <c r="Y753" i="3" s="1"/>
  <c r="Y754" i="3" s="1"/>
  <c r="Y755" i="3" s="1"/>
  <c r="H748" i="3"/>
  <c r="X748" i="3"/>
  <c r="H749" i="3"/>
  <c r="H750" i="3" s="1"/>
  <c r="H751" i="3" s="1"/>
  <c r="H752" i="3" s="1"/>
  <c r="H753" i="3" s="1"/>
  <c r="H754" i="3" s="1"/>
  <c r="H755" i="3" s="1"/>
  <c r="U749" i="3"/>
  <c r="U750" i="3" s="1"/>
  <c r="U751" i="3" s="1"/>
  <c r="U752" i="3" s="1"/>
  <c r="U753" i="3" s="1"/>
  <c r="U754" i="3" s="1"/>
  <c r="U755" i="3" s="1"/>
  <c r="X749" i="3"/>
  <c r="X750" i="3" s="1"/>
  <c r="X751" i="3" s="1"/>
  <c r="X752" i="3" s="1"/>
  <c r="X753" i="3" s="1"/>
  <c r="X754" i="3" s="1"/>
  <c r="X755" i="3" s="1"/>
  <c r="H758" i="3"/>
  <c r="U758" i="3"/>
  <c r="U759" i="3" s="1"/>
  <c r="U760" i="3" s="1"/>
  <c r="U761" i="3" s="1"/>
  <c r="U762" i="3" s="1"/>
  <c r="U763" i="3" s="1"/>
  <c r="U764" i="3" s="1"/>
  <c r="U765" i="3" s="1"/>
  <c r="U766" i="3" s="1"/>
  <c r="X758" i="3"/>
  <c r="Y758" i="3"/>
  <c r="Y759" i="3" s="1"/>
  <c r="Y760" i="3" s="1"/>
  <c r="Y761" i="3" s="1"/>
  <c r="Y762" i="3" s="1"/>
  <c r="Y763" i="3" s="1"/>
  <c r="Y764" i="3" s="1"/>
  <c r="Y765" i="3" s="1"/>
  <c r="Y766" i="3" s="1"/>
  <c r="H759" i="3"/>
  <c r="X759" i="3"/>
  <c r="H760" i="3"/>
  <c r="H761" i="3" s="1"/>
  <c r="H762" i="3" s="1"/>
  <c r="X760" i="3"/>
  <c r="X761" i="3" s="1"/>
  <c r="X762" i="3" s="1"/>
  <c r="H763" i="3"/>
  <c r="H764" i="3" s="1"/>
  <c r="H765" i="3" s="1"/>
  <c r="H766" i="3" s="1"/>
  <c r="X763" i="3"/>
  <c r="X764" i="3" s="1"/>
  <c r="X765" i="3" s="1"/>
  <c r="X766" i="3" s="1"/>
  <c r="H769" i="3"/>
  <c r="U769" i="3"/>
  <c r="U770" i="3" s="1"/>
  <c r="U771" i="3" s="1"/>
  <c r="U772" i="3" s="1"/>
  <c r="U773" i="3" s="1"/>
  <c r="U774" i="3" s="1"/>
  <c r="U775" i="3" s="1"/>
  <c r="U776" i="3" s="1"/>
  <c r="U777" i="3" s="1"/>
  <c r="X769" i="3"/>
  <c r="Y769" i="3"/>
  <c r="H770" i="3"/>
  <c r="X770" i="3"/>
  <c r="Y770" i="3"/>
  <c r="Y771" i="3" s="1"/>
  <c r="Y772" i="3" s="1"/>
  <c r="Y773" i="3" s="1"/>
  <c r="Y774" i="3" s="1"/>
  <c r="Y775" i="3" s="1"/>
  <c r="Y776" i="3" s="1"/>
  <c r="Y777" i="3" s="1"/>
  <c r="H771" i="3"/>
  <c r="H772" i="3" s="1"/>
  <c r="H773" i="3" s="1"/>
  <c r="H774" i="3" s="1"/>
  <c r="H775" i="3" s="1"/>
  <c r="H776" i="3" s="1"/>
  <c r="H777" i="3" s="1"/>
  <c r="X771" i="3"/>
  <c r="X772" i="3" s="1"/>
  <c r="X773" i="3" s="1"/>
  <c r="X774" i="3" s="1"/>
  <c r="X775" i="3" s="1"/>
  <c r="X776" i="3" s="1"/>
  <c r="X777" i="3" s="1"/>
  <c r="H780" i="3"/>
  <c r="H781" i="3"/>
  <c r="H782" i="3"/>
  <c r="H783" i="3"/>
  <c r="H784" i="3" s="1"/>
  <c r="H785" i="3" s="1"/>
  <c r="H786" i="3" s="1"/>
  <c r="H787" i="3"/>
  <c r="H788" i="3"/>
  <c r="H791" i="3"/>
  <c r="H792" i="3"/>
  <c r="H793" i="3" s="1"/>
  <c r="H794" i="3" s="1"/>
  <c r="H795" i="3" s="1"/>
  <c r="H796" i="3" s="1"/>
  <c r="H797" i="3"/>
  <c r="H798" i="3" s="1"/>
  <c r="H799" i="3" s="1"/>
  <c r="H802" i="3"/>
  <c r="H803" i="3"/>
  <c r="H804" i="3"/>
  <c r="H805" i="3" s="1"/>
  <c r="H806" i="3" s="1"/>
  <c r="H807" i="3" s="1"/>
  <c r="H808" i="3" s="1"/>
  <c r="H809" i="3" s="1"/>
  <c r="H810" i="3" s="1"/>
  <c r="H813" i="3"/>
  <c r="H814" i="3" s="1"/>
  <c r="H815" i="3" s="1"/>
  <c r="H816" i="3" s="1"/>
  <c r="H817" i="3" s="1"/>
  <c r="H818" i="3" s="1"/>
  <c r="H819" i="3" s="1"/>
  <c r="H820" i="3" s="1"/>
  <c r="H821" i="3" s="1"/>
  <c r="H822" i="3" s="1"/>
  <c r="H823" i="3" s="1"/>
  <c r="H824" i="3" s="1"/>
  <c r="H825" i="3" s="1"/>
  <c r="U813" i="3"/>
  <c r="X813" i="3"/>
  <c r="Y813" i="3"/>
  <c r="U814" i="3"/>
  <c r="U815" i="3" s="1"/>
  <c r="U816" i="3" s="1"/>
  <c r="U817" i="3" s="1"/>
  <c r="U818" i="3" s="1"/>
  <c r="U819" i="3" s="1"/>
  <c r="U820" i="3" s="1"/>
  <c r="U821" i="3" s="1"/>
  <c r="U822" i="3" s="1"/>
  <c r="X814" i="3"/>
  <c r="X815" i="3" s="1"/>
  <c r="X816" i="3" s="1"/>
  <c r="X817" i="3" s="1"/>
  <c r="X818" i="3" s="1"/>
  <c r="X819" i="3" s="1"/>
  <c r="X820" i="3" s="1"/>
  <c r="X821" i="3" s="1"/>
  <c r="X822" i="3" s="1"/>
  <c r="Y814" i="3"/>
  <c r="Y815" i="3" s="1"/>
  <c r="Y816" i="3" s="1"/>
  <c r="Y817" i="3" s="1"/>
  <c r="Y818" i="3" s="1"/>
  <c r="Y819" i="3" s="1"/>
  <c r="Y820" i="3" s="1"/>
  <c r="Y821" i="3" s="1"/>
  <c r="Y822" i="3" s="1"/>
  <c r="H831" i="3"/>
  <c r="H832" i="3" s="1"/>
  <c r="H833" i="3" s="1"/>
  <c r="U831" i="3"/>
  <c r="X831" i="3"/>
  <c r="Y831" i="3"/>
  <c r="Y832" i="3" s="1"/>
  <c r="U832" i="3"/>
  <c r="U833" i="3" s="1"/>
  <c r="U834" i="3" s="1"/>
  <c r="U835" i="3" s="1"/>
  <c r="U836" i="3" s="1"/>
  <c r="U837" i="3" s="1"/>
  <c r="U838" i="3" s="1"/>
  <c r="U839" i="3" s="1"/>
  <c r="U840" i="3" s="1"/>
  <c r="X832" i="3"/>
  <c r="X833" i="3"/>
  <c r="X834" i="3" s="1"/>
  <c r="X835" i="3" s="1"/>
  <c r="X836" i="3" s="1"/>
  <c r="X837" i="3" s="1"/>
  <c r="X838" i="3" s="1"/>
  <c r="X839" i="3" s="1"/>
  <c r="X840" i="3" s="1"/>
  <c r="Y833" i="3"/>
  <c r="Y834" i="3" s="1"/>
  <c r="Y835" i="3" s="1"/>
  <c r="Y836" i="3" s="1"/>
  <c r="Y837" i="3" s="1"/>
  <c r="Y838" i="3" s="1"/>
  <c r="Y839" i="3" s="1"/>
  <c r="Y840" i="3" s="1"/>
  <c r="H834" i="3"/>
  <c r="H835" i="3" s="1"/>
  <c r="H836" i="3"/>
  <c r="H837" i="3" s="1"/>
  <c r="H838" i="3" s="1"/>
  <c r="H839" i="3" s="1"/>
  <c r="H840" i="3" s="1"/>
  <c r="H841" i="3" s="1"/>
  <c r="H842" i="3" s="1"/>
  <c r="H843" i="3" s="1"/>
  <c r="H847" i="3"/>
  <c r="U847" i="3"/>
  <c r="X847" i="3"/>
  <c r="X848" i="3" s="1"/>
  <c r="Y847" i="3"/>
  <c r="Y848" i="3" s="1"/>
  <c r="Y849" i="3" s="1"/>
  <c r="H848" i="3"/>
  <c r="H849" i="3" s="1"/>
  <c r="H850" i="3" s="1"/>
  <c r="U848" i="3"/>
  <c r="U849" i="3" s="1"/>
  <c r="U850" i="3" s="1"/>
  <c r="U851" i="3" s="1"/>
  <c r="U852" i="3" s="1"/>
  <c r="U853" i="3" s="1"/>
  <c r="U854" i="3" s="1"/>
  <c r="U855" i="3" s="1"/>
  <c r="X849" i="3"/>
  <c r="X850" i="3" s="1"/>
  <c r="X851" i="3" s="1"/>
  <c r="X852" i="3" s="1"/>
  <c r="X853" i="3" s="1"/>
  <c r="X854" i="3" s="1"/>
  <c r="X855" i="3" s="1"/>
  <c r="Y850" i="3"/>
  <c r="Y851" i="3" s="1"/>
  <c r="Y852" i="3" s="1"/>
  <c r="Y853" i="3" s="1"/>
  <c r="Y854" i="3" s="1"/>
  <c r="Y855" i="3" s="1"/>
  <c r="H851" i="3"/>
  <c r="H852" i="3" s="1"/>
  <c r="H853" i="3" s="1"/>
  <c r="H854" i="3" s="1"/>
  <c r="H855" i="3" s="1"/>
  <c r="H867" i="3"/>
  <c r="H868" i="3"/>
  <c r="H871" i="3"/>
  <c r="H872" i="3"/>
  <c r="H875" i="3"/>
  <c r="H876" i="3"/>
  <c r="F1131" i="4" l="1"/>
  <c r="F1132" i="4" s="1"/>
  <c r="F1133" i="4" s="1"/>
  <c r="F1134" i="4" s="1"/>
  <c r="F1267" i="4"/>
  <c r="F1268" i="4" s="1"/>
  <c r="F1269" i="4" s="1"/>
  <c r="F1270" i="4" s="1"/>
  <c r="C1131" i="4"/>
  <c r="C1132" i="4" s="1"/>
  <c r="C1133" i="4" s="1"/>
  <c r="C1134" i="4" s="1"/>
  <c r="C1267" i="4"/>
  <c r="C1268" i="4" s="1"/>
  <c r="C1269" i="4" s="1"/>
  <c r="C1270" i="4" s="1"/>
  <c r="V1103" i="4"/>
  <c r="E1104" i="4"/>
  <c r="C1066" i="4"/>
  <c r="C1067" i="4" s="1"/>
  <c r="C1068" i="4" s="1"/>
  <c r="C1069" i="4" s="1"/>
  <c r="C1070" i="4" s="1"/>
  <c r="C1071" i="4" s="1"/>
  <c r="C1072" i="4" s="1"/>
  <c r="C1073" i="4" s="1"/>
  <c r="C954" i="4"/>
  <c r="C955" i="4" s="1"/>
  <c r="C956" i="4" s="1"/>
  <c r="C957" i="4" s="1"/>
  <c r="C958" i="4" s="1"/>
  <c r="C959" i="4" s="1"/>
  <c r="C960" i="4" s="1"/>
  <c r="C961" i="4" s="1"/>
  <c r="C811" i="4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43" i="4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H1135" i="4"/>
  <c r="H1123" i="4"/>
  <c r="H1127" i="4" s="1"/>
  <c r="H1131" i="4" s="1"/>
  <c r="H1118" i="4"/>
  <c r="H1122" i="4" s="1"/>
  <c r="H1126" i="4" s="1"/>
  <c r="H1130" i="4" s="1"/>
  <c r="H1134" i="4" s="1"/>
  <c r="H1117" i="4"/>
  <c r="H1121" i="4" s="1"/>
  <c r="H1125" i="4" s="1"/>
  <c r="H1129" i="4" s="1"/>
  <c r="H1133" i="4" s="1"/>
  <c r="E931" i="4"/>
  <c r="V930" i="4"/>
  <c r="F811" i="4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43" i="4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1066" i="4"/>
  <c r="F1067" i="4" s="1"/>
  <c r="F1068" i="4" s="1"/>
  <c r="F1069" i="4" s="1"/>
  <c r="F1070" i="4" s="1"/>
  <c r="F1071" i="4" s="1"/>
  <c r="F1072" i="4" s="1"/>
  <c r="F1073" i="4" s="1"/>
  <c r="F954" i="4"/>
  <c r="F955" i="4" s="1"/>
  <c r="F956" i="4" s="1"/>
  <c r="F957" i="4" s="1"/>
  <c r="F958" i="4" s="1"/>
  <c r="F959" i="4" s="1"/>
  <c r="F960" i="4" s="1"/>
  <c r="F961" i="4" s="1"/>
  <c r="H799" i="4"/>
  <c r="H803" i="4" s="1"/>
  <c r="H807" i="4" s="1"/>
  <c r="H811" i="4"/>
  <c r="H950" i="4"/>
  <c r="H954" i="4" s="1"/>
  <c r="H958" i="4" s="1"/>
  <c r="H962" i="4"/>
  <c r="H944" i="4"/>
  <c r="H948" i="4" s="1"/>
  <c r="H952" i="4" s="1"/>
  <c r="H956" i="4" s="1"/>
  <c r="H960" i="4" s="1"/>
  <c r="H945" i="4"/>
  <c r="H949" i="4" s="1"/>
  <c r="H953" i="4" s="1"/>
  <c r="H957" i="4" s="1"/>
  <c r="H961" i="4" s="1"/>
  <c r="E639" i="4"/>
  <c r="V638" i="4"/>
  <c r="C535" i="4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V637" i="4"/>
  <c r="H671" i="4"/>
  <c r="H674" i="4" s="1"/>
  <c r="H677" i="4" s="1"/>
  <c r="H680" i="4" s="1"/>
  <c r="H672" i="4"/>
  <c r="H675" i="4" s="1"/>
  <c r="H678" i="4" s="1"/>
  <c r="H681" i="4" s="1"/>
  <c r="H685" i="4" s="1"/>
  <c r="H689" i="4" s="1"/>
  <c r="H693" i="4" s="1"/>
  <c r="H697" i="4" s="1"/>
  <c r="F535" i="4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V779" i="4"/>
  <c r="H503" i="4"/>
  <c r="H491" i="4"/>
  <c r="H495" i="4" s="1"/>
  <c r="H499" i="4" s="1"/>
  <c r="H485" i="4"/>
  <c r="H489" i="4" s="1"/>
  <c r="H493" i="4" s="1"/>
  <c r="H497" i="4" s="1"/>
  <c r="H501" i="4" s="1"/>
  <c r="H486" i="4"/>
  <c r="H490" i="4" s="1"/>
  <c r="H494" i="4" s="1"/>
  <c r="H498" i="4" s="1"/>
  <c r="H502" i="4" s="1"/>
  <c r="E780" i="4"/>
  <c r="V471" i="4"/>
  <c r="E472" i="4"/>
  <c r="H651" i="4"/>
  <c r="H655" i="4" s="1"/>
  <c r="H659" i="4" s="1"/>
  <c r="H663" i="4" s="1"/>
  <c r="H667" i="4" s="1"/>
  <c r="H652" i="4"/>
  <c r="H656" i="4" s="1"/>
  <c r="H660" i="4" s="1"/>
  <c r="H664" i="4" s="1"/>
  <c r="H668" i="4" s="1"/>
  <c r="F196" i="4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28" i="4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V319" i="4"/>
  <c r="E320" i="4"/>
  <c r="E133" i="4"/>
  <c r="V132" i="4"/>
  <c r="C196" i="4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28" i="4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H320" i="4"/>
  <c r="H323" i="4" s="1"/>
  <c r="H326" i="4" s="1"/>
  <c r="H329" i="4" s="1"/>
  <c r="H332" i="4" s="1"/>
  <c r="H336" i="4" s="1"/>
  <c r="H340" i="4" s="1"/>
  <c r="H344" i="4" s="1"/>
  <c r="H348" i="4" s="1"/>
  <c r="H322" i="4"/>
  <c r="H325" i="4" s="1"/>
  <c r="H328" i="4" s="1"/>
  <c r="H331" i="4" s="1"/>
  <c r="H335" i="4" s="1"/>
  <c r="H321" i="4"/>
  <c r="H324" i="4" s="1"/>
  <c r="H327" i="4" s="1"/>
  <c r="H330" i="4" s="1"/>
  <c r="V9" i="4"/>
  <c r="F10" i="4"/>
  <c r="H10" i="4"/>
  <c r="H13" i="4" s="1"/>
  <c r="H16" i="4" s="1"/>
  <c r="H19" i="4" s="1"/>
  <c r="H22" i="4" s="1"/>
  <c r="H26" i="4" s="1"/>
  <c r="H30" i="4" s="1"/>
  <c r="H34" i="4" s="1"/>
  <c r="H38" i="4" s="1"/>
  <c r="H12" i="4"/>
  <c r="H15" i="4" s="1"/>
  <c r="H18" i="4" s="1"/>
  <c r="H21" i="4" s="1"/>
  <c r="H25" i="4" s="1"/>
  <c r="H29" i="4" s="1"/>
  <c r="H33" i="4" s="1"/>
  <c r="H37" i="4" s="1"/>
  <c r="H11" i="4"/>
  <c r="H14" i="4" s="1"/>
  <c r="H17" i="4" s="1"/>
  <c r="H20" i="4" s="1"/>
  <c r="H135" i="4"/>
  <c r="H138" i="4" s="1"/>
  <c r="H141" i="4" s="1"/>
  <c r="H144" i="4" s="1"/>
  <c r="H148" i="4" s="1"/>
  <c r="B562" i="3"/>
  <c r="B578" i="3"/>
  <c r="AH704" i="3"/>
  <c r="AH705" i="3"/>
  <c r="AH706" i="3" s="1"/>
  <c r="AH707" i="3" s="1"/>
  <c r="AH708" i="3" s="1"/>
  <c r="AH709" i="3" s="1"/>
  <c r="AH710" i="3" s="1"/>
  <c r="AH711" i="3" s="1"/>
  <c r="W667" i="3"/>
  <c r="W666" i="3"/>
  <c r="W643" i="3"/>
  <c r="E644" i="3"/>
  <c r="B137" i="3"/>
  <c r="B153" i="3"/>
  <c r="W668" i="3"/>
  <c r="W669" i="3"/>
  <c r="E670" i="3"/>
  <c r="C14" i="3"/>
  <c r="C15" i="3" s="1"/>
  <c r="C16" i="3" s="1"/>
  <c r="C17" i="3" s="1"/>
  <c r="C18" i="3"/>
  <c r="H465" i="3"/>
  <c r="H469" i="3" s="1"/>
  <c r="H473" i="3" s="1"/>
  <c r="H477" i="3" s="1"/>
  <c r="H481" i="3" s="1"/>
  <c r="H482" i="3" s="1"/>
  <c r="AH256" i="3"/>
  <c r="AH257" i="3"/>
  <c r="AH258" i="3" s="1"/>
  <c r="AH259" i="3" s="1"/>
  <c r="AH260" i="3" s="1"/>
  <c r="AH261" i="3" s="1"/>
  <c r="F450" i="3"/>
  <c r="B14" i="3"/>
  <c r="B15" i="3" s="1"/>
  <c r="B16" i="3" s="1"/>
  <c r="B17" i="3" s="1"/>
  <c r="B18" i="3"/>
  <c r="W218" i="3"/>
  <c r="H241" i="3"/>
  <c r="F219" i="3"/>
  <c r="H27" i="3"/>
  <c r="H30" i="3" s="1"/>
  <c r="H33" i="3" s="1"/>
  <c r="H36" i="3" s="1"/>
  <c r="H26" i="3"/>
  <c r="H29" i="3" s="1"/>
  <c r="H32" i="3" s="1"/>
  <c r="H35" i="3" s="1"/>
  <c r="H38" i="3" s="1"/>
  <c r="H42" i="3" s="1"/>
  <c r="H46" i="3" s="1"/>
  <c r="H50" i="3" s="1"/>
  <c r="H54" i="3" s="1"/>
  <c r="H28" i="3"/>
  <c r="H31" i="3" s="1"/>
  <c r="H34" i="3" s="1"/>
  <c r="H37" i="3" s="1"/>
  <c r="H41" i="3" s="1"/>
  <c r="H45" i="3" s="1"/>
  <c r="H49" i="3" s="1"/>
  <c r="H53" i="3" s="1"/>
  <c r="W187" i="3"/>
  <c r="F188" i="3"/>
  <c r="W24" i="3"/>
  <c r="F25" i="3"/>
  <c r="H1137" i="4" l="1"/>
  <c r="H1140" i="4" s="1"/>
  <c r="H1143" i="4" s="1"/>
  <c r="H1146" i="4" s="1"/>
  <c r="H1136" i="4"/>
  <c r="H1139" i="4" s="1"/>
  <c r="H1142" i="4" s="1"/>
  <c r="H1145" i="4" s="1"/>
  <c r="H1148" i="4" s="1"/>
  <c r="H1152" i="4" s="1"/>
  <c r="H1156" i="4" s="1"/>
  <c r="H1160" i="4" s="1"/>
  <c r="H1164" i="4" s="1"/>
  <c r="H1138" i="4"/>
  <c r="H1141" i="4" s="1"/>
  <c r="H1144" i="4" s="1"/>
  <c r="H1147" i="4" s="1"/>
  <c r="H1151" i="4" s="1"/>
  <c r="C827" i="4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59" i="4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H334" i="4"/>
  <c r="H338" i="4" s="1"/>
  <c r="H342" i="4" s="1"/>
  <c r="H346" i="4" s="1"/>
  <c r="H350" i="4" s="1"/>
  <c r="H333" i="4"/>
  <c r="H337" i="4" s="1"/>
  <c r="H341" i="4" s="1"/>
  <c r="H345" i="4" s="1"/>
  <c r="H349" i="4" s="1"/>
  <c r="H683" i="4"/>
  <c r="H687" i="4" s="1"/>
  <c r="H691" i="4" s="1"/>
  <c r="H695" i="4" s="1"/>
  <c r="H699" i="4" s="1"/>
  <c r="H684" i="4"/>
  <c r="H688" i="4" s="1"/>
  <c r="H692" i="4" s="1"/>
  <c r="H696" i="4" s="1"/>
  <c r="H700" i="4" s="1"/>
  <c r="F962" i="4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74" i="4"/>
  <c r="F1075" i="4" s="1"/>
  <c r="F1076" i="4" s="1"/>
  <c r="F1077" i="4" s="1"/>
  <c r="F1078" i="4" s="1"/>
  <c r="F1079" i="4" s="1"/>
  <c r="F1080" i="4" s="1"/>
  <c r="F1081" i="4" s="1"/>
  <c r="C962" i="4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74" i="4"/>
  <c r="C1075" i="4" s="1"/>
  <c r="C1076" i="4" s="1"/>
  <c r="C1077" i="4" s="1"/>
  <c r="C1078" i="4" s="1"/>
  <c r="C1079" i="4" s="1"/>
  <c r="C1080" i="4" s="1"/>
  <c r="C1081" i="4" s="1"/>
  <c r="H963" i="4"/>
  <c r="H966" i="4" s="1"/>
  <c r="H969" i="4" s="1"/>
  <c r="H972" i="4" s="1"/>
  <c r="H975" i="4" s="1"/>
  <c r="H979" i="4" s="1"/>
  <c r="H983" i="4" s="1"/>
  <c r="H987" i="4" s="1"/>
  <c r="H991" i="4" s="1"/>
  <c r="H965" i="4"/>
  <c r="H968" i="4" s="1"/>
  <c r="H971" i="4" s="1"/>
  <c r="H974" i="4" s="1"/>
  <c r="H978" i="4" s="1"/>
  <c r="H964" i="4"/>
  <c r="H967" i="4" s="1"/>
  <c r="H970" i="4" s="1"/>
  <c r="H973" i="4" s="1"/>
  <c r="E1105" i="4"/>
  <c r="V1104" i="4"/>
  <c r="F244" i="4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12" i="4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827" i="4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59" i="4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H339" i="4"/>
  <c r="H343" i="4" s="1"/>
  <c r="H347" i="4" s="1"/>
  <c r="H351" i="4"/>
  <c r="E473" i="4"/>
  <c r="V472" i="4"/>
  <c r="C212" i="4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44" i="4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F11" i="4"/>
  <c r="V10" i="4"/>
  <c r="V780" i="4"/>
  <c r="E781" i="4"/>
  <c r="E640" i="4"/>
  <c r="V639" i="4"/>
  <c r="V931" i="4"/>
  <c r="E932" i="4"/>
  <c r="C1135" i="4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71" i="4"/>
  <c r="C1272" i="4" s="1"/>
  <c r="C1273" i="4" s="1"/>
  <c r="C1274" i="4" s="1"/>
  <c r="C1275" i="4" s="1"/>
  <c r="C1276" i="4" s="1"/>
  <c r="C1277" i="4" s="1"/>
  <c r="C1278" i="4" s="1"/>
  <c r="H814" i="4"/>
  <c r="H817" i="4" s="1"/>
  <c r="H820" i="4" s="1"/>
  <c r="H823" i="4" s="1"/>
  <c r="H827" i="4" s="1"/>
  <c r="H831" i="4" s="1"/>
  <c r="H835" i="4" s="1"/>
  <c r="H839" i="4" s="1"/>
  <c r="H813" i="4"/>
  <c r="H816" i="4" s="1"/>
  <c r="H819" i="4" s="1"/>
  <c r="H822" i="4" s="1"/>
  <c r="H812" i="4"/>
  <c r="H815" i="4" s="1"/>
  <c r="H818" i="4" s="1"/>
  <c r="H821" i="4" s="1"/>
  <c r="H824" i="4" s="1"/>
  <c r="H828" i="4" s="1"/>
  <c r="H832" i="4" s="1"/>
  <c r="H836" i="4" s="1"/>
  <c r="H840" i="4" s="1"/>
  <c r="H164" i="4"/>
  <c r="H152" i="4"/>
  <c r="H156" i="4" s="1"/>
  <c r="H160" i="4" s="1"/>
  <c r="V133" i="4"/>
  <c r="E134" i="4"/>
  <c r="H24" i="4"/>
  <c r="H28" i="4" s="1"/>
  <c r="H32" i="4" s="1"/>
  <c r="H36" i="4" s="1"/>
  <c r="H40" i="4" s="1"/>
  <c r="H23" i="4"/>
  <c r="H27" i="4" s="1"/>
  <c r="H31" i="4" s="1"/>
  <c r="H35" i="4" s="1"/>
  <c r="H39" i="4" s="1"/>
  <c r="E321" i="4"/>
  <c r="V320" i="4"/>
  <c r="H506" i="4"/>
  <c r="H509" i="4" s="1"/>
  <c r="H512" i="4" s="1"/>
  <c r="H515" i="4" s="1"/>
  <c r="H519" i="4" s="1"/>
  <c r="H504" i="4"/>
  <c r="H507" i="4" s="1"/>
  <c r="H510" i="4" s="1"/>
  <c r="H513" i="4" s="1"/>
  <c r="H516" i="4" s="1"/>
  <c r="H520" i="4" s="1"/>
  <c r="H524" i="4" s="1"/>
  <c r="H528" i="4" s="1"/>
  <c r="H532" i="4" s="1"/>
  <c r="H505" i="4"/>
  <c r="H508" i="4" s="1"/>
  <c r="H511" i="4" s="1"/>
  <c r="H514" i="4" s="1"/>
  <c r="F1135" i="4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71" i="4"/>
  <c r="F1272" i="4" s="1"/>
  <c r="F1273" i="4" s="1"/>
  <c r="F1274" i="4" s="1"/>
  <c r="F1275" i="4" s="1"/>
  <c r="F1276" i="4" s="1"/>
  <c r="F1277" i="4" s="1"/>
  <c r="F1278" i="4" s="1"/>
  <c r="B154" i="3"/>
  <c r="B138" i="3"/>
  <c r="W644" i="3"/>
  <c r="E645" i="3"/>
  <c r="F220" i="3"/>
  <c r="W219" i="3"/>
  <c r="F26" i="3"/>
  <c r="W25" i="3"/>
  <c r="F451" i="3"/>
  <c r="W450" i="3"/>
  <c r="AH262" i="3"/>
  <c r="AH264" i="3" s="1"/>
  <c r="AH263" i="3"/>
  <c r="F189" i="3"/>
  <c r="W188" i="3"/>
  <c r="H483" i="3"/>
  <c r="H486" i="3" s="1"/>
  <c r="H489" i="3" s="1"/>
  <c r="H492" i="3" s="1"/>
  <c r="H495" i="3" s="1"/>
  <c r="H499" i="3" s="1"/>
  <c r="H503" i="3" s="1"/>
  <c r="H507" i="3" s="1"/>
  <c r="H511" i="3" s="1"/>
  <c r="H484" i="3"/>
  <c r="H487" i="3" s="1"/>
  <c r="H490" i="3" s="1"/>
  <c r="H493" i="3" s="1"/>
  <c r="H485" i="3"/>
  <c r="H488" i="3" s="1"/>
  <c r="H491" i="3" s="1"/>
  <c r="H494" i="3" s="1"/>
  <c r="H498" i="3" s="1"/>
  <c r="H502" i="3" s="1"/>
  <c r="H506" i="3" s="1"/>
  <c r="H510" i="3" s="1"/>
  <c r="H242" i="3"/>
  <c r="H243" i="3" s="1"/>
  <c r="H244" i="3" s="1"/>
  <c r="H245" i="3"/>
  <c r="H246" i="3" s="1"/>
  <c r="H247" i="3" s="1"/>
  <c r="H248" i="3" s="1"/>
  <c r="H39" i="3"/>
  <c r="H43" i="3" s="1"/>
  <c r="H47" i="3" s="1"/>
  <c r="H51" i="3" s="1"/>
  <c r="H55" i="3" s="1"/>
  <c r="H40" i="3"/>
  <c r="H44" i="3" s="1"/>
  <c r="H48" i="3" s="1"/>
  <c r="H52" i="3" s="1"/>
  <c r="H56" i="3" s="1"/>
  <c r="H57" i="3" s="1"/>
  <c r="W670" i="3"/>
  <c r="E671" i="3"/>
  <c r="B563" i="3"/>
  <c r="B579" i="3"/>
  <c r="E135" i="4" l="1"/>
  <c r="V134" i="4"/>
  <c r="E641" i="4"/>
  <c r="V640" i="4"/>
  <c r="E322" i="4"/>
  <c r="V321" i="4"/>
  <c r="E782" i="4"/>
  <c r="V781" i="4"/>
  <c r="V932" i="4"/>
  <c r="E933" i="4"/>
  <c r="V1251" i="4"/>
  <c r="F1252" i="4"/>
  <c r="V11" i="4"/>
  <c r="F12" i="4"/>
  <c r="E1106" i="4"/>
  <c r="V1105" i="4"/>
  <c r="H523" i="4"/>
  <c r="H527" i="4" s="1"/>
  <c r="H531" i="4" s="1"/>
  <c r="H535" i="4"/>
  <c r="H352" i="4"/>
  <c r="H355" i="4" s="1"/>
  <c r="H358" i="4" s="1"/>
  <c r="H361" i="4" s="1"/>
  <c r="H364" i="4" s="1"/>
  <c r="H368" i="4" s="1"/>
  <c r="H372" i="4" s="1"/>
  <c r="H376" i="4" s="1"/>
  <c r="H380" i="4" s="1"/>
  <c r="H354" i="4"/>
  <c r="H357" i="4" s="1"/>
  <c r="H360" i="4" s="1"/>
  <c r="H363" i="4" s="1"/>
  <c r="H367" i="4" s="1"/>
  <c r="H371" i="4" s="1"/>
  <c r="H375" i="4" s="1"/>
  <c r="H379" i="4" s="1"/>
  <c r="H353" i="4"/>
  <c r="H356" i="4" s="1"/>
  <c r="H359" i="4" s="1"/>
  <c r="H362" i="4" s="1"/>
  <c r="H166" i="4"/>
  <c r="H169" i="4" s="1"/>
  <c r="H172" i="4" s="1"/>
  <c r="H175" i="4" s="1"/>
  <c r="H167" i="4"/>
  <c r="H170" i="4" s="1"/>
  <c r="H173" i="4" s="1"/>
  <c r="H176" i="4" s="1"/>
  <c r="H180" i="4" s="1"/>
  <c r="H165" i="4"/>
  <c r="H168" i="4" s="1"/>
  <c r="H171" i="4" s="1"/>
  <c r="H174" i="4" s="1"/>
  <c r="H177" i="4" s="1"/>
  <c r="H181" i="4" s="1"/>
  <c r="H185" i="4" s="1"/>
  <c r="H189" i="4" s="1"/>
  <c r="H193" i="4" s="1"/>
  <c r="H517" i="4"/>
  <c r="H521" i="4" s="1"/>
  <c r="H525" i="4" s="1"/>
  <c r="H529" i="4" s="1"/>
  <c r="H533" i="4" s="1"/>
  <c r="H518" i="4"/>
  <c r="H522" i="4" s="1"/>
  <c r="H526" i="4" s="1"/>
  <c r="H530" i="4" s="1"/>
  <c r="H534" i="4" s="1"/>
  <c r="H825" i="4"/>
  <c r="H829" i="4" s="1"/>
  <c r="H833" i="4" s="1"/>
  <c r="H837" i="4" s="1"/>
  <c r="H841" i="4" s="1"/>
  <c r="H826" i="4"/>
  <c r="H830" i="4" s="1"/>
  <c r="H834" i="4" s="1"/>
  <c r="H838" i="4" s="1"/>
  <c r="H842" i="4" s="1"/>
  <c r="H977" i="4"/>
  <c r="H981" i="4" s="1"/>
  <c r="H985" i="4" s="1"/>
  <c r="H989" i="4" s="1"/>
  <c r="H993" i="4" s="1"/>
  <c r="H976" i="4"/>
  <c r="H980" i="4" s="1"/>
  <c r="H984" i="4" s="1"/>
  <c r="H988" i="4" s="1"/>
  <c r="H992" i="4" s="1"/>
  <c r="H994" i="4"/>
  <c r="H982" i="4"/>
  <c r="H986" i="4" s="1"/>
  <c r="H990" i="4" s="1"/>
  <c r="H1167" i="4"/>
  <c r="H1155" i="4"/>
  <c r="H1159" i="4" s="1"/>
  <c r="H1163" i="4" s="1"/>
  <c r="E474" i="4"/>
  <c r="V473" i="4"/>
  <c r="H1150" i="4"/>
  <c r="H1154" i="4" s="1"/>
  <c r="H1158" i="4" s="1"/>
  <c r="H1162" i="4" s="1"/>
  <c r="H1166" i="4" s="1"/>
  <c r="H1149" i="4"/>
  <c r="H1153" i="4" s="1"/>
  <c r="H1157" i="4" s="1"/>
  <c r="H1161" i="4" s="1"/>
  <c r="H1165" i="4" s="1"/>
  <c r="AH266" i="3"/>
  <c r="AH265" i="3"/>
  <c r="AH267" i="3" s="1"/>
  <c r="AH268" i="3" s="1"/>
  <c r="AH269" i="3" s="1"/>
  <c r="W26" i="3"/>
  <c r="F27" i="3"/>
  <c r="B580" i="3"/>
  <c r="B564" i="3"/>
  <c r="H58" i="3"/>
  <c r="H61" i="3" s="1"/>
  <c r="H64" i="3" s="1"/>
  <c r="H67" i="3" s="1"/>
  <c r="H70" i="3" s="1"/>
  <c r="H74" i="3" s="1"/>
  <c r="H78" i="3" s="1"/>
  <c r="H82" i="3" s="1"/>
  <c r="H86" i="3" s="1"/>
  <c r="H59" i="3"/>
  <c r="H62" i="3" s="1"/>
  <c r="H65" i="3" s="1"/>
  <c r="H68" i="3" s="1"/>
  <c r="H60" i="3"/>
  <c r="H63" i="3" s="1"/>
  <c r="H66" i="3" s="1"/>
  <c r="H69" i="3" s="1"/>
  <c r="H73" i="3" s="1"/>
  <c r="H77" i="3" s="1"/>
  <c r="H81" i="3" s="1"/>
  <c r="H85" i="3" s="1"/>
  <c r="E646" i="3"/>
  <c r="W645" i="3"/>
  <c r="B139" i="3"/>
  <c r="B155" i="3"/>
  <c r="E672" i="3"/>
  <c r="W671" i="3"/>
  <c r="W451" i="3"/>
  <c r="F452" i="3"/>
  <c r="W220" i="3"/>
  <c r="F221" i="3"/>
  <c r="H497" i="3"/>
  <c r="H501" i="3" s="1"/>
  <c r="H505" i="3" s="1"/>
  <c r="H509" i="3" s="1"/>
  <c r="H513" i="3" s="1"/>
  <c r="H514" i="3" s="1"/>
  <c r="H496" i="3"/>
  <c r="H500" i="3" s="1"/>
  <c r="H504" i="3" s="1"/>
  <c r="H508" i="3" s="1"/>
  <c r="H512" i="3" s="1"/>
  <c r="F190" i="3"/>
  <c r="W189" i="3"/>
  <c r="H178" i="4" l="1"/>
  <c r="H182" i="4" s="1"/>
  <c r="H186" i="4" s="1"/>
  <c r="H190" i="4" s="1"/>
  <c r="H194" i="4" s="1"/>
  <c r="H179" i="4"/>
  <c r="H183" i="4" s="1"/>
  <c r="H187" i="4" s="1"/>
  <c r="H191" i="4" s="1"/>
  <c r="H195" i="4" s="1"/>
  <c r="V933" i="4"/>
  <c r="E934" i="4"/>
  <c r="E475" i="4"/>
  <c r="V474" i="4"/>
  <c r="H366" i="4"/>
  <c r="H370" i="4" s="1"/>
  <c r="H374" i="4" s="1"/>
  <c r="H378" i="4" s="1"/>
  <c r="H382" i="4" s="1"/>
  <c r="H365" i="4"/>
  <c r="H369" i="4" s="1"/>
  <c r="H373" i="4" s="1"/>
  <c r="H377" i="4" s="1"/>
  <c r="H381" i="4" s="1"/>
  <c r="H537" i="4"/>
  <c r="H540" i="4" s="1"/>
  <c r="H543" i="4" s="1"/>
  <c r="H546" i="4" s="1"/>
  <c r="H538" i="4"/>
  <c r="H541" i="4" s="1"/>
  <c r="H544" i="4" s="1"/>
  <c r="H547" i="4" s="1"/>
  <c r="H551" i="4" s="1"/>
  <c r="H555" i="4" s="1"/>
  <c r="H559" i="4" s="1"/>
  <c r="H563" i="4" s="1"/>
  <c r="H536" i="4"/>
  <c r="H539" i="4" s="1"/>
  <c r="H542" i="4" s="1"/>
  <c r="H545" i="4" s="1"/>
  <c r="H548" i="4" s="1"/>
  <c r="H552" i="4" s="1"/>
  <c r="H556" i="4" s="1"/>
  <c r="H560" i="4" s="1"/>
  <c r="H564" i="4" s="1"/>
  <c r="H196" i="4"/>
  <c r="H184" i="4"/>
  <c r="H188" i="4" s="1"/>
  <c r="H192" i="4" s="1"/>
  <c r="V322" i="4"/>
  <c r="E323" i="4"/>
  <c r="V782" i="4"/>
  <c r="E783" i="4"/>
  <c r="H997" i="4"/>
  <c r="H1000" i="4" s="1"/>
  <c r="H1003" i="4" s="1"/>
  <c r="H1006" i="4" s="1"/>
  <c r="H1010" i="4" s="1"/>
  <c r="H1014" i="4" s="1"/>
  <c r="H1018" i="4" s="1"/>
  <c r="H1022" i="4" s="1"/>
  <c r="H995" i="4"/>
  <c r="H998" i="4" s="1"/>
  <c r="H1001" i="4" s="1"/>
  <c r="H1004" i="4" s="1"/>
  <c r="H1007" i="4" s="1"/>
  <c r="H1011" i="4" s="1"/>
  <c r="H1015" i="4" s="1"/>
  <c r="H1019" i="4" s="1"/>
  <c r="H1023" i="4" s="1"/>
  <c r="H996" i="4"/>
  <c r="H999" i="4" s="1"/>
  <c r="H1002" i="4" s="1"/>
  <c r="H1005" i="4" s="1"/>
  <c r="V1106" i="4"/>
  <c r="E1107" i="4"/>
  <c r="V641" i="4"/>
  <c r="E642" i="4"/>
  <c r="F13" i="4"/>
  <c r="V12" i="4"/>
  <c r="V1252" i="4"/>
  <c r="F1253" i="4"/>
  <c r="H1169" i="4"/>
  <c r="H1172" i="4" s="1"/>
  <c r="H1175" i="4" s="1"/>
  <c r="H1178" i="4" s="1"/>
  <c r="H1170" i="4"/>
  <c r="H1173" i="4" s="1"/>
  <c r="H1176" i="4" s="1"/>
  <c r="H1179" i="4" s="1"/>
  <c r="H1183" i="4" s="1"/>
  <c r="H1168" i="4"/>
  <c r="H1171" i="4" s="1"/>
  <c r="H1174" i="4" s="1"/>
  <c r="H1177" i="4" s="1"/>
  <c r="H1180" i="4" s="1"/>
  <c r="H1184" i="4" s="1"/>
  <c r="H1188" i="4" s="1"/>
  <c r="H1192" i="4" s="1"/>
  <c r="H1196" i="4" s="1"/>
  <c r="V135" i="4"/>
  <c r="E136" i="4"/>
  <c r="H516" i="3"/>
  <c r="H519" i="3" s="1"/>
  <c r="H522" i="3" s="1"/>
  <c r="H525" i="3" s="1"/>
  <c r="H517" i="3"/>
  <c r="H520" i="3" s="1"/>
  <c r="H523" i="3" s="1"/>
  <c r="H526" i="3" s="1"/>
  <c r="H530" i="3" s="1"/>
  <c r="H534" i="3" s="1"/>
  <c r="H538" i="3" s="1"/>
  <c r="H542" i="3" s="1"/>
  <c r="H515" i="3"/>
  <c r="H518" i="3" s="1"/>
  <c r="H521" i="3" s="1"/>
  <c r="H524" i="3" s="1"/>
  <c r="H527" i="3" s="1"/>
  <c r="H531" i="3" s="1"/>
  <c r="H535" i="3" s="1"/>
  <c r="H539" i="3" s="1"/>
  <c r="H543" i="3" s="1"/>
  <c r="H71" i="3"/>
  <c r="H75" i="3" s="1"/>
  <c r="H79" i="3" s="1"/>
  <c r="H83" i="3" s="1"/>
  <c r="H87" i="3" s="1"/>
  <c r="H72" i="3"/>
  <c r="H76" i="3" s="1"/>
  <c r="H80" i="3" s="1"/>
  <c r="H84" i="3" s="1"/>
  <c r="H88" i="3" s="1"/>
  <c r="H89" i="3" s="1"/>
  <c r="B581" i="3"/>
  <c r="B565" i="3"/>
  <c r="F453" i="3"/>
  <c r="W452" i="3"/>
  <c r="W27" i="3"/>
  <c r="F28" i="3"/>
  <c r="B140" i="3"/>
  <c r="B156" i="3"/>
  <c r="E647" i="3"/>
  <c r="W646" i="3"/>
  <c r="E673" i="3"/>
  <c r="W672" i="3"/>
  <c r="AH270" i="3"/>
  <c r="AH272" i="3" s="1"/>
  <c r="AH274" i="3" s="1"/>
  <c r="AH276" i="3" s="1"/>
  <c r="AH278" i="3" s="1"/>
  <c r="AH280" i="3" s="1"/>
  <c r="AH271" i="3"/>
  <c r="AH273" i="3" s="1"/>
  <c r="AH275" i="3" s="1"/>
  <c r="AH277" i="3" s="1"/>
  <c r="AH279" i="3" s="1"/>
  <c r="F191" i="3"/>
  <c r="W190" i="3"/>
  <c r="W221" i="3"/>
  <c r="F222" i="3"/>
  <c r="V1107" i="4" l="1"/>
  <c r="E1108" i="4"/>
  <c r="H549" i="4"/>
  <c r="H553" i="4" s="1"/>
  <c r="H557" i="4" s="1"/>
  <c r="H561" i="4" s="1"/>
  <c r="H565" i="4" s="1"/>
  <c r="H550" i="4"/>
  <c r="H554" i="4" s="1"/>
  <c r="H558" i="4" s="1"/>
  <c r="H562" i="4" s="1"/>
  <c r="H566" i="4" s="1"/>
  <c r="H197" i="4"/>
  <c r="H200" i="4" s="1"/>
  <c r="H203" i="4" s="1"/>
  <c r="H206" i="4" s="1"/>
  <c r="H209" i="4" s="1"/>
  <c r="H213" i="4" s="1"/>
  <c r="H217" i="4" s="1"/>
  <c r="H221" i="4" s="1"/>
  <c r="H225" i="4" s="1"/>
  <c r="H198" i="4"/>
  <c r="H201" i="4" s="1"/>
  <c r="H204" i="4" s="1"/>
  <c r="H207" i="4" s="1"/>
  <c r="H199" i="4"/>
  <c r="H202" i="4" s="1"/>
  <c r="H205" i="4" s="1"/>
  <c r="H208" i="4" s="1"/>
  <c r="H212" i="4" s="1"/>
  <c r="H216" i="4" s="1"/>
  <c r="H220" i="4" s="1"/>
  <c r="H224" i="4" s="1"/>
  <c r="E643" i="4"/>
  <c r="V642" i="4"/>
  <c r="H1181" i="4"/>
  <c r="H1185" i="4" s="1"/>
  <c r="H1189" i="4" s="1"/>
  <c r="H1193" i="4" s="1"/>
  <c r="H1197" i="4" s="1"/>
  <c r="H1182" i="4"/>
  <c r="H1186" i="4" s="1"/>
  <c r="H1190" i="4" s="1"/>
  <c r="H1194" i="4" s="1"/>
  <c r="H1198" i="4" s="1"/>
  <c r="V783" i="4"/>
  <c r="E784" i="4"/>
  <c r="V475" i="4"/>
  <c r="E476" i="4"/>
  <c r="V136" i="4"/>
  <c r="E137" i="4"/>
  <c r="V1253" i="4"/>
  <c r="F1254" i="4"/>
  <c r="V934" i="4"/>
  <c r="E935" i="4"/>
  <c r="H1008" i="4"/>
  <c r="H1012" i="4" s="1"/>
  <c r="H1016" i="4" s="1"/>
  <c r="H1020" i="4" s="1"/>
  <c r="H1024" i="4" s="1"/>
  <c r="H1009" i="4"/>
  <c r="H1013" i="4" s="1"/>
  <c r="H1017" i="4" s="1"/>
  <c r="H1021" i="4" s="1"/>
  <c r="H1025" i="4" s="1"/>
  <c r="H1187" i="4"/>
  <c r="H1191" i="4" s="1"/>
  <c r="H1195" i="4" s="1"/>
  <c r="H1199" i="4"/>
  <c r="E324" i="4"/>
  <c r="V323" i="4"/>
  <c r="V13" i="4"/>
  <c r="F14" i="4"/>
  <c r="F29" i="3"/>
  <c r="W28" i="3"/>
  <c r="B566" i="3"/>
  <c r="B582" i="3"/>
  <c r="B157" i="3"/>
  <c r="B141" i="3"/>
  <c r="F192" i="3"/>
  <c r="W191" i="3"/>
  <c r="W222" i="3"/>
  <c r="F223" i="3"/>
  <c r="F454" i="3"/>
  <c r="W453" i="3"/>
  <c r="W647" i="3"/>
  <c r="E648" i="3"/>
  <c r="H92" i="3"/>
  <c r="H95" i="3" s="1"/>
  <c r="H98" i="3" s="1"/>
  <c r="H101" i="3" s="1"/>
  <c r="H105" i="3" s="1"/>
  <c r="H109" i="3" s="1"/>
  <c r="H113" i="3" s="1"/>
  <c r="H117" i="3" s="1"/>
  <c r="H90" i="3"/>
  <c r="H93" i="3" s="1"/>
  <c r="H96" i="3" s="1"/>
  <c r="H99" i="3" s="1"/>
  <c r="H102" i="3" s="1"/>
  <c r="H106" i="3" s="1"/>
  <c r="H110" i="3" s="1"/>
  <c r="H114" i="3" s="1"/>
  <c r="H118" i="3" s="1"/>
  <c r="H91" i="3"/>
  <c r="H94" i="3" s="1"/>
  <c r="H97" i="3" s="1"/>
  <c r="H100" i="3" s="1"/>
  <c r="W673" i="3"/>
  <c r="E674" i="3"/>
  <c r="H528" i="3"/>
  <c r="H532" i="3" s="1"/>
  <c r="H536" i="3" s="1"/>
  <c r="H540" i="3" s="1"/>
  <c r="H544" i="3" s="1"/>
  <c r="H529" i="3"/>
  <c r="H533" i="3" s="1"/>
  <c r="H537" i="3" s="1"/>
  <c r="H541" i="3" s="1"/>
  <c r="H545" i="3" s="1"/>
  <c r="H546" i="3" s="1"/>
  <c r="V643" i="4" l="1"/>
  <c r="E644" i="4"/>
  <c r="V1254" i="4"/>
  <c r="F1255" i="4"/>
  <c r="H210" i="4"/>
  <c r="H214" i="4" s="1"/>
  <c r="H218" i="4" s="1"/>
  <c r="H222" i="4" s="1"/>
  <c r="H226" i="4" s="1"/>
  <c r="H211" i="4"/>
  <c r="H215" i="4" s="1"/>
  <c r="H219" i="4" s="1"/>
  <c r="H223" i="4" s="1"/>
  <c r="H227" i="4" s="1"/>
  <c r="V14" i="4"/>
  <c r="F15" i="4"/>
  <c r="V137" i="4"/>
  <c r="E138" i="4"/>
  <c r="V1108" i="4"/>
  <c r="E1109" i="4"/>
  <c r="V935" i="4"/>
  <c r="E936" i="4"/>
  <c r="E477" i="4"/>
  <c r="V476" i="4"/>
  <c r="V324" i="4"/>
  <c r="E325" i="4"/>
  <c r="H1200" i="4"/>
  <c r="H1203" i="4" s="1"/>
  <c r="H1206" i="4" s="1"/>
  <c r="H1209" i="4" s="1"/>
  <c r="H1212" i="4" s="1"/>
  <c r="H1216" i="4" s="1"/>
  <c r="H1220" i="4" s="1"/>
  <c r="H1224" i="4" s="1"/>
  <c r="H1228" i="4" s="1"/>
  <c r="H1202" i="4"/>
  <c r="H1205" i="4" s="1"/>
  <c r="H1208" i="4" s="1"/>
  <c r="H1211" i="4" s="1"/>
  <c r="H1215" i="4" s="1"/>
  <c r="H1219" i="4" s="1"/>
  <c r="H1223" i="4" s="1"/>
  <c r="H1227" i="4" s="1"/>
  <c r="H1201" i="4"/>
  <c r="H1204" i="4" s="1"/>
  <c r="H1207" i="4" s="1"/>
  <c r="H1210" i="4" s="1"/>
  <c r="E785" i="4"/>
  <c r="V784" i="4"/>
  <c r="F224" i="3"/>
  <c r="W223" i="3"/>
  <c r="W454" i="3"/>
  <c r="F455" i="3"/>
  <c r="B158" i="3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42" i="3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H104" i="3"/>
  <c r="H108" i="3" s="1"/>
  <c r="H112" i="3" s="1"/>
  <c r="H116" i="3" s="1"/>
  <c r="H120" i="3" s="1"/>
  <c r="H121" i="3" s="1"/>
  <c r="H103" i="3"/>
  <c r="H107" i="3" s="1"/>
  <c r="H111" i="3" s="1"/>
  <c r="H115" i="3" s="1"/>
  <c r="H119" i="3" s="1"/>
  <c r="W192" i="3"/>
  <c r="F193" i="3"/>
  <c r="B583" i="3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567" i="3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H548" i="3"/>
  <c r="H551" i="3" s="1"/>
  <c r="H554" i="3" s="1"/>
  <c r="H557" i="3" s="1"/>
  <c r="H549" i="3"/>
  <c r="H552" i="3" s="1"/>
  <c r="H555" i="3" s="1"/>
  <c r="H558" i="3" s="1"/>
  <c r="H562" i="3" s="1"/>
  <c r="H566" i="3" s="1"/>
  <c r="H570" i="3" s="1"/>
  <c r="H574" i="3" s="1"/>
  <c r="H547" i="3"/>
  <c r="H550" i="3" s="1"/>
  <c r="H553" i="3" s="1"/>
  <c r="H556" i="3" s="1"/>
  <c r="H559" i="3" s="1"/>
  <c r="H563" i="3" s="1"/>
  <c r="H567" i="3" s="1"/>
  <c r="H571" i="3" s="1"/>
  <c r="H575" i="3" s="1"/>
  <c r="W674" i="3"/>
  <c r="E675" i="3"/>
  <c r="W648" i="3"/>
  <c r="E649" i="3"/>
  <c r="F30" i="3"/>
  <c r="W29" i="3"/>
  <c r="E786" i="4" l="1"/>
  <c r="V785" i="4"/>
  <c r="V138" i="4"/>
  <c r="E139" i="4"/>
  <c r="V15" i="4"/>
  <c r="F16" i="4"/>
  <c r="V1109" i="4"/>
  <c r="E1110" i="4"/>
  <c r="V325" i="4"/>
  <c r="E326" i="4"/>
  <c r="V1255" i="4"/>
  <c r="F1256" i="4"/>
  <c r="H1214" i="4"/>
  <c r="H1218" i="4" s="1"/>
  <c r="H1222" i="4" s="1"/>
  <c r="H1226" i="4" s="1"/>
  <c r="H1230" i="4" s="1"/>
  <c r="H1213" i="4"/>
  <c r="H1217" i="4" s="1"/>
  <c r="H1221" i="4" s="1"/>
  <c r="H1225" i="4" s="1"/>
  <c r="H1229" i="4" s="1"/>
  <c r="V477" i="4"/>
  <c r="E478" i="4"/>
  <c r="V936" i="4"/>
  <c r="E937" i="4"/>
  <c r="E645" i="4"/>
  <c r="V644" i="4"/>
  <c r="W649" i="3"/>
  <c r="E650" i="3"/>
  <c r="H123" i="3"/>
  <c r="H126" i="3" s="1"/>
  <c r="H129" i="3" s="1"/>
  <c r="H132" i="3" s="1"/>
  <c r="H124" i="3"/>
  <c r="H127" i="3" s="1"/>
  <c r="H130" i="3" s="1"/>
  <c r="H133" i="3" s="1"/>
  <c r="H137" i="3" s="1"/>
  <c r="H141" i="3" s="1"/>
  <c r="H145" i="3" s="1"/>
  <c r="H149" i="3" s="1"/>
  <c r="H122" i="3"/>
  <c r="H125" i="3" s="1"/>
  <c r="H128" i="3" s="1"/>
  <c r="H131" i="3" s="1"/>
  <c r="H134" i="3" s="1"/>
  <c r="H138" i="3" s="1"/>
  <c r="H142" i="3" s="1"/>
  <c r="H146" i="3" s="1"/>
  <c r="H150" i="3" s="1"/>
  <c r="W193" i="3"/>
  <c r="F194" i="3"/>
  <c r="W675" i="3"/>
  <c r="E676" i="3"/>
  <c r="B185" i="3"/>
  <c r="B171" i="3"/>
  <c r="F456" i="3"/>
  <c r="W455" i="3"/>
  <c r="W30" i="3"/>
  <c r="F31" i="3"/>
  <c r="H561" i="3"/>
  <c r="H565" i="3" s="1"/>
  <c r="H569" i="3" s="1"/>
  <c r="H573" i="3" s="1"/>
  <c r="H577" i="3" s="1"/>
  <c r="H578" i="3" s="1"/>
  <c r="H579" i="3" s="1"/>
  <c r="H580" i="3" s="1"/>
  <c r="H581" i="3" s="1"/>
  <c r="H582" i="3" s="1"/>
  <c r="H583" i="3" s="1"/>
  <c r="H584" i="3" s="1"/>
  <c r="H585" i="3" s="1"/>
  <c r="H586" i="3" s="1"/>
  <c r="H587" i="3" s="1"/>
  <c r="H588" i="3" s="1"/>
  <c r="H589" i="3" s="1"/>
  <c r="H590" i="3" s="1"/>
  <c r="H591" i="3" s="1"/>
  <c r="H592" i="3" s="1"/>
  <c r="H593" i="3" s="1"/>
  <c r="H594" i="3" s="1"/>
  <c r="H560" i="3"/>
  <c r="H564" i="3" s="1"/>
  <c r="H568" i="3" s="1"/>
  <c r="H572" i="3" s="1"/>
  <c r="H576" i="3" s="1"/>
  <c r="W224" i="3"/>
  <c r="F225" i="3"/>
  <c r="V1110" i="4" l="1"/>
  <c r="E1111" i="4"/>
  <c r="E938" i="4"/>
  <c r="V937" i="4"/>
  <c r="V16" i="4"/>
  <c r="F17" i="4"/>
  <c r="E327" i="4"/>
  <c r="V326" i="4"/>
  <c r="E479" i="4"/>
  <c r="V478" i="4"/>
  <c r="E140" i="4"/>
  <c r="V139" i="4"/>
  <c r="V1256" i="4"/>
  <c r="F1257" i="4"/>
  <c r="V645" i="4"/>
  <c r="E646" i="4"/>
  <c r="E787" i="4"/>
  <c r="V786" i="4"/>
  <c r="F457" i="3"/>
  <c r="W456" i="3"/>
  <c r="F226" i="3"/>
  <c r="W225" i="3"/>
  <c r="F195" i="3"/>
  <c r="W194" i="3"/>
  <c r="B186" i="3"/>
  <c r="B172" i="3"/>
  <c r="H610" i="3"/>
  <c r="H611" i="3" s="1"/>
  <c r="H612" i="3" s="1"/>
  <c r="H613" i="3" s="1"/>
  <c r="H595" i="3"/>
  <c r="H596" i="3" s="1"/>
  <c r="H597" i="3" s="1"/>
  <c r="H598" i="3" s="1"/>
  <c r="H599" i="3" s="1"/>
  <c r="H600" i="3" s="1"/>
  <c r="H601" i="3" s="1"/>
  <c r="H602" i="3" s="1"/>
  <c r="H603" i="3" s="1"/>
  <c r="H604" i="3" s="1"/>
  <c r="H605" i="3" s="1"/>
  <c r="H606" i="3" s="1"/>
  <c r="H607" i="3" s="1"/>
  <c r="H608" i="3" s="1"/>
  <c r="H609" i="3" s="1"/>
  <c r="W31" i="3"/>
  <c r="F32" i="3"/>
  <c r="H135" i="3"/>
  <c r="H139" i="3" s="1"/>
  <c r="H143" i="3" s="1"/>
  <c r="H147" i="3" s="1"/>
  <c r="H151" i="3" s="1"/>
  <c r="H136" i="3"/>
  <c r="H140" i="3" s="1"/>
  <c r="H144" i="3" s="1"/>
  <c r="H148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W676" i="3"/>
  <c r="E677" i="3"/>
  <c r="W650" i="3"/>
  <c r="E651" i="3"/>
  <c r="E480" i="4" l="1"/>
  <c r="V479" i="4"/>
  <c r="E141" i="4"/>
  <c r="V140" i="4"/>
  <c r="V1257" i="4"/>
  <c r="F1258" i="4"/>
  <c r="V1111" i="4"/>
  <c r="E1112" i="4"/>
  <c r="E328" i="4"/>
  <c r="V327" i="4"/>
  <c r="V17" i="4"/>
  <c r="F18" i="4"/>
  <c r="V787" i="4"/>
  <c r="E788" i="4"/>
  <c r="V646" i="4"/>
  <c r="E647" i="4"/>
  <c r="E939" i="4"/>
  <c r="V938" i="4"/>
  <c r="F227" i="3"/>
  <c r="W226" i="3"/>
  <c r="W32" i="3"/>
  <c r="F33" i="3"/>
  <c r="B173" i="3"/>
  <c r="B187" i="3"/>
  <c r="W651" i="3"/>
  <c r="E652" i="3"/>
  <c r="F196" i="3"/>
  <c r="W195" i="3"/>
  <c r="E678" i="3"/>
  <c r="W677" i="3"/>
  <c r="W457" i="3"/>
  <c r="F458" i="3"/>
  <c r="E1113" i="4" l="1"/>
  <c r="V1112" i="4"/>
  <c r="V328" i="4"/>
  <c r="E329" i="4"/>
  <c r="V1258" i="4"/>
  <c r="F1259" i="4"/>
  <c r="V939" i="4"/>
  <c r="E940" i="4"/>
  <c r="E648" i="4"/>
  <c r="V647" i="4"/>
  <c r="V788" i="4"/>
  <c r="E789" i="4"/>
  <c r="V18" i="4"/>
  <c r="F19" i="4"/>
  <c r="V141" i="4"/>
  <c r="E142" i="4"/>
  <c r="E481" i="4"/>
  <c r="V480" i="4"/>
  <c r="W678" i="3"/>
  <c r="E679" i="3"/>
  <c r="W196" i="3"/>
  <c r="F197" i="3"/>
  <c r="W652" i="3"/>
  <c r="E653" i="3"/>
  <c r="B174" i="3"/>
  <c r="B188" i="3"/>
  <c r="F34" i="3"/>
  <c r="W33" i="3"/>
  <c r="F459" i="3"/>
  <c r="W458" i="3"/>
  <c r="W227" i="3"/>
  <c r="F228" i="3"/>
  <c r="E649" i="4" l="1"/>
  <c r="V648" i="4"/>
  <c r="V1259" i="4"/>
  <c r="F1260" i="4"/>
  <c r="V142" i="4"/>
  <c r="E143" i="4"/>
  <c r="V329" i="4"/>
  <c r="E330" i="4"/>
  <c r="V789" i="4"/>
  <c r="E790" i="4"/>
  <c r="E941" i="4"/>
  <c r="V940" i="4"/>
  <c r="V481" i="4"/>
  <c r="E482" i="4"/>
  <c r="V19" i="4"/>
  <c r="F20" i="4"/>
  <c r="E1114" i="4"/>
  <c r="V1113" i="4"/>
  <c r="F460" i="3"/>
  <c r="W459" i="3"/>
  <c r="W34" i="3"/>
  <c r="F35" i="3"/>
  <c r="E654" i="3"/>
  <c r="W653" i="3"/>
  <c r="F229" i="3"/>
  <c r="W228" i="3"/>
  <c r="E680" i="3"/>
  <c r="W679" i="3"/>
  <c r="B189" i="3"/>
  <c r="B175" i="3"/>
  <c r="W197" i="3"/>
  <c r="F198" i="3"/>
  <c r="E942" i="4" l="1"/>
  <c r="V941" i="4"/>
  <c r="F21" i="4"/>
  <c r="V20" i="4"/>
  <c r="V1260" i="4"/>
  <c r="F1261" i="4"/>
  <c r="E331" i="4"/>
  <c r="V330" i="4"/>
  <c r="E791" i="4"/>
  <c r="V790" i="4"/>
  <c r="V143" i="4"/>
  <c r="E144" i="4"/>
  <c r="V1114" i="4"/>
  <c r="E1115" i="4"/>
  <c r="V482" i="4"/>
  <c r="E483" i="4"/>
  <c r="E650" i="4"/>
  <c r="V649" i="4"/>
  <c r="W680" i="3"/>
  <c r="E681" i="3"/>
  <c r="W229" i="3"/>
  <c r="F230" i="3"/>
  <c r="W654" i="3"/>
  <c r="E655" i="3"/>
  <c r="W35" i="3"/>
  <c r="F36" i="3"/>
  <c r="F199" i="3"/>
  <c r="W198" i="3"/>
  <c r="B176" i="3"/>
  <c r="B177" i="3" s="1"/>
  <c r="B178" i="3" s="1"/>
  <c r="B179" i="3" s="1"/>
  <c r="B180" i="3" s="1"/>
  <c r="B181" i="3" s="1"/>
  <c r="B182" i="3" s="1"/>
  <c r="B183" i="3" s="1"/>
  <c r="B184" i="3" s="1"/>
  <c r="B190" i="3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F461" i="3"/>
  <c r="W460" i="3"/>
  <c r="E145" i="4" l="1"/>
  <c r="V144" i="4"/>
  <c r="E792" i="4"/>
  <c r="V791" i="4"/>
  <c r="V331" i="4"/>
  <c r="E332" i="4"/>
  <c r="V1261" i="4"/>
  <c r="F1262" i="4"/>
  <c r="V483" i="4"/>
  <c r="E484" i="4"/>
  <c r="V21" i="4"/>
  <c r="F22" i="4"/>
  <c r="V650" i="4"/>
  <c r="E651" i="4"/>
  <c r="E1116" i="4"/>
  <c r="V1115" i="4"/>
  <c r="E943" i="4"/>
  <c r="V942" i="4"/>
  <c r="F200" i="3"/>
  <c r="W199" i="3"/>
  <c r="W36" i="3"/>
  <c r="F37" i="3"/>
  <c r="E656" i="3"/>
  <c r="W655" i="3"/>
  <c r="W230" i="3"/>
  <c r="F231" i="3"/>
  <c r="E682" i="3"/>
  <c r="W681" i="3"/>
  <c r="F462" i="3"/>
  <c r="W461" i="3"/>
  <c r="V1262" i="4" l="1"/>
  <c r="F1263" i="4"/>
  <c r="E944" i="4"/>
  <c r="V943" i="4"/>
  <c r="V1116" i="4"/>
  <c r="E1117" i="4"/>
  <c r="V792" i="4"/>
  <c r="E793" i="4"/>
  <c r="E485" i="4"/>
  <c r="V484" i="4"/>
  <c r="E652" i="4"/>
  <c r="V651" i="4"/>
  <c r="V22" i="4"/>
  <c r="F23" i="4"/>
  <c r="V332" i="4"/>
  <c r="E333" i="4"/>
  <c r="V145" i="4"/>
  <c r="E146" i="4"/>
  <c r="F463" i="3"/>
  <c r="W462" i="3"/>
  <c r="W682" i="3"/>
  <c r="E683" i="3"/>
  <c r="E657" i="3"/>
  <c r="W656" i="3"/>
  <c r="F38" i="3"/>
  <c r="W37" i="3"/>
  <c r="W231" i="3"/>
  <c r="F232" i="3"/>
  <c r="W200" i="3"/>
  <c r="F201" i="3"/>
  <c r="V793" i="4" l="1"/>
  <c r="E794" i="4"/>
  <c r="E1118" i="4"/>
  <c r="V1117" i="4"/>
  <c r="E486" i="4"/>
  <c r="V485" i="4"/>
  <c r="E147" i="4"/>
  <c r="V146" i="4"/>
  <c r="V944" i="4"/>
  <c r="E945" i="4"/>
  <c r="V23" i="4"/>
  <c r="F24" i="4"/>
  <c r="V1263" i="4"/>
  <c r="F1264" i="4"/>
  <c r="V652" i="4"/>
  <c r="E653" i="4"/>
  <c r="V333" i="4"/>
  <c r="E334" i="4"/>
  <c r="W201" i="3"/>
  <c r="F202" i="3"/>
  <c r="F233" i="3"/>
  <c r="W232" i="3"/>
  <c r="W38" i="3"/>
  <c r="F39" i="3"/>
  <c r="E658" i="3"/>
  <c r="W657" i="3"/>
  <c r="E684" i="3"/>
  <c r="W683" i="3"/>
  <c r="W463" i="3"/>
  <c r="F464" i="3"/>
  <c r="V147" i="4" l="1"/>
  <c r="E148" i="4"/>
  <c r="V945" i="4"/>
  <c r="E946" i="4"/>
  <c r="E335" i="4"/>
  <c r="V334" i="4"/>
  <c r="E487" i="4"/>
  <c r="V486" i="4"/>
  <c r="V1118" i="4"/>
  <c r="E1119" i="4"/>
  <c r="V653" i="4"/>
  <c r="E654" i="4"/>
  <c r="V1264" i="4"/>
  <c r="F1265" i="4"/>
  <c r="V794" i="4"/>
  <c r="E795" i="4"/>
  <c r="V24" i="4"/>
  <c r="F25" i="4"/>
  <c r="W684" i="3"/>
  <c r="E685" i="3"/>
  <c r="W658" i="3"/>
  <c r="E659" i="3"/>
  <c r="W233" i="3"/>
  <c r="F234" i="3"/>
  <c r="F203" i="3"/>
  <c r="W202" i="3"/>
  <c r="F465" i="3"/>
  <c r="W464" i="3"/>
  <c r="W39" i="3"/>
  <c r="F40" i="3"/>
  <c r="V487" i="4" l="1"/>
  <c r="E488" i="4"/>
  <c r="V25" i="4"/>
  <c r="F26" i="4"/>
  <c r="V654" i="4"/>
  <c r="E655" i="4"/>
  <c r="V795" i="4"/>
  <c r="E796" i="4"/>
  <c r="V946" i="4"/>
  <c r="E947" i="4"/>
  <c r="V1119" i="4"/>
  <c r="E1120" i="4"/>
  <c r="V1265" i="4"/>
  <c r="F1266" i="4"/>
  <c r="V1266" i="4" s="1"/>
  <c r="V148" i="4"/>
  <c r="E149" i="4"/>
  <c r="E336" i="4"/>
  <c r="V335" i="4"/>
  <c r="F204" i="3"/>
  <c r="W203" i="3"/>
  <c r="F235" i="3"/>
  <c r="W234" i="3"/>
  <c r="W40" i="3"/>
  <c r="F41" i="3"/>
  <c r="F466" i="3"/>
  <c r="W465" i="3"/>
  <c r="E660" i="3"/>
  <c r="W660" i="3" s="1"/>
  <c r="W659" i="3"/>
  <c r="W685" i="3"/>
  <c r="E686" i="3"/>
  <c r="W686" i="3" s="1"/>
  <c r="E656" i="4" l="1"/>
  <c r="V655" i="4"/>
  <c r="E150" i="4"/>
  <c r="V149" i="4"/>
  <c r="V26" i="4"/>
  <c r="F27" i="4"/>
  <c r="V1120" i="4"/>
  <c r="E1121" i="4"/>
  <c r="V488" i="4"/>
  <c r="E489" i="4"/>
  <c r="V947" i="4"/>
  <c r="E948" i="4"/>
  <c r="E797" i="4"/>
  <c r="V796" i="4"/>
  <c r="V336" i="4"/>
  <c r="E337" i="4"/>
  <c r="F467" i="3"/>
  <c r="W466" i="3"/>
  <c r="W235" i="3"/>
  <c r="F236" i="3"/>
  <c r="F42" i="3"/>
  <c r="W41" i="3"/>
  <c r="W204" i="3"/>
  <c r="F205" i="3"/>
  <c r="V948" i="4" l="1"/>
  <c r="E949" i="4"/>
  <c r="E490" i="4"/>
  <c r="V489" i="4"/>
  <c r="V337" i="4"/>
  <c r="E338" i="4"/>
  <c r="E151" i="4"/>
  <c r="V150" i="4"/>
  <c r="V1121" i="4"/>
  <c r="E1122" i="4"/>
  <c r="V27" i="4"/>
  <c r="F28" i="4"/>
  <c r="V797" i="4"/>
  <c r="E798" i="4"/>
  <c r="V656" i="4"/>
  <c r="E657" i="4"/>
  <c r="W205" i="3"/>
  <c r="F206" i="3"/>
  <c r="W236" i="3"/>
  <c r="F237" i="3"/>
  <c r="W42" i="3"/>
  <c r="F43" i="3"/>
  <c r="W467" i="3"/>
  <c r="F468" i="3"/>
  <c r="V1122" i="4" l="1"/>
  <c r="E1123" i="4"/>
  <c r="E152" i="4"/>
  <c r="V151" i="4"/>
  <c r="V338" i="4"/>
  <c r="E339" i="4"/>
  <c r="E950" i="4"/>
  <c r="V949" i="4"/>
  <c r="V28" i="4"/>
  <c r="F29" i="4"/>
  <c r="E658" i="4"/>
  <c r="V657" i="4"/>
  <c r="E491" i="4"/>
  <c r="V490" i="4"/>
  <c r="E799" i="4"/>
  <c r="V798" i="4"/>
  <c r="F469" i="3"/>
  <c r="W468" i="3"/>
  <c r="W43" i="3"/>
  <c r="F44" i="3"/>
  <c r="W237" i="3"/>
  <c r="F238" i="3"/>
  <c r="F207" i="3"/>
  <c r="W206" i="3"/>
  <c r="V29" i="4" l="1"/>
  <c r="F30" i="4"/>
  <c r="V658" i="4"/>
  <c r="E659" i="4"/>
  <c r="V950" i="4"/>
  <c r="E951" i="4"/>
  <c r="E340" i="4"/>
  <c r="V339" i="4"/>
  <c r="V799" i="4"/>
  <c r="E800" i="4"/>
  <c r="E153" i="4"/>
  <c r="V152" i="4"/>
  <c r="V1123" i="4"/>
  <c r="E1124" i="4"/>
  <c r="V491" i="4"/>
  <c r="E492" i="4"/>
  <c r="F208" i="3"/>
  <c r="W207" i="3"/>
  <c r="W238" i="3"/>
  <c r="F239" i="3"/>
  <c r="W44" i="3"/>
  <c r="F45" i="3"/>
  <c r="W469" i="3"/>
  <c r="F470" i="3"/>
  <c r="V800" i="4" l="1"/>
  <c r="E801" i="4"/>
  <c r="V340" i="4"/>
  <c r="E341" i="4"/>
  <c r="E342" i="4" s="1"/>
  <c r="V153" i="4"/>
  <c r="E154" i="4"/>
  <c r="V951" i="4"/>
  <c r="E952" i="4"/>
  <c r="V492" i="4"/>
  <c r="E493" i="4"/>
  <c r="V659" i="4"/>
  <c r="E660" i="4"/>
  <c r="E1125" i="4"/>
  <c r="V1124" i="4"/>
  <c r="F31" i="4"/>
  <c r="V30" i="4"/>
  <c r="F46" i="3"/>
  <c r="W45" i="3"/>
  <c r="W239" i="3"/>
  <c r="F240" i="3"/>
  <c r="F471" i="3"/>
  <c r="W470" i="3"/>
  <c r="W208" i="3"/>
  <c r="F209" i="3"/>
  <c r="V493" i="4" l="1"/>
  <c r="E494" i="4"/>
  <c r="V660" i="4"/>
  <c r="E661" i="4"/>
  <c r="V801" i="4"/>
  <c r="E802" i="4"/>
  <c r="V952" i="4"/>
  <c r="E953" i="4"/>
  <c r="V154" i="4"/>
  <c r="E155" i="4"/>
  <c r="E343" i="4"/>
  <c r="V342" i="4"/>
  <c r="V31" i="4"/>
  <c r="F32" i="4"/>
  <c r="V1125" i="4"/>
  <c r="E1126" i="4"/>
  <c r="W209" i="3"/>
  <c r="F210" i="3"/>
  <c r="F472" i="3"/>
  <c r="W471" i="3"/>
  <c r="W240" i="3"/>
  <c r="F241" i="3"/>
  <c r="W46" i="3"/>
  <c r="F47" i="3"/>
  <c r="E954" i="4" l="1"/>
  <c r="V953" i="4"/>
  <c r="E1066" i="4"/>
  <c r="E803" i="4"/>
  <c r="V802" i="4"/>
  <c r="V1126" i="4"/>
  <c r="E1127" i="4"/>
  <c r="V661" i="4"/>
  <c r="E662" i="4"/>
  <c r="V343" i="4"/>
  <c r="E344" i="4"/>
  <c r="F33" i="4"/>
  <c r="V32" i="4"/>
  <c r="V494" i="4"/>
  <c r="E495" i="4"/>
  <c r="V155" i="4"/>
  <c r="E156" i="4"/>
  <c r="W47" i="3"/>
  <c r="F48" i="3"/>
  <c r="F242" i="3"/>
  <c r="W241" i="3"/>
  <c r="W472" i="3"/>
  <c r="F473" i="3"/>
  <c r="F211" i="3"/>
  <c r="W210" i="3"/>
  <c r="V344" i="4" l="1"/>
  <c r="E345" i="4"/>
  <c r="V156" i="4"/>
  <c r="E157" i="4"/>
  <c r="E804" i="4"/>
  <c r="V803" i="4"/>
  <c r="V33" i="4"/>
  <c r="F34" i="4"/>
  <c r="V662" i="4"/>
  <c r="E663" i="4"/>
  <c r="V1127" i="4"/>
  <c r="E1128" i="4"/>
  <c r="V495" i="4"/>
  <c r="E496" i="4"/>
  <c r="V1066" i="4"/>
  <c r="E1067" i="4"/>
  <c r="E955" i="4"/>
  <c r="V954" i="4"/>
  <c r="F212" i="3"/>
  <c r="W211" i="3"/>
  <c r="W473" i="3"/>
  <c r="F474" i="3"/>
  <c r="F243" i="3"/>
  <c r="W242" i="3"/>
  <c r="W48" i="3"/>
  <c r="F49" i="3"/>
  <c r="E664" i="4" l="1"/>
  <c r="V663" i="4"/>
  <c r="F35" i="4"/>
  <c r="V34" i="4"/>
  <c r="V1128" i="4"/>
  <c r="E1129" i="4"/>
  <c r="V345" i="4"/>
  <c r="E346" i="4"/>
  <c r="V955" i="4"/>
  <c r="E956" i="4"/>
  <c r="V804" i="4"/>
  <c r="E805" i="4"/>
  <c r="V1067" i="4"/>
  <c r="E1068" i="4"/>
  <c r="V157" i="4"/>
  <c r="E158" i="4"/>
  <c r="V496" i="4"/>
  <c r="E497" i="4"/>
  <c r="F50" i="3"/>
  <c r="W49" i="3"/>
  <c r="F475" i="3"/>
  <c r="W474" i="3"/>
  <c r="W243" i="3"/>
  <c r="F244" i="3"/>
  <c r="W212" i="3"/>
  <c r="F213" i="3"/>
  <c r="E957" i="4" l="1"/>
  <c r="V956" i="4"/>
  <c r="V35" i="4"/>
  <c r="F36" i="4"/>
  <c r="E347" i="4"/>
  <c r="V346" i="4"/>
  <c r="V805" i="4"/>
  <c r="E806" i="4"/>
  <c r="E498" i="4"/>
  <c r="V497" i="4"/>
  <c r="E1130" i="4"/>
  <c r="V1129" i="4"/>
  <c r="E159" i="4"/>
  <c r="V158" i="4"/>
  <c r="V1068" i="4"/>
  <c r="E1069" i="4"/>
  <c r="V664" i="4"/>
  <c r="E665" i="4"/>
  <c r="W213" i="3"/>
  <c r="F214" i="3"/>
  <c r="W244" i="3"/>
  <c r="F245" i="3"/>
  <c r="W475" i="3"/>
  <c r="F476" i="3"/>
  <c r="F51" i="3"/>
  <c r="W50" i="3"/>
  <c r="V1130" i="4" l="1"/>
  <c r="E1131" i="4"/>
  <c r="E1267" i="4"/>
  <c r="E499" i="4"/>
  <c r="V498" i="4"/>
  <c r="V347" i="4"/>
  <c r="E348" i="4"/>
  <c r="E1070" i="4"/>
  <c r="V1069" i="4"/>
  <c r="F37" i="4"/>
  <c r="V36" i="4"/>
  <c r="V806" i="4"/>
  <c r="E807" i="4"/>
  <c r="V665" i="4"/>
  <c r="E666" i="4"/>
  <c r="V159" i="4"/>
  <c r="E160" i="4"/>
  <c r="E958" i="4"/>
  <c r="V957" i="4"/>
  <c r="W51" i="3"/>
  <c r="F52" i="3"/>
  <c r="W245" i="3"/>
  <c r="F246" i="3"/>
  <c r="F215" i="3"/>
  <c r="W214" i="3"/>
  <c r="F477" i="3"/>
  <c r="W476" i="3"/>
  <c r="V499" i="4" l="1"/>
  <c r="E500" i="4"/>
  <c r="V37" i="4"/>
  <c r="F38" i="4"/>
  <c r="V666" i="4"/>
  <c r="E667" i="4"/>
  <c r="E1268" i="4"/>
  <c r="V1267" i="4"/>
  <c r="V1070" i="4"/>
  <c r="E1071" i="4"/>
  <c r="V1131" i="4"/>
  <c r="E1132" i="4"/>
  <c r="V348" i="4"/>
  <c r="E349" i="4"/>
  <c r="V958" i="4"/>
  <c r="E959" i="4"/>
  <c r="V160" i="4"/>
  <c r="E161" i="4"/>
  <c r="V807" i="4"/>
  <c r="E808" i="4"/>
  <c r="F478" i="3"/>
  <c r="W477" i="3"/>
  <c r="F216" i="3"/>
  <c r="W216" i="3" s="1"/>
  <c r="W215" i="3"/>
  <c r="W52" i="3"/>
  <c r="F53" i="3"/>
  <c r="W246" i="3"/>
  <c r="F247" i="3"/>
  <c r="V161" i="4" l="1"/>
  <c r="E162" i="4"/>
  <c r="E668" i="4"/>
  <c r="V667" i="4"/>
  <c r="V1132" i="4"/>
  <c r="E1133" i="4"/>
  <c r="V38" i="4"/>
  <c r="F39" i="4"/>
  <c r="E809" i="4"/>
  <c r="V808" i="4"/>
  <c r="V349" i="4"/>
  <c r="E350" i="4"/>
  <c r="V500" i="4"/>
  <c r="E501" i="4"/>
  <c r="V1071" i="4"/>
  <c r="E1072" i="4"/>
  <c r="V1268" i="4"/>
  <c r="E1269" i="4"/>
  <c r="V959" i="4"/>
  <c r="E960" i="4"/>
  <c r="W247" i="3"/>
  <c r="F248" i="3"/>
  <c r="W248" i="3" s="1"/>
  <c r="F54" i="3"/>
  <c r="W53" i="3"/>
  <c r="W478" i="3"/>
  <c r="F479" i="3"/>
  <c r="V350" i="4" l="1"/>
  <c r="E351" i="4"/>
  <c r="V960" i="4"/>
  <c r="E961" i="4"/>
  <c r="E1270" i="4"/>
  <c r="V1270" i="4" s="1"/>
  <c r="V1269" i="4"/>
  <c r="E669" i="4"/>
  <c r="V668" i="4"/>
  <c r="V1072" i="4"/>
  <c r="E1073" i="4"/>
  <c r="V1073" i="4" s="1"/>
  <c r="V501" i="4"/>
  <c r="E502" i="4"/>
  <c r="V162" i="4"/>
  <c r="E163" i="4"/>
  <c r="V809" i="4"/>
  <c r="E810" i="4"/>
  <c r="V39" i="4"/>
  <c r="F40" i="4"/>
  <c r="V1133" i="4"/>
  <c r="E1134" i="4"/>
  <c r="F480" i="3"/>
  <c r="W479" i="3"/>
  <c r="F55" i="3"/>
  <c r="W54" i="3"/>
  <c r="V40" i="4" l="1"/>
  <c r="F41" i="4"/>
  <c r="V1134" i="4"/>
  <c r="E1135" i="4"/>
  <c r="E1271" i="4"/>
  <c r="V163" i="4"/>
  <c r="E164" i="4"/>
  <c r="V351" i="4"/>
  <c r="E352" i="4"/>
  <c r="E503" i="4"/>
  <c r="V502" i="4"/>
  <c r="E670" i="4"/>
  <c r="V669" i="4"/>
  <c r="E811" i="4"/>
  <c r="V810" i="4"/>
  <c r="E843" i="4"/>
  <c r="E962" i="4"/>
  <c r="V961" i="4"/>
  <c r="E1074" i="4"/>
  <c r="F481" i="3"/>
  <c r="W480" i="3"/>
  <c r="W55" i="3"/>
  <c r="F56" i="3"/>
  <c r="E504" i="4" l="1"/>
  <c r="V503" i="4"/>
  <c r="V352" i="4"/>
  <c r="E353" i="4"/>
  <c r="V164" i="4"/>
  <c r="E165" i="4"/>
  <c r="E1272" i="4"/>
  <c r="V1271" i="4"/>
  <c r="E963" i="4"/>
  <c r="V962" i="4"/>
  <c r="E844" i="4"/>
  <c r="V843" i="4"/>
  <c r="V1135" i="4"/>
  <c r="E1136" i="4"/>
  <c r="V811" i="4"/>
  <c r="E812" i="4"/>
  <c r="F42" i="4"/>
  <c r="V41" i="4"/>
  <c r="E671" i="4"/>
  <c r="V670" i="4"/>
  <c r="E1075" i="4"/>
  <c r="V1074" i="4"/>
  <c r="F57" i="3"/>
  <c r="W56" i="3"/>
  <c r="W481" i="3"/>
  <c r="F482" i="3"/>
  <c r="E672" i="4" l="1"/>
  <c r="V671" i="4"/>
  <c r="E1273" i="4"/>
  <c r="V1272" i="4"/>
  <c r="V812" i="4"/>
  <c r="E813" i="4"/>
  <c r="V353" i="4"/>
  <c r="E354" i="4"/>
  <c r="V963" i="4"/>
  <c r="E964" i="4"/>
  <c r="V42" i="4"/>
  <c r="F43" i="4"/>
  <c r="E1076" i="4"/>
  <c r="V1075" i="4"/>
  <c r="E166" i="4"/>
  <c r="V165" i="4"/>
  <c r="V844" i="4"/>
  <c r="E845" i="4"/>
  <c r="E1137" i="4"/>
  <c r="V1136" i="4"/>
  <c r="E505" i="4"/>
  <c r="V504" i="4"/>
  <c r="W482" i="3"/>
  <c r="F483" i="3"/>
  <c r="W57" i="3"/>
  <c r="F58" i="3"/>
  <c r="V845" i="4" l="1"/>
  <c r="E846" i="4"/>
  <c r="V813" i="4"/>
  <c r="E814" i="4"/>
  <c r="V964" i="4"/>
  <c r="E965" i="4"/>
  <c r="V1137" i="4"/>
  <c r="E1138" i="4"/>
  <c r="V166" i="4"/>
  <c r="E167" i="4"/>
  <c r="E1274" i="4"/>
  <c r="V1273" i="4"/>
  <c r="F44" i="4"/>
  <c r="V43" i="4"/>
  <c r="E506" i="4"/>
  <c r="V505" i="4"/>
  <c r="V354" i="4"/>
  <c r="E355" i="4"/>
  <c r="E1077" i="4"/>
  <c r="V1076" i="4"/>
  <c r="E673" i="4"/>
  <c r="V672" i="4"/>
  <c r="W58" i="3"/>
  <c r="F59" i="3"/>
  <c r="F484" i="3"/>
  <c r="W483" i="3"/>
  <c r="E1275" i="4" l="1"/>
  <c r="V1274" i="4"/>
  <c r="V673" i="4"/>
  <c r="E674" i="4"/>
  <c r="E356" i="4"/>
  <c r="V355" i="4"/>
  <c r="V965" i="4"/>
  <c r="E966" i="4"/>
  <c r="V167" i="4"/>
  <c r="E168" i="4"/>
  <c r="V814" i="4"/>
  <c r="E815" i="4"/>
  <c r="E1139" i="4"/>
  <c r="V1138" i="4"/>
  <c r="V1077" i="4"/>
  <c r="E1078" i="4"/>
  <c r="E507" i="4"/>
  <c r="V506" i="4"/>
  <c r="V846" i="4"/>
  <c r="E847" i="4"/>
  <c r="V44" i="4"/>
  <c r="F45" i="4"/>
  <c r="F60" i="3"/>
  <c r="W59" i="3"/>
  <c r="W484" i="3"/>
  <c r="F485" i="3"/>
  <c r="E816" i="4" l="1"/>
  <c r="V815" i="4"/>
  <c r="E848" i="4"/>
  <c r="V847" i="4"/>
  <c r="E508" i="4"/>
  <c r="V507" i="4"/>
  <c r="E357" i="4"/>
  <c r="V356" i="4"/>
  <c r="E675" i="4"/>
  <c r="V674" i="4"/>
  <c r="E967" i="4"/>
  <c r="V966" i="4"/>
  <c r="F46" i="4"/>
  <c r="V45" i="4"/>
  <c r="V168" i="4"/>
  <c r="E169" i="4"/>
  <c r="E1079" i="4"/>
  <c r="V1078" i="4"/>
  <c r="V1139" i="4"/>
  <c r="E1140" i="4"/>
  <c r="V1275" i="4"/>
  <c r="E1276" i="4"/>
  <c r="F486" i="3"/>
  <c r="W485" i="3"/>
  <c r="F61" i="3"/>
  <c r="W60" i="3"/>
  <c r="E968" i="4" l="1"/>
  <c r="V967" i="4"/>
  <c r="V675" i="4"/>
  <c r="E676" i="4"/>
  <c r="V1140" i="4"/>
  <c r="E1141" i="4"/>
  <c r="V508" i="4"/>
  <c r="E509" i="4"/>
  <c r="E849" i="4"/>
  <c r="V848" i="4"/>
  <c r="V357" i="4"/>
  <c r="E358" i="4"/>
  <c r="V1276" i="4"/>
  <c r="E1277" i="4"/>
  <c r="V1079" i="4"/>
  <c r="E1080" i="4"/>
  <c r="V169" i="4"/>
  <c r="E170" i="4"/>
  <c r="V46" i="4"/>
  <c r="F47" i="4"/>
  <c r="V816" i="4"/>
  <c r="E817" i="4"/>
  <c r="W61" i="3"/>
  <c r="F62" i="3"/>
  <c r="F487" i="3"/>
  <c r="W486" i="3"/>
  <c r="V170" i="4" l="1"/>
  <c r="E171" i="4"/>
  <c r="V1141" i="4"/>
  <c r="E1142" i="4"/>
  <c r="E818" i="4"/>
  <c r="V817" i="4"/>
  <c r="E677" i="4"/>
  <c r="V676" i="4"/>
  <c r="V849" i="4"/>
  <c r="E850" i="4"/>
  <c r="F48" i="4"/>
  <c r="V47" i="4"/>
  <c r="E359" i="4"/>
  <c r="V358" i="4"/>
  <c r="E1081" i="4"/>
  <c r="V1081" i="4" s="1"/>
  <c r="V1080" i="4"/>
  <c r="V1277" i="4"/>
  <c r="E1278" i="4"/>
  <c r="V1278" i="4" s="1"/>
  <c r="V509" i="4"/>
  <c r="E510" i="4"/>
  <c r="E969" i="4"/>
  <c r="V968" i="4"/>
  <c r="W487" i="3"/>
  <c r="F488" i="3"/>
  <c r="W62" i="3"/>
  <c r="F63" i="3"/>
  <c r="V850" i="4" l="1"/>
  <c r="E851" i="4"/>
  <c r="E1143" i="4"/>
  <c r="V1142" i="4"/>
  <c r="V510" i="4"/>
  <c r="E511" i="4"/>
  <c r="V969" i="4"/>
  <c r="E970" i="4"/>
  <c r="V677" i="4"/>
  <c r="E678" i="4"/>
  <c r="V818" i="4"/>
  <c r="E819" i="4"/>
  <c r="V171" i="4"/>
  <c r="E172" i="4"/>
  <c r="V48" i="4"/>
  <c r="F49" i="4"/>
  <c r="V359" i="4"/>
  <c r="E360" i="4"/>
  <c r="F64" i="3"/>
  <c r="W63" i="3"/>
  <c r="W488" i="3"/>
  <c r="F489" i="3"/>
  <c r="V819" i="4" l="1"/>
  <c r="E820" i="4"/>
  <c r="E971" i="4"/>
  <c r="V970" i="4"/>
  <c r="V678" i="4"/>
  <c r="E679" i="4"/>
  <c r="F50" i="4"/>
  <c r="V49" i="4"/>
  <c r="E852" i="4"/>
  <c r="V851" i="4"/>
  <c r="E361" i="4"/>
  <c r="V360" i="4"/>
  <c r="E512" i="4"/>
  <c r="V511" i="4"/>
  <c r="E1144" i="4"/>
  <c r="V1143" i="4"/>
  <c r="E173" i="4"/>
  <c r="V172" i="4"/>
  <c r="F490" i="3"/>
  <c r="W489" i="3"/>
  <c r="F65" i="3"/>
  <c r="W64" i="3"/>
  <c r="V679" i="4" l="1"/>
  <c r="E680" i="4"/>
  <c r="E1145" i="4"/>
  <c r="V1144" i="4"/>
  <c r="V971" i="4"/>
  <c r="E972" i="4"/>
  <c r="V361" i="4"/>
  <c r="E362" i="4"/>
  <c r="V852" i="4"/>
  <c r="E853" i="4"/>
  <c r="V50" i="4"/>
  <c r="F51" i="4"/>
  <c r="V820" i="4"/>
  <c r="E821" i="4"/>
  <c r="V173" i="4"/>
  <c r="E174" i="4"/>
  <c r="E513" i="4"/>
  <c r="V512" i="4"/>
  <c r="W65" i="3"/>
  <c r="F66" i="3"/>
  <c r="W490" i="3"/>
  <c r="F491" i="3"/>
  <c r="V972" i="4" l="1"/>
  <c r="E973" i="4"/>
  <c r="V853" i="4"/>
  <c r="E854" i="4"/>
  <c r="V174" i="4"/>
  <c r="E175" i="4"/>
  <c r="V1145" i="4"/>
  <c r="E1146" i="4"/>
  <c r="E822" i="4"/>
  <c r="V821" i="4"/>
  <c r="V680" i="4"/>
  <c r="E681" i="4"/>
  <c r="F52" i="4"/>
  <c r="V51" i="4"/>
  <c r="V362" i="4"/>
  <c r="E363" i="4"/>
  <c r="V513" i="4"/>
  <c r="E514" i="4"/>
  <c r="W491" i="3"/>
  <c r="F492" i="3"/>
  <c r="W66" i="3"/>
  <c r="F67" i="3"/>
  <c r="V514" i="4" l="1"/>
  <c r="E515" i="4"/>
  <c r="V175" i="4"/>
  <c r="E176" i="4"/>
  <c r="E682" i="4"/>
  <c r="V681" i="4"/>
  <c r="E364" i="4"/>
  <c r="V363" i="4"/>
  <c r="V854" i="4"/>
  <c r="E855" i="4"/>
  <c r="V973" i="4"/>
  <c r="E974" i="4"/>
  <c r="E823" i="4"/>
  <c r="V822" i="4"/>
  <c r="V1146" i="4"/>
  <c r="E1147" i="4"/>
  <c r="V52" i="4"/>
  <c r="F53" i="4"/>
  <c r="F68" i="3"/>
  <c r="W67" i="3"/>
  <c r="F493" i="3"/>
  <c r="W492" i="3"/>
  <c r="V364" i="4" l="1"/>
  <c r="E365" i="4"/>
  <c r="F54" i="4"/>
  <c r="V53" i="4"/>
  <c r="V682" i="4"/>
  <c r="E683" i="4"/>
  <c r="E975" i="4"/>
  <c r="V974" i="4"/>
  <c r="E856" i="4"/>
  <c r="V855" i="4"/>
  <c r="V176" i="4"/>
  <c r="E177" i="4"/>
  <c r="V515" i="4"/>
  <c r="E516" i="4"/>
  <c r="E1148" i="4"/>
  <c r="V1147" i="4"/>
  <c r="V823" i="4"/>
  <c r="E824" i="4"/>
  <c r="W493" i="3"/>
  <c r="F494" i="3"/>
  <c r="F69" i="3"/>
  <c r="W68" i="3"/>
  <c r="V975" i="4" l="1"/>
  <c r="E976" i="4"/>
  <c r="V824" i="4"/>
  <c r="E825" i="4"/>
  <c r="V683" i="4"/>
  <c r="E684" i="4"/>
  <c r="V54" i="4"/>
  <c r="F55" i="4"/>
  <c r="V1148" i="4"/>
  <c r="E1149" i="4"/>
  <c r="E517" i="4"/>
  <c r="V516" i="4"/>
  <c r="V365" i="4"/>
  <c r="E366" i="4"/>
  <c r="E178" i="4"/>
  <c r="V177" i="4"/>
  <c r="V856" i="4"/>
  <c r="E857" i="4"/>
  <c r="W69" i="3"/>
  <c r="F70" i="3"/>
  <c r="W494" i="3"/>
  <c r="F495" i="3"/>
  <c r="V517" i="4" l="1"/>
  <c r="E518" i="4"/>
  <c r="V857" i="4"/>
  <c r="E858" i="4"/>
  <c r="V684" i="4"/>
  <c r="E685" i="4"/>
  <c r="E1150" i="4"/>
  <c r="V1149" i="4"/>
  <c r="V825" i="4"/>
  <c r="E826" i="4"/>
  <c r="V178" i="4"/>
  <c r="E179" i="4"/>
  <c r="V366" i="4"/>
  <c r="E367" i="4"/>
  <c r="V976" i="4"/>
  <c r="E977" i="4"/>
  <c r="F56" i="4"/>
  <c r="V55" i="4"/>
  <c r="F496" i="3"/>
  <c r="W495" i="3"/>
  <c r="W70" i="3"/>
  <c r="F71" i="3"/>
  <c r="V179" i="4" l="1"/>
  <c r="E180" i="4"/>
  <c r="V685" i="4"/>
  <c r="E686" i="4"/>
  <c r="E1151" i="4"/>
  <c r="V1150" i="4"/>
  <c r="V56" i="4"/>
  <c r="F57" i="4"/>
  <c r="V977" i="4"/>
  <c r="E978" i="4"/>
  <c r="E875" i="4"/>
  <c r="V858" i="4"/>
  <c r="V826" i="4"/>
  <c r="E827" i="4"/>
  <c r="E859" i="4"/>
  <c r="E368" i="4"/>
  <c r="V367" i="4"/>
  <c r="V518" i="4"/>
  <c r="E519" i="4"/>
  <c r="W71" i="3"/>
  <c r="F72" i="3"/>
  <c r="W496" i="3"/>
  <c r="F497" i="3"/>
  <c r="E876" i="4" l="1"/>
  <c r="V875" i="4"/>
  <c r="E1152" i="4"/>
  <c r="V1151" i="4"/>
  <c r="E369" i="4"/>
  <c r="V368" i="4"/>
  <c r="E687" i="4"/>
  <c r="V686" i="4"/>
  <c r="V859" i="4"/>
  <c r="E860" i="4"/>
  <c r="V827" i="4"/>
  <c r="E828" i="4"/>
  <c r="V180" i="4"/>
  <c r="E181" i="4"/>
  <c r="E979" i="4"/>
  <c r="V978" i="4"/>
  <c r="F58" i="4"/>
  <c r="V57" i="4"/>
  <c r="V519" i="4"/>
  <c r="E520" i="4"/>
  <c r="F73" i="3"/>
  <c r="W72" i="3"/>
  <c r="F498" i="3"/>
  <c r="W497" i="3"/>
  <c r="V828" i="4" l="1"/>
  <c r="E829" i="4"/>
  <c r="V58" i="4"/>
  <c r="F59" i="4"/>
  <c r="V369" i="4"/>
  <c r="E370" i="4"/>
  <c r="E980" i="4"/>
  <c r="V979" i="4"/>
  <c r="V1152" i="4"/>
  <c r="E1153" i="4"/>
  <c r="V860" i="4"/>
  <c r="E861" i="4"/>
  <c r="V520" i="4"/>
  <c r="E521" i="4"/>
  <c r="V687" i="4"/>
  <c r="E688" i="4"/>
  <c r="V181" i="4"/>
  <c r="E182" i="4"/>
  <c r="E877" i="4"/>
  <c r="V876" i="4"/>
  <c r="F499" i="3"/>
  <c r="W498" i="3"/>
  <c r="W73" i="3"/>
  <c r="F74" i="3"/>
  <c r="V877" i="4" l="1"/>
  <c r="E878" i="4"/>
  <c r="E689" i="4"/>
  <c r="V688" i="4"/>
  <c r="V59" i="4"/>
  <c r="F60" i="4"/>
  <c r="E1154" i="4"/>
  <c r="V1153" i="4"/>
  <c r="E981" i="4"/>
  <c r="V980" i="4"/>
  <c r="E862" i="4"/>
  <c r="V861" i="4"/>
  <c r="V521" i="4"/>
  <c r="E522" i="4"/>
  <c r="E830" i="4"/>
  <c r="V829" i="4"/>
  <c r="V182" i="4"/>
  <c r="E183" i="4"/>
  <c r="V370" i="4"/>
  <c r="E371" i="4"/>
  <c r="W74" i="3"/>
  <c r="F75" i="3"/>
  <c r="W499" i="3"/>
  <c r="F500" i="3"/>
  <c r="V1154" i="4" l="1"/>
  <c r="E1155" i="4"/>
  <c r="V183" i="4"/>
  <c r="E184" i="4"/>
  <c r="V60" i="4"/>
  <c r="F61" i="4"/>
  <c r="E863" i="4"/>
  <c r="V862" i="4"/>
  <c r="E372" i="4"/>
  <c r="V371" i="4"/>
  <c r="V830" i="4"/>
  <c r="E831" i="4"/>
  <c r="E690" i="4"/>
  <c r="V689" i="4"/>
  <c r="V981" i="4"/>
  <c r="E982" i="4"/>
  <c r="E523" i="4"/>
  <c r="V522" i="4"/>
  <c r="V878" i="4"/>
  <c r="E879" i="4"/>
  <c r="F501" i="3"/>
  <c r="W500" i="3"/>
  <c r="W75" i="3"/>
  <c r="F76" i="3"/>
  <c r="V61" i="4" l="1"/>
  <c r="F62" i="4"/>
  <c r="V863" i="4"/>
  <c r="E864" i="4"/>
  <c r="V982" i="4"/>
  <c r="E983" i="4"/>
  <c r="E185" i="4"/>
  <c r="V184" i="4"/>
  <c r="V831" i="4"/>
  <c r="E832" i="4"/>
  <c r="V879" i="4"/>
  <c r="E880" i="4"/>
  <c r="V523" i="4"/>
  <c r="E524" i="4"/>
  <c r="E1156" i="4"/>
  <c r="V1155" i="4"/>
  <c r="E373" i="4"/>
  <c r="V372" i="4"/>
  <c r="V690" i="4"/>
  <c r="E691" i="4"/>
  <c r="F77" i="3"/>
  <c r="W76" i="3"/>
  <c r="F502" i="3"/>
  <c r="W501" i="3"/>
  <c r="V880" i="4" l="1"/>
  <c r="E881" i="4"/>
  <c r="E692" i="4"/>
  <c r="V691" i="4"/>
  <c r="V832" i="4"/>
  <c r="E833" i="4"/>
  <c r="V185" i="4"/>
  <c r="E186" i="4"/>
  <c r="E374" i="4"/>
  <c r="V373" i="4"/>
  <c r="E525" i="4"/>
  <c r="V524" i="4"/>
  <c r="V62" i="4"/>
  <c r="F63" i="4"/>
  <c r="V983" i="4"/>
  <c r="E984" i="4"/>
  <c r="V864" i="4"/>
  <c r="E865" i="4"/>
  <c r="E1157" i="4"/>
  <c r="V1156" i="4"/>
  <c r="W502" i="3"/>
  <c r="F503" i="3"/>
  <c r="W77" i="3"/>
  <c r="F78" i="3"/>
  <c r="V374" i="4" l="1"/>
  <c r="E375" i="4"/>
  <c r="V186" i="4"/>
  <c r="E187" i="4"/>
  <c r="E526" i="4"/>
  <c r="V525" i="4"/>
  <c r="V692" i="4"/>
  <c r="E693" i="4"/>
  <c r="V63" i="4"/>
  <c r="F64" i="4"/>
  <c r="V881" i="4"/>
  <c r="E882" i="4"/>
  <c r="V1157" i="4"/>
  <c r="E1158" i="4"/>
  <c r="V865" i="4"/>
  <c r="E866" i="4"/>
  <c r="E834" i="4"/>
  <c r="V833" i="4"/>
  <c r="V984" i="4"/>
  <c r="E985" i="4"/>
  <c r="W78" i="3"/>
  <c r="F79" i="3"/>
  <c r="W503" i="3"/>
  <c r="F504" i="3"/>
  <c r="E694" i="4" l="1"/>
  <c r="V693" i="4"/>
  <c r="E835" i="4"/>
  <c r="V834" i="4"/>
  <c r="V526" i="4"/>
  <c r="E527" i="4"/>
  <c r="V866" i="4"/>
  <c r="E867" i="4"/>
  <c r="E188" i="4"/>
  <c r="V187" i="4"/>
  <c r="V882" i="4"/>
  <c r="E883" i="4"/>
  <c r="V64" i="4"/>
  <c r="F65" i="4"/>
  <c r="V985" i="4"/>
  <c r="E986" i="4"/>
  <c r="V1158" i="4"/>
  <c r="E1159" i="4"/>
  <c r="V375" i="4"/>
  <c r="E376" i="4"/>
  <c r="F505" i="3"/>
  <c r="W504" i="3"/>
  <c r="W79" i="3"/>
  <c r="F80" i="3"/>
  <c r="V883" i="4" l="1"/>
  <c r="E884" i="4"/>
  <c r="V188" i="4"/>
  <c r="E189" i="4"/>
  <c r="V376" i="4"/>
  <c r="E377" i="4"/>
  <c r="E1160" i="4"/>
  <c r="V1159" i="4"/>
  <c r="E528" i="4"/>
  <c r="V527" i="4"/>
  <c r="V835" i="4"/>
  <c r="E836" i="4"/>
  <c r="E868" i="4"/>
  <c r="V867" i="4"/>
  <c r="E987" i="4"/>
  <c r="V986" i="4"/>
  <c r="F66" i="4"/>
  <c r="V65" i="4"/>
  <c r="V694" i="4"/>
  <c r="E695" i="4"/>
  <c r="F81" i="3"/>
  <c r="W80" i="3"/>
  <c r="W505" i="3"/>
  <c r="F506" i="3"/>
  <c r="E529" i="4" l="1"/>
  <c r="V528" i="4"/>
  <c r="V695" i="4"/>
  <c r="E696" i="4"/>
  <c r="E190" i="4"/>
  <c r="V189" i="4"/>
  <c r="V66" i="4"/>
  <c r="F67" i="4"/>
  <c r="E837" i="4"/>
  <c r="V836" i="4"/>
  <c r="V1160" i="4"/>
  <c r="E1161" i="4"/>
  <c r="V377" i="4"/>
  <c r="E378" i="4"/>
  <c r="E988" i="4"/>
  <c r="V987" i="4"/>
  <c r="E885" i="4"/>
  <c r="V884" i="4"/>
  <c r="V868" i="4"/>
  <c r="E869" i="4"/>
  <c r="W506" i="3"/>
  <c r="F507" i="3"/>
  <c r="W81" i="3"/>
  <c r="F82" i="3"/>
  <c r="V67" i="4" l="1"/>
  <c r="F68" i="4"/>
  <c r="V696" i="4"/>
  <c r="E697" i="4"/>
  <c r="V988" i="4"/>
  <c r="E989" i="4"/>
  <c r="V1161" i="4"/>
  <c r="E1162" i="4"/>
  <c r="V885" i="4"/>
  <c r="E886" i="4"/>
  <c r="V190" i="4"/>
  <c r="E191" i="4"/>
  <c r="V378" i="4"/>
  <c r="E379" i="4"/>
  <c r="V837" i="4"/>
  <c r="E838" i="4"/>
  <c r="E870" i="4"/>
  <c r="V869" i="4"/>
  <c r="V529" i="4"/>
  <c r="E530" i="4"/>
  <c r="W82" i="3"/>
  <c r="F83" i="3"/>
  <c r="F508" i="3"/>
  <c r="W507" i="3"/>
  <c r="E887" i="4" l="1"/>
  <c r="V886" i="4"/>
  <c r="E1163" i="4"/>
  <c r="V1162" i="4"/>
  <c r="V989" i="4"/>
  <c r="E990" i="4"/>
  <c r="V530" i="4"/>
  <c r="E531" i="4"/>
  <c r="E380" i="4"/>
  <c r="V379" i="4"/>
  <c r="V68" i="4"/>
  <c r="F69" i="4"/>
  <c r="E192" i="4"/>
  <c r="V191" i="4"/>
  <c r="V870" i="4"/>
  <c r="E871" i="4"/>
  <c r="V838" i="4"/>
  <c r="E839" i="4"/>
  <c r="V697" i="4"/>
  <c r="E698" i="4"/>
  <c r="W508" i="3"/>
  <c r="F509" i="3"/>
  <c r="W83" i="3"/>
  <c r="F84" i="3"/>
  <c r="V531" i="4" l="1"/>
  <c r="E532" i="4"/>
  <c r="V69" i="4"/>
  <c r="F70" i="4"/>
  <c r="E381" i="4"/>
  <c r="V380" i="4"/>
  <c r="V698" i="4"/>
  <c r="E699" i="4"/>
  <c r="V871" i="4"/>
  <c r="E872" i="4"/>
  <c r="E1164" i="4"/>
  <c r="V1163" i="4"/>
  <c r="V839" i="4"/>
  <c r="E840" i="4"/>
  <c r="V990" i="4"/>
  <c r="E991" i="4"/>
  <c r="E193" i="4"/>
  <c r="V192" i="4"/>
  <c r="E888" i="4"/>
  <c r="V887" i="4"/>
  <c r="W509" i="3"/>
  <c r="F510" i="3"/>
  <c r="F85" i="3"/>
  <c r="W84" i="3"/>
  <c r="V872" i="4" l="1"/>
  <c r="E873" i="4"/>
  <c r="V888" i="4"/>
  <c r="E889" i="4"/>
  <c r="V193" i="4"/>
  <c r="E194" i="4"/>
  <c r="E992" i="4"/>
  <c r="V991" i="4"/>
  <c r="V532" i="4"/>
  <c r="E533" i="4"/>
  <c r="V1164" i="4"/>
  <c r="E1165" i="4"/>
  <c r="V699" i="4"/>
  <c r="E700" i="4"/>
  <c r="V381" i="4"/>
  <c r="E382" i="4"/>
  <c r="V70" i="4"/>
  <c r="F71" i="4"/>
  <c r="V840" i="4"/>
  <c r="E841" i="4"/>
  <c r="F86" i="3"/>
  <c r="W85" i="3"/>
  <c r="F511" i="3"/>
  <c r="W510" i="3"/>
  <c r="V1165" i="4" l="1"/>
  <c r="E1166" i="4"/>
  <c r="V71" i="4"/>
  <c r="F72" i="4"/>
  <c r="E993" i="4"/>
  <c r="V992" i="4"/>
  <c r="V194" i="4"/>
  <c r="E195" i="4"/>
  <c r="E383" i="4"/>
  <c r="V382" i="4"/>
  <c r="E890" i="4"/>
  <c r="V889" i="4"/>
  <c r="E842" i="4"/>
  <c r="V842" i="4" s="1"/>
  <c r="V841" i="4"/>
  <c r="E701" i="4"/>
  <c r="V700" i="4"/>
  <c r="E874" i="4"/>
  <c r="V874" i="4" s="1"/>
  <c r="V873" i="4"/>
  <c r="V533" i="4"/>
  <c r="E534" i="4"/>
  <c r="W511" i="3"/>
  <c r="F512" i="3"/>
  <c r="W86" i="3"/>
  <c r="F87" i="3"/>
  <c r="V383" i="4" l="1"/>
  <c r="E384" i="4"/>
  <c r="E994" i="4"/>
  <c r="V993" i="4"/>
  <c r="V72" i="4"/>
  <c r="F73" i="4"/>
  <c r="E702" i="4"/>
  <c r="V701" i="4"/>
  <c r="V195" i="4"/>
  <c r="E196" i="4"/>
  <c r="E228" i="4"/>
  <c r="E1167" i="4"/>
  <c r="V1166" i="4"/>
  <c r="V890" i="4"/>
  <c r="E891" i="4"/>
  <c r="V534" i="4"/>
  <c r="E567" i="4"/>
  <c r="E535" i="4"/>
  <c r="W87" i="3"/>
  <c r="F88" i="3"/>
  <c r="W512" i="3"/>
  <c r="F513" i="3"/>
  <c r="V1167" i="4" l="1"/>
  <c r="E1168" i="4"/>
  <c r="V567" i="4"/>
  <c r="E568" i="4"/>
  <c r="V228" i="4"/>
  <c r="E229" i="4"/>
  <c r="E703" i="4"/>
  <c r="V702" i="4"/>
  <c r="V73" i="4"/>
  <c r="F74" i="4"/>
  <c r="E892" i="4"/>
  <c r="V891" i="4"/>
  <c r="E995" i="4"/>
  <c r="V994" i="4"/>
  <c r="V384" i="4"/>
  <c r="E385" i="4"/>
  <c r="E197" i="4"/>
  <c r="V196" i="4"/>
  <c r="V535" i="4"/>
  <c r="E536" i="4"/>
  <c r="F514" i="3"/>
  <c r="W513" i="3"/>
  <c r="F89" i="3"/>
  <c r="W88" i="3"/>
  <c r="V536" i="4" l="1"/>
  <c r="E537" i="4"/>
  <c r="E198" i="4"/>
  <c r="V197" i="4"/>
  <c r="V892" i="4"/>
  <c r="E893" i="4"/>
  <c r="F75" i="4"/>
  <c r="V74" i="4"/>
  <c r="V703" i="4"/>
  <c r="E704" i="4"/>
  <c r="V229" i="4"/>
  <c r="E230" i="4"/>
  <c r="V385" i="4"/>
  <c r="E386" i="4"/>
  <c r="V568" i="4"/>
  <c r="E569" i="4"/>
  <c r="E1169" i="4"/>
  <c r="V1168" i="4"/>
  <c r="V995" i="4"/>
  <c r="E996" i="4"/>
  <c r="W89" i="3"/>
  <c r="F90" i="3"/>
  <c r="W514" i="3"/>
  <c r="F515" i="3"/>
  <c r="E231" i="4" l="1"/>
  <c r="V230" i="4"/>
  <c r="V704" i="4"/>
  <c r="E705" i="4"/>
  <c r="V996" i="4"/>
  <c r="E997" i="4"/>
  <c r="V893" i="4"/>
  <c r="E894" i="4"/>
  <c r="E199" i="4"/>
  <c r="V198" i="4"/>
  <c r="V75" i="4"/>
  <c r="F76" i="4"/>
  <c r="V1169" i="4"/>
  <c r="E1170" i="4"/>
  <c r="V569" i="4"/>
  <c r="E570" i="4"/>
  <c r="V386" i="4"/>
  <c r="E387" i="4"/>
  <c r="V537" i="4"/>
  <c r="E538" i="4"/>
  <c r="W90" i="3"/>
  <c r="F91" i="3"/>
  <c r="F516" i="3"/>
  <c r="W515" i="3"/>
  <c r="V894" i="4" l="1"/>
  <c r="E895" i="4"/>
  <c r="E539" i="4"/>
  <c r="V538" i="4"/>
  <c r="F77" i="4"/>
  <c r="V76" i="4"/>
  <c r="E200" i="4"/>
  <c r="V199" i="4"/>
  <c r="V387" i="4"/>
  <c r="E388" i="4"/>
  <c r="V997" i="4"/>
  <c r="E998" i="4"/>
  <c r="V570" i="4"/>
  <c r="E571" i="4"/>
  <c r="V705" i="4"/>
  <c r="E706" i="4"/>
  <c r="V1170" i="4"/>
  <c r="E1171" i="4"/>
  <c r="E232" i="4"/>
  <c r="V231" i="4"/>
  <c r="W516" i="3"/>
  <c r="F517" i="3"/>
  <c r="F92" i="3"/>
  <c r="W91" i="3"/>
  <c r="E707" i="4" l="1"/>
  <c r="V706" i="4"/>
  <c r="E540" i="4"/>
  <c r="V539" i="4"/>
  <c r="V998" i="4"/>
  <c r="E999" i="4"/>
  <c r="E389" i="4"/>
  <c r="V388" i="4"/>
  <c r="E233" i="4"/>
  <c r="V232" i="4"/>
  <c r="V200" i="4"/>
  <c r="E201" i="4"/>
  <c r="V1171" i="4"/>
  <c r="E1172" i="4"/>
  <c r="V77" i="4"/>
  <c r="F78" i="4"/>
  <c r="E572" i="4"/>
  <c r="V571" i="4"/>
  <c r="V895" i="4"/>
  <c r="E896" i="4"/>
  <c r="F518" i="3"/>
  <c r="W517" i="3"/>
  <c r="W92" i="3"/>
  <c r="F93" i="3"/>
  <c r="V233" i="4" l="1"/>
  <c r="E234" i="4"/>
  <c r="E202" i="4"/>
  <c r="V201" i="4"/>
  <c r="E897" i="4"/>
  <c r="V896" i="4"/>
  <c r="F79" i="4"/>
  <c r="V78" i="4"/>
  <c r="V1172" i="4"/>
  <c r="E1173" i="4"/>
  <c r="E390" i="4"/>
  <c r="V389" i="4"/>
  <c r="V999" i="4"/>
  <c r="E1000" i="4"/>
  <c r="E573" i="4"/>
  <c r="V572" i="4"/>
  <c r="V540" i="4"/>
  <c r="E541" i="4"/>
  <c r="E708" i="4"/>
  <c r="V707" i="4"/>
  <c r="W93" i="3"/>
  <c r="F94" i="3"/>
  <c r="F519" i="3"/>
  <c r="W518" i="3"/>
  <c r="V390" i="4" l="1"/>
  <c r="E391" i="4"/>
  <c r="E709" i="4"/>
  <c r="V708" i="4"/>
  <c r="V202" i="4"/>
  <c r="E203" i="4"/>
  <c r="E1001" i="4"/>
  <c r="V1000" i="4"/>
  <c r="E235" i="4"/>
  <c r="V234" i="4"/>
  <c r="E1174" i="4"/>
  <c r="V1173" i="4"/>
  <c r="V79" i="4"/>
  <c r="F80" i="4"/>
  <c r="E542" i="4"/>
  <c r="V541" i="4"/>
  <c r="V897" i="4"/>
  <c r="E898" i="4"/>
  <c r="V573" i="4"/>
  <c r="E574" i="4"/>
  <c r="W94" i="3"/>
  <c r="F95" i="3"/>
  <c r="W519" i="3"/>
  <c r="F520" i="3"/>
  <c r="V1174" i="4" l="1"/>
  <c r="E1175" i="4"/>
  <c r="E204" i="4"/>
  <c r="V203" i="4"/>
  <c r="V542" i="4"/>
  <c r="E543" i="4"/>
  <c r="E710" i="4"/>
  <c r="V709" i="4"/>
  <c r="V235" i="4"/>
  <c r="E236" i="4"/>
  <c r="V80" i="4"/>
  <c r="F81" i="4"/>
  <c r="E392" i="4"/>
  <c r="V391" i="4"/>
  <c r="V574" i="4"/>
  <c r="E575" i="4"/>
  <c r="E1002" i="4"/>
  <c r="V1001" i="4"/>
  <c r="V898" i="4"/>
  <c r="E899" i="4"/>
  <c r="W520" i="3"/>
  <c r="F521" i="3"/>
  <c r="F96" i="3"/>
  <c r="W95" i="3"/>
  <c r="V236" i="4" l="1"/>
  <c r="E237" i="4"/>
  <c r="V81" i="4"/>
  <c r="F82" i="4"/>
  <c r="E544" i="4"/>
  <c r="V543" i="4"/>
  <c r="V1002" i="4"/>
  <c r="E1003" i="4"/>
  <c r="V575" i="4"/>
  <c r="E576" i="4"/>
  <c r="V204" i="4"/>
  <c r="E205" i="4"/>
  <c r="V899" i="4"/>
  <c r="E900" i="4"/>
  <c r="E711" i="4"/>
  <c r="V710" i="4"/>
  <c r="V1175" i="4"/>
  <c r="E1176" i="4"/>
  <c r="V392" i="4"/>
  <c r="E393" i="4"/>
  <c r="W96" i="3"/>
  <c r="F97" i="3"/>
  <c r="F522" i="3"/>
  <c r="W521" i="3"/>
  <c r="V576" i="4" l="1"/>
  <c r="E577" i="4"/>
  <c r="E394" i="4"/>
  <c r="V393" i="4"/>
  <c r="V1003" i="4"/>
  <c r="E1004" i="4"/>
  <c r="V1176" i="4"/>
  <c r="E1177" i="4"/>
  <c r="E206" i="4"/>
  <c r="V205" i="4"/>
  <c r="V82" i="4"/>
  <c r="F83" i="4"/>
  <c r="V711" i="4"/>
  <c r="E712" i="4"/>
  <c r="E901" i="4"/>
  <c r="V900" i="4"/>
  <c r="V237" i="4"/>
  <c r="E238" i="4"/>
  <c r="V544" i="4"/>
  <c r="E545" i="4"/>
  <c r="W522" i="3"/>
  <c r="F523" i="3"/>
  <c r="W97" i="3"/>
  <c r="F98" i="3"/>
  <c r="V206" i="4" l="1"/>
  <c r="E207" i="4"/>
  <c r="V238" i="4"/>
  <c r="E239" i="4"/>
  <c r="V1004" i="4"/>
  <c r="E1005" i="4"/>
  <c r="V1177" i="4"/>
  <c r="E1178" i="4"/>
  <c r="V394" i="4"/>
  <c r="E395" i="4"/>
  <c r="V901" i="4"/>
  <c r="E902" i="4"/>
  <c r="V712" i="4"/>
  <c r="E713" i="4"/>
  <c r="E578" i="4"/>
  <c r="V577" i="4"/>
  <c r="F84" i="4"/>
  <c r="V83" i="4"/>
  <c r="E546" i="4"/>
  <c r="V545" i="4"/>
  <c r="W98" i="3"/>
  <c r="F99" i="3"/>
  <c r="W523" i="3"/>
  <c r="F524" i="3"/>
  <c r="E240" i="4" l="1"/>
  <c r="V239" i="4"/>
  <c r="V395" i="4"/>
  <c r="E396" i="4"/>
  <c r="E1006" i="4"/>
  <c r="V1005" i="4"/>
  <c r="E903" i="4"/>
  <c r="V902" i="4"/>
  <c r="V84" i="4"/>
  <c r="F85" i="4"/>
  <c r="E579" i="4"/>
  <c r="V578" i="4"/>
  <c r="V713" i="4"/>
  <c r="E714" i="4"/>
  <c r="V207" i="4"/>
  <c r="E208" i="4"/>
  <c r="E1179" i="4"/>
  <c r="V1178" i="4"/>
  <c r="V546" i="4"/>
  <c r="E547" i="4"/>
  <c r="F100" i="3"/>
  <c r="W99" i="3"/>
  <c r="F525" i="3"/>
  <c r="W524" i="3"/>
  <c r="V85" i="4" l="1"/>
  <c r="F86" i="4"/>
  <c r="V903" i="4"/>
  <c r="E904" i="4"/>
  <c r="E1007" i="4"/>
  <c r="V1006" i="4"/>
  <c r="V579" i="4"/>
  <c r="E580" i="4"/>
  <c r="V547" i="4"/>
  <c r="E548" i="4"/>
  <c r="V1179" i="4"/>
  <c r="E1180" i="4"/>
  <c r="V208" i="4"/>
  <c r="E209" i="4"/>
  <c r="E397" i="4"/>
  <c r="V396" i="4"/>
  <c r="V714" i="4"/>
  <c r="E715" i="4"/>
  <c r="V240" i="4"/>
  <c r="E241" i="4"/>
  <c r="W525" i="3"/>
  <c r="F526" i="3"/>
  <c r="W100" i="3"/>
  <c r="F101" i="3"/>
  <c r="V580" i="4" l="1"/>
  <c r="E581" i="4"/>
  <c r="V715" i="4"/>
  <c r="E716" i="4"/>
  <c r="E905" i="4"/>
  <c r="V904" i="4"/>
  <c r="E398" i="4"/>
  <c r="V397" i="4"/>
  <c r="E210" i="4"/>
  <c r="V209" i="4"/>
  <c r="F87" i="4"/>
  <c r="V86" i="4"/>
  <c r="E1181" i="4"/>
  <c r="V1180" i="4"/>
  <c r="V548" i="4"/>
  <c r="E549" i="4"/>
  <c r="V241" i="4"/>
  <c r="E242" i="4"/>
  <c r="V1007" i="4"/>
  <c r="E1008" i="4"/>
  <c r="W101" i="3"/>
  <c r="F102" i="3"/>
  <c r="W526" i="3"/>
  <c r="F527" i="3"/>
  <c r="V716" i="4" l="1"/>
  <c r="E717" i="4"/>
  <c r="V87" i="4"/>
  <c r="F88" i="4"/>
  <c r="V581" i="4"/>
  <c r="E582" i="4"/>
  <c r="E211" i="4"/>
  <c r="V210" i="4"/>
  <c r="V1008" i="4"/>
  <c r="E1009" i="4"/>
  <c r="V398" i="4"/>
  <c r="E399" i="4"/>
  <c r="V242" i="4"/>
  <c r="E243" i="4"/>
  <c r="V905" i="4"/>
  <c r="E906" i="4"/>
  <c r="V906" i="4" s="1"/>
  <c r="V549" i="4"/>
  <c r="E550" i="4"/>
  <c r="V1181" i="4"/>
  <c r="E1182" i="4"/>
  <c r="F528" i="3"/>
  <c r="W527" i="3"/>
  <c r="W102" i="3"/>
  <c r="F103" i="3"/>
  <c r="E583" i="4" l="1"/>
  <c r="V582" i="4"/>
  <c r="V399" i="4"/>
  <c r="E400" i="4"/>
  <c r="V1009" i="4"/>
  <c r="E1010" i="4"/>
  <c r="V1182" i="4"/>
  <c r="E1183" i="4"/>
  <c r="E551" i="4"/>
  <c r="V550" i="4"/>
  <c r="V211" i="4"/>
  <c r="E212" i="4"/>
  <c r="E244" i="4"/>
  <c r="V88" i="4"/>
  <c r="F89" i="4"/>
  <c r="V243" i="4"/>
  <c r="E260" i="4"/>
  <c r="V717" i="4"/>
  <c r="E718" i="4"/>
  <c r="F104" i="3"/>
  <c r="W103" i="3"/>
  <c r="W528" i="3"/>
  <c r="F529" i="3"/>
  <c r="V1183" i="4" l="1"/>
  <c r="E1184" i="4"/>
  <c r="V400" i="4"/>
  <c r="E401" i="4"/>
  <c r="V89" i="4"/>
  <c r="F90" i="4"/>
  <c r="V212" i="4"/>
  <c r="E213" i="4"/>
  <c r="V551" i="4"/>
  <c r="E552" i="4"/>
  <c r="V718" i="4"/>
  <c r="E719" i="4"/>
  <c r="V1010" i="4"/>
  <c r="E1011" i="4"/>
  <c r="E261" i="4"/>
  <c r="V260" i="4"/>
  <c r="V244" i="4"/>
  <c r="E245" i="4"/>
  <c r="E584" i="4"/>
  <c r="V583" i="4"/>
  <c r="W529" i="3"/>
  <c r="F530" i="3"/>
  <c r="W104" i="3"/>
  <c r="F105" i="3"/>
  <c r="E553" i="4" l="1"/>
  <c r="V552" i="4"/>
  <c r="E402" i="4"/>
  <c r="V401" i="4"/>
  <c r="V719" i="4"/>
  <c r="E720" i="4"/>
  <c r="V261" i="4"/>
  <c r="E262" i="4"/>
  <c r="V213" i="4"/>
  <c r="E214" i="4"/>
  <c r="V584" i="4"/>
  <c r="E585" i="4"/>
  <c r="V245" i="4"/>
  <c r="E246" i="4"/>
  <c r="V1011" i="4"/>
  <c r="E1012" i="4"/>
  <c r="V1184" i="4"/>
  <c r="E1185" i="4"/>
  <c r="V90" i="4"/>
  <c r="F91" i="4"/>
  <c r="W105" i="3"/>
  <c r="F106" i="3"/>
  <c r="F531" i="3"/>
  <c r="W530" i="3"/>
  <c r="F92" i="4" l="1"/>
  <c r="V91" i="4"/>
  <c r="V585" i="4"/>
  <c r="E586" i="4"/>
  <c r="V214" i="4"/>
  <c r="E215" i="4"/>
  <c r="V246" i="4"/>
  <c r="E247" i="4"/>
  <c r="E263" i="4"/>
  <c r="V262" i="4"/>
  <c r="E1186" i="4"/>
  <c r="V1185" i="4"/>
  <c r="E721" i="4"/>
  <c r="V720" i="4"/>
  <c r="E1013" i="4"/>
  <c r="V1012" i="4"/>
  <c r="E403" i="4"/>
  <c r="V402" i="4"/>
  <c r="V553" i="4"/>
  <c r="E554" i="4"/>
  <c r="W531" i="3"/>
  <c r="F532" i="3"/>
  <c r="W106" i="3"/>
  <c r="F107" i="3"/>
  <c r="V215" i="4" l="1"/>
  <c r="E216" i="4"/>
  <c r="V247" i="4"/>
  <c r="E248" i="4"/>
  <c r="V403" i="4"/>
  <c r="E404" i="4"/>
  <c r="V586" i="4"/>
  <c r="E587" i="4"/>
  <c r="V1186" i="4"/>
  <c r="E1187" i="4"/>
  <c r="E264" i="4"/>
  <c r="V263" i="4"/>
  <c r="V554" i="4"/>
  <c r="E555" i="4"/>
  <c r="E1014" i="4"/>
  <c r="V1013" i="4"/>
  <c r="E722" i="4"/>
  <c r="V721" i="4"/>
  <c r="V92" i="4"/>
  <c r="F93" i="4"/>
  <c r="F108" i="3"/>
  <c r="W107" i="3"/>
  <c r="F533" i="3"/>
  <c r="W532" i="3"/>
  <c r="V264" i="4" l="1"/>
  <c r="E265" i="4"/>
  <c r="V404" i="4"/>
  <c r="E405" i="4"/>
  <c r="V248" i="4"/>
  <c r="E249" i="4"/>
  <c r="V1014" i="4"/>
  <c r="E1015" i="4"/>
  <c r="V1187" i="4"/>
  <c r="E1188" i="4"/>
  <c r="V93" i="4"/>
  <c r="F94" i="4"/>
  <c r="V555" i="4"/>
  <c r="E556" i="4"/>
  <c r="V216" i="4"/>
  <c r="E217" i="4"/>
  <c r="V587" i="4"/>
  <c r="E588" i="4"/>
  <c r="V722" i="4"/>
  <c r="E723" i="4"/>
  <c r="F534" i="3"/>
  <c r="W533" i="3"/>
  <c r="F109" i="3"/>
  <c r="W108" i="3"/>
  <c r="F95" i="4" l="1"/>
  <c r="V94" i="4"/>
  <c r="V1015" i="4"/>
  <c r="E1016" i="4"/>
  <c r="V249" i="4"/>
  <c r="E250" i="4"/>
  <c r="V1188" i="4"/>
  <c r="E1189" i="4"/>
  <c r="V723" i="4"/>
  <c r="E724" i="4"/>
  <c r="V588" i="4"/>
  <c r="E589" i="4"/>
  <c r="E218" i="4"/>
  <c r="V217" i="4"/>
  <c r="V405" i="4"/>
  <c r="E406" i="4"/>
  <c r="E557" i="4"/>
  <c r="V556" i="4"/>
  <c r="V265" i="4"/>
  <c r="E266" i="4"/>
  <c r="W109" i="3"/>
  <c r="F110" i="3"/>
  <c r="W534" i="3"/>
  <c r="F535" i="3"/>
  <c r="V589" i="4" l="1"/>
  <c r="E590" i="4"/>
  <c r="V724" i="4"/>
  <c r="E725" i="4"/>
  <c r="V250" i="4"/>
  <c r="E251" i="4"/>
  <c r="E558" i="4"/>
  <c r="V557" i="4"/>
  <c r="V266" i="4"/>
  <c r="E267" i="4"/>
  <c r="V1189" i="4"/>
  <c r="E1190" i="4"/>
  <c r="V406" i="4"/>
  <c r="E407" i="4"/>
  <c r="V1016" i="4"/>
  <c r="E1017" i="4"/>
  <c r="V218" i="4"/>
  <c r="E219" i="4"/>
  <c r="V95" i="4"/>
  <c r="F96" i="4"/>
  <c r="W535" i="3"/>
  <c r="F536" i="3"/>
  <c r="W110" i="3"/>
  <c r="F111" i="3"/>
  <c r="V96" i="4" l="1"/>
  <c r="F97" i="4"/>
  <c r="E252" i="4"/>
  <c r="V251" i="4"/>
  <c r="E268" i="4"/>
  <c r="V267" i="4"/>
  <c r="E1018" i="4"/>
  <c r="V1017" i="4"/>
  <c r="V725" i="4"/>
  <c r="E726" i="4"/>
  <c r="V558" i="4"/>
  <c r="E559" i="4"/>
  <c r="V219" i="4"/>
  <c r="E220" i="4"/>
  <c r="E1191" i="4"/>
  <c r="V1190" i="4"/>
  <c r="E408" i="4"/>
  <c r="V407" i="4"/>
  <c r="E591" i="4"/>
  <c r="V590" i="4"/>
  <c r="F537" i="3"/>
  <c r="W536" i="3"/>
  <c r="F112" i="3"/>
  <c r="W111" i="3"/>
  <c r="V559" i="4" l="1"/>
  <c r="E560" i="4"/>
  <c r="V726" i="4"/>
  <c r="E727" i="4"/>
  <c r="E592" i="4"/>
  <c r="V591" i="4"/>
  <c r="V1018" i="4"/>
  <c r="E1019" i="4"/>
  <c r="V408" i="4"/>
  <c r="E409" i="4"/>
  <c r="V268" i="4"/>
  <c r="E269" i="4"/>
  <c r="V1191" i="4"/>
  <c r="E1192" i="4"/>
  <c r="V252" i="4"/>
  <c r="E253" i="4"/>
  <c r="V220" i="4"/>
  <c r="E221" i="4"/>
  <c r="V97" i="4"/>
  <c r="F98" i="4"/>
  <c r="F113" i="3"/>
  <c r="W112" i="3"/>
  <c r="W537" i="3"/>
  <c r="F538" i="3"/>
  <c r="E593" i="4" l="1"/>
  <c r="V592" i="4"/>
  <c r="E254" i="4"/>
  <c r="V253" i="4"/>
  <c r="V727" i="4"/>
  <c r="E728" i="4"/>
  <c r="E1193" i="4"/>
  <c r="V1192" i="4"/>
  <c r="E561" i="4"/>
  <c r="V560" i="4"/>
  <c r="E270" i="4"/>
  <c r="V269" i="4"/>
  <c r="E410" i="4"/>
  <c r="V409" i="4"/>
  <c r="F99" i="4"/>
  <c r="V98" i="4"/>
  <c r="E1020" i="4"/>
  <c r="V1019" i="4"/>
  <c r="V221" i="4"/>
  <c r="E222" i="4"/>
  <c r="W538" i="3"/>
  <c r="F539" i="3"/>
  <c r="W113" i="3"/>
  <c r="F114" i="3"/>
  <c r="V1020" i="4" l="1"/>
  <c r="E1021" i="4"/>
  <c r="F100" i="4"/>
  <c r="V99" i="4"/>
  <c r="V254" i="4"/>
  <c r="E255" i="4"/>
  <c r="V561" i="4"/>
  <c r="E562" i="4"/>
  <c r="E223" i="4"/>
  <c r="V222" i="4"/>
  <c r="E729" i="4"/>
  <c r="V728" i="4"/>
  <c r="V270" i="4"/>
  <c r="E271" i="4"/>
  <c r="V1193" i="4"/>
  <c r="E1194" i="4"/>
  <c r="E411" i="4"/>
  <c r="V410" i="4"/>
  <c r="V593" i="4"/>
  <c r="E594" i="4"/>
  <c r="F115" i="3"/>
  <c r="W114" i="3"/>
  <c r="F540" i="3"/>
  <c r="W539" i="3"/>
  <c r="E412" i="4" l="1"/>
  <c r="V411" i="4"/>
  <c r="E563" i="4"/>
  <c r="V562" i="4"/>
  <c r="V1194" i="4"/>
  <c r="E1195" i="4"/>
  <c r="V223" i="4"/>
  <c r="E224" i="4"/>
  <c r="E595" i="4"/>
  <c r="V594" i="4"/>
  <c r="V100" i="4"/>
  <c r="F101" i="4"/>
  <c r="V1021" i="4"/>
  <c r="E1022" i="4"/>
  <c r="E730" i="4"/>
  <c r="V729" i="4"/>
  <c r="V255" i="4"/>
  <c r="E256" i="4"/>
  <c r="E272" i="4"/>
  <c r="V271" i="4"/>
  <c r="W540" i="3"/>
  <c r="F541" i="3"/>
  <c r="F116" i="3"/>
  <c r="W115" i="3"/>
  <c r="V101" i="4" l="1"/>
  <c r="F102" i="4"/>
  <c r="E596" i="4"/>
  <c r="V595" i="4"/>
  <c r="V224" i="4"/>
  <c r="E225" i="4"/>
  <c r="E273" i="4"/>
  <c r="V272" i="4"/>
  <c r="V256" i="4"/>
  <c r="E257" i="4"/>
  <c r="V1195" i="4"/>
  <c r="E1196" i="4"/>
  <c r="E731" i="4"/>
  <c r="V730" i="4"/>
  <c r="V563" i="4"/>
  <c r="E564" i="4"/>
  <c r="V1022" i="4"/>
  <c r="E1023" i="4"/>
  <c r="V412" i="4"/>
  <c r="E413" i="4"/>
  <c r="F117" i="3"/>
  <c r="W116" i="3"/>
  <c r="F542" i="3"/>
  <c r="W541" i="3"/>
  <c r="V1196" i="4" l="1"/>
  <c r="E1197" i="4"/>
  <c r="V413" i="4"/>
  <c r="E414" i="4"/>
  <c r="V1023" i="4"/>
  <c r="E1024" i="4"/>
  <c r="E565" i="4"/>
  <c r="V564" i="4"/>
  <c r="V257" i="4"/>
  <c r="E258" i="4"/>
  <c r="V273" i="4"/>
  <c r="E274" i="4"/>
  <c r="V225" i="4"/>
  <c r="E226" i="4"/>
  <c r="E597" i="4"/>
  <c r="V596" i="4"/>
  <c r="V102" i="4"/>
  <c r="F103" i="4"/>
  <c r="V731" i="4"/>
  <c r="E732" i="4"/>
  <c r="F543" i="3"/>
  <c r="W542" i="3"/>
  <c r="W117" i="3"/>
  <c r="F118" i="3"/>
  <c r="E566" i="4" l="1"/>
  <c r="V566" i="4" s="1"/>
  <c r="V565" i="4"/>
  <c r="V103" i="4"/>
  <c r="F104" i="4"/>
  <c r="V274" i="4"/>
  <c r="E275" i="4"/>
  <c r="E259" i="4"/>
  <c r="V259" i="4" s="1"/>
  <c r="V258" i="4"/>
  <c r="V732" i="4"/>
  <c r="E733" i="4"/>
  <c r="E1025" i="4"/>
  <c r="V1024" i="4"/>
  <c r="E415" i="4"/>
  <c r="V414" i="4"/>
  <c r="E598" i="4"/>
  <c r="V597" i="4"/>
  <c r="V226" i="4"/>
  <c r="E227" i="4"/>
  <c r="V227" i="4" s="1"/>
  <c r="E1198" i="4"/>
  <c r="V1197" i="4"/>
  <c r="F119" i="3"/>
  <c r="W118" i="3"/>
  <c r="W543" i="3"/>
  <c r="F544" i="3"/>
  <c r="V275" i="4" l="1"/>
  <c r="E276" i="4"/>
  <c r="F105" i="4"/>
  <c r="V104" i="4"/>
  <c r="V598" i="4"/>
  <c r="E599" i="4"/>
  <c r="V733" i="4"/>
  <c r="E734" i="4"/>
  <c r="V1198" i="4"/>
  <c r="E1199" i="4"/>
  <c r="V1025" i="4"/>
  <c r="E1026" i="4"/>
  <c r="E416" i="4"/>
  <c r="V415" i="4"/>
  <c r="W544" i="3"/>
  <c r="F545" i="3"/>
  <c r="W119" i="3"/>
  <c r="F120" i="3"/>
  <c r="E1200" i="4" l="1"/>
  <c r="V1199" i="4"/>
  <c r="V599" i="4"/>
  <c r="E600" i="4"/>
  <c r="V276" i="4"/>
  <c r="E277" i="4"/>
  <c r="E1027" i="4"/>
  <c r="V1026" i="4"/>
  <c r="E735" i="4"/>
  <c r="V734" i="4"/>
  <c r="V105" i="4"/>
  <c r="F106" i="4"/>
  <c r="E417" i="4"/>
  <c r="V416" i="4"/>
  <c r="F121" i="3"/>
  <c r="W120" i="3"/>
  <c r="F546" i="3"/>
  <c r="W545" i="3"/>
  <c r="V277" i="4" l="1"/>
  <c r="E278" i="4"/>
  <c r="F107" i="4"/>
  <c r="V106" i="4"/>
  <c r="E736" i="4"/>
  <c r="V735" i="4"/>
  <c r="V1027" i="4"/>
  <c r="E1028" i="4"/>
  <c r="E601" i="4"/>
  <c r="V600" i="4"/>
  <c r="E418" i="4"/>
  <c r="V417" i="4"/>
  <c r="V1200" i="4"/>
  <c r="E1201" i="4"/>
  <c r="W546" i="3"/>
  <c r="F547" i="3"/>
  <c r="W121" i="3"/>
  <c r="F122" i="3"/>
  <c r="V1201" i="4" l="1"/>
  <c r="E1202" i="4"/>
  <c r="E279" i="4"/>
  <c r="V278" i="4"/>
  <c r="V418" i="4"/>
  <c r="E419" i="4"/>
  <c r="V601" i="4"/>
  <c r="E602" i="4"/>
  <c r="V1028" i="4"/>
  <c r="E1029" i="4"/>
  <c r="V736" i="4"/>
  <c r="E737" i="4"/>
  <c r="V107" i="4"/>
  <c r="F108" i="4"/>
  <c r="V108" i="4" s="1"/>
  <c r="F123" i="3"/>
  <c r="W122" i="3"/>
  <c r="F548" i="3"/>
  <c r="W547" i="3"/>
  <c r="V419" i="4" l="1"/>
  <c r="E420" i="4"/>
  <c r="V737" i="4"/>
  <c r="E738" i="4"/>
  <c r="V279" i="4"/>
  <c r="E280" i="4"/>
  <c r="V602" i="4"/>
  <c r="E603" i="4"/>
  <c r="V1202" i="4"/>
  <c r="E1203" i="4"/>
  <c r="V1029" i="4"/>
  <c r="E1030" i="4"/>
  <c r="W548" i="3"/>
  <c r="F549" i="3"/>
  <c r="F124" i="3"/>
  <c r="W123" i="3"/>
  <c r="V603" i="4" l="1"/>
  <c r="E604" i="4"/>
  <c r="E281" i="4"/>
  <c r="V280" i="4"/>
  <c r="V1030" i="4"/>
  <c r="E1031" i="4"/>
  <c r="V1203" i="4"/>
  <c r="E1204" i="4"/>
  <c r="V738" i="4"/>
  <c r="E739" i="4"/>
  <c r="V420" i="4"/>
  <c r="E421" i="4"/>
  <c r="W124" i="3"/>
  <c r="F125" i="3"/>
  <c r="F550" i="3"/>
  <c r="W549" i="3"/>
  <c r="V421" i="4" l="1"/>
  <c r="E422" i="4"/>
  <c r="V739" i="4"/>
  <c r="E740" i="4"/>
  <c r="E1205" i="4"/>
  <c r="V1204" i="4"/>
  <c r="V1031" i="4"/>
  <c r="E1032" i="4"/>
  <c r="V281" i="4"/>
  <c r="E282" i="4"/>
  <c r="V604" i="4"/>
  <c r="E605" i="4"/>
  <c r="W550" i="3"/>
  <c r="F551" i="3"/>
  <c r="F126" i="3"/>
  <c r="W125" i="3"/>
  <c r="V1205" i="4" l="1"/>
  <c r="E1206" i="4"/>
  <c r="E606" i="4"/>
  <c r="V605" i="4"/>
  <c r="V282" i="4"/>
  <c r="E283" i="4"/>
  <c r="V1032" i="4"/>
  <c r="E1033" i="4"/>
  <c r="V740" i="4"/>
  <c r="E741" i="4"/>
  <c r="V422" i="4"/>
  <c r="E423" i="4"/>
  <c r="F127" i="3"/>
  <c r="W126" i="3"/>
  <c r="W551" i="3"/>
  <c r="F552" i="3"/>
  <c r="V423" i="4" l="1"/>
  <c r="E424" i="4"/>
  <c r="E1034" i="4"/>
  <c r="V1033" i="4"/>
  <c r="V741" i="4"/>
  <c r="E742" i="4"/>
  <c r="E284" i="4"/>
  <c r="V283" i="4"/>
  <c r="V606" i="4"/>
  <c r="E607" i="4"/>
  <c r="E1207" i="4"/>
  <c r="V1206" i="4"/>
  <c r="W552" i="3"/>
  <c r="F553" i="3"/>
  <c r="W127" i="3"/>
  <c r="F128" i="3"/>
  <c r="E608" i="4" l="1"/>
  <c r="V607" i="4"/>
  <c r="V1207" i="4"/>
  <c r="E1208" i="4"/>
  <c r="V284" i="4"/>
  <c r="E285" i="4"/>
  <c r="E743" i="4"/>
  <c r="V742" i="4"/>
  <c r="V1034" i="4"/>
  <c r="E1035" i="4"/>
  <c r="E425" i="4"/>
  <c r="V424" i="4"/>
  <c r="W128" i="3"/>
  <c r="F129" i="3"/>
  <c r="W553" i="3"/>
  <c r="F554" i="3"/>
  <c r="V425" i="4" l="1"/>
  <c r="E426" i="4"/>
  <c r="E286" i="4"/>
  <c r="V285" i="4"/>
  <c r="V743" i="4"/>
  <c r="E744" i="4"/>
  <c r="V1208" i="4"/>
  <c r="E1209" i="4"/>
  <c r="V1035" i="4"/>
  <c r="E1036" i="4"/>
  <c r="V608" i="4"/>
  <c r="E609" i="4"/>
  <c r="F130" i="3"/>
  <c r="W129" i="3"/>
  <c r="F555" i="3"/>
  <c r="W554" i="3"/>
  <c r="V744" i="4" l="1"/>
  <c r="E745" i="4"/>
  <c r="E610" i="4"/>
  <c r="V609" i="4"/>
  <c r="V1036" i="4"/>
  <c r="E1037" i="4"/>
  <c r="V1209" i="4"/>
  <c r="E1210" i="4"/>
  <c r="V286" i="4"/>
  <c r="E287" i="4"/>
  <c r="E427" i="4"/>
  <c r="V426" i="4"/>
  <c r="W555" i="3"/>
  <c r="F556" i="3"/>
  <c r="W130" i="3"/>
  <c r="F131" i="3"/>
  <c r="E1211" i="4" l="1"/>
  <c r="V1210" i="4"/>
  <c r="V1037" i="4"/>
  <c r="E1038" i="4"/>
  <c r="E428" i="4"/>
  <c r="V427" i="4"/>
  <c r="V287" i="4"/>
  <c r="E288" i="4"/>
  <c r="V610" i="4"/>
  <c r="E611" i="4"/>
  <c r="E746" i="4"/>
  <c r="V745" i="4"/>
  <c r="W131" i="3"/>
  <c r="F132" i="3"/>
  <c r="F557" i="3"/>
  <c r="W556" i="3"/>
  <c r="V746" i="4" l="1"/>
  <c r="E747" i="4"/>
  <c r="E429" i="4"/>
  <c r="V428" i="4"/>
  <c r="V611" i="4"/>
  <c r="E612" i="4"/>
  <c r="E289" i="4"/>
  <c r="V288" i="4"/>
  <c r="E1039" i="4"/>
  <c r="V1038" i="4"/>
  <c r="E1212" i="4"/>
  <c r="V1211" i="4"/>
  <c r="W557" i="3"/>
  <c r="F558" i="3"/>
  <c r="F133" i="3"/>
  <c r="W132" i="3"/>
  <c r="E748" i="4" l="1"/>
  <c r="V747" i="4"/>
  <c r="V1212" i="4"/>
  <c r="E1213" i="4"/>
  <c r="V1039" i="4"/>
  <c r="E1040" i="4"/>
  <c r="V289" i="4"/>
  <c r="E290" i="4"/>
  <c r="E613" i="4"/>
  <c r="V612" i="4"/>
  <c r="V429" i="4"/>
  <c r="E430" i="4"/>
  <c r="W133" i="3"/>
  <c r="F134" i="3"/>
  <c r="W558" i="3"/>
  <c r="F559" i="3"/>
  <c r="V613" i="4" l="1"/>
  <c r="E614" i="4"/>
  <c r="V614" i="4" s="1"/>
  <c r="E291" i="4"/>
  <c r="V290" i="4"/>
  <c r="V1040" i="4"/>
  <c r="E1041" i="4"/>
  <c r="V430" i="4"/>
  <c r="E431" i="4"/>
  <c r="V1213" i="4"/>
  <c r="E1214" i="4"/>
  <c r="V748" i="4"/>
  <c r="E749" i="4"/>
  <c r="F560" i="3"/>
  <c r="W559" i="3"/>
  <c r="W134" i="3"/>
  <c r="F135" i="3"/>
  <c r="V1041" i="4" l="1"/>
  <c r="E1042" i="4"/>
  <c r="V291" i="4"/>
  <c r="E292" i="4"/>
  <c r="E750" i="4"/>
  <c r="V749" i="4"/>
  <c r="E1215" i="4"/>
  <c r="V1214" i="4"/>
  <c r="E432" i="4"/>
  <c r="V431" i="4"/>
  <c r="F136" i="3"/>
  <c r="W135" i="3"/>
  <c r="F561" i="3"/>
  <c r="W560" i="3"/>
  <c r="V1215" i="4" l="1"/>
  <c r="E1216" i="4"/>
  <c r="E293" i="4"/>
  <c r="V292" i="4"/>
  <c r="E433" i="4"/>
  <c r="V432" i="4"/>
  <c r="E751" i="4"/>
  <c r="V750" i="4"/>
  <c r="E1043" i="4"/>
  <c r="V1042" i="4"/>
  <c r="W561" i="3"/>
  <c r="F562" i="3"/>
  <c r="W136" i="3"/>
  <c r="F137" i="3"/>
  <c r="E434" i="4" l="1"/>
  <c r="V433" i="4"/>
  <c r="V293" i="4"/>
  <c r="E294" i="4"/>
  <c r="V1043" i="4"/>
  <c r="E1044" i="4"/>
  <c r="E752" i="4"/>
  <c r="V751" i="4"/>
  <c r="E1217" i="4"/>
  <c r="V1216" i="4"/>
  <c r="W137" i="3"/>
  <c r="F138" i="3"/>
  <c r="F563" i="3"/>
  <c r="W562" i="3"/>
  <c r="V752" i="4" l="1"/>
  <c r="E753" i="4"/>
  <c r="V1044" i="4"/>
  <c r="E1045" i="4"/>
  <c r="V1217" i="4"/>
  <c r="E1218" i="4"/>
  <c r="V294" i="4"/>
  <c r="E295" i="4"/>
  <c r="V295" i="4" s="1"/>
  <c r="E435" i="4"/>
  <c r="V434" i="4"/>
  <c r="W563" i="3"/>
  <c r="F564" i="3"/>
  <c r="W138" i="3"/>
  <c r="F139" i="3"/>
  <c r="E1219" i="4" l="1"/>
  <c r="V1218" i="4"/>
  <c r="V435" i="4"/>
  <c r="E436" i="4"/>
  <c r="V1045" i="4"/>
  <c r="E1046" i="4"/>
  <c r="V753" i="4"/>
  <c r="E754" i="4"/>
  <c r="F140" i="3"/>
  <c r="W139" i="3"/>
  <c r="W564" i="3"/>
  <c r="F565" i="3"/>
  <c r="V1046" i="4" l="1"/>
  <c r="E1047" i="4"/>
  <c r="E437" i="4"/>
  <c r="V436" i="4"/>
  <c r="V754" i="4"/>
  <c r="E755" i="4"/>
  <c r="V1219" i="4"/>
  <c r="E1220" i="4"/>
  <c r="F566" i="3"/>
  <c r="W565" i="3"/>
  <c r="F141" i="3"/>
  <c r="W140" i="3"/>
  <c r="V437" i="4" l="1"/>
  <c r="E438" i="4"/>
  <c r="E1048" i="4"/>
  <c r="V1047" i="4"/>
  <c r="V1220" i="4"/>
  <c r="E1221" i="4"/>
  <c r="V755" i="4"/>
  <c r="E756" i="4"/>
  <c r="V756" i="4" s="1"/>
  <c r="W141" i="3"/>
  <c r="F142" i="3"/>
  <c r="W566" i="3"/>
  <c r="F567" i="3"/>
  <c r="V1048" i="4" l="1"/>
  <c r="E1049" i="4"/>
  <c r="E439" i="4"/>
  <c r="V438" i="4"/>
  <c r="V1221" i="4"/>
  <c r="E1222" i="4"/>
  <c r="W567" i="3"/>
  <c r="F568" i="3"/>
  <c r="W142" i="3"/>
  <c r="F143" i="3"/>
  <c r="E1223" i="4" l="1"/>
  <c r="V1222" i="4"/>
  <c r="V439" i="4"/>
  <c r="E440" i="4"/>
  <c r="E1050" i="4"/>
  <c r="V1049" i="4"/>
  <c r="F569" i="3"/>
  <c r="W568" i="3"/>
  <c r="F144" i="3"/>
  <c r="W143" i="3"/>
  <c r="V440" i="4" l="1"/>
  <c r="E441" i="4"/>
  <c r="V1050" i="4"/>
  <c r="E1051" i="4"/>
  <c r="E1224" i="4"/>
  <c r="V1223" i="4"/>
  <c r="F145" i="3"/>
  <c r="W144" i="3"/>
  <c r="F570" i="3"/>
  <c r="W569" i="3"/>
  <c r="E1052" i="4" l="1"/>
  <c r="V1051" i="4"/>
  <c r="V441" i="4"/>
  <c r="E442" i="4"/>
  <c r="V1224" i="4"/>
  <c r="E1225" i="4"/>
  <c r="W570" i="3"/>
  <c r="F571" i="3"/>
  <c r="W145" i="3"/>
  <c r="F146" i="3"/>
  <c r="V1225" i="4" l="1"/>
  <c r="E1226" i="4"/>
  <c r="V442" i="4"/>
  <c r="E443" i="4"/>
  <c r="E1053" i="4"/>
  <c r="V1052" i="4"/>
  <c r="W146" i="3"/>
  <c r="F147" i="3"/>
  <c r="F572" i="3"/>
  <c r="W571" i="3"/>
  <c r="V443" i="4" l="1"/>
  <c r="E444" i="4"/>
  <c r="V1053" i="4"/>
  <c r="E1054" i="4"/>
  <c r="E1227" i="4"/>
  <c r="V1226" i="4"/>
  <c r="F573" i="3"/>
  <c r="W572" i="3"/>
  <c r="F148" i="3"/>
  <c r="W147" i="3"/>
  <c r="E1055" i="4" l="1"/>
  <c r="V1054" i="4"/>
  <c r="V1227" i="4"/>
  <c r="E1228" i="4"/>
  <c r="E445" i="4"/>
  <c r="V444" i="4"/>
  <c r="W573" i="3"/>
  <c r="F574" i="3"/>
  <c r="W148" i="3"/>
  <c r="F149" i="3"/>
  <c r="V445" i="4" l="1"/>
  <c r="E446" i="4"/>
  <c r="V446" i="4" s="1"/>
  <c r="E1229" i="4"/>
  <c r="V1228" i="4"/>
  <c r="V1055" i="4"/>
  <c r="E1056" i="4"/>
  <c r="W149" i="3"/>
  <c r="F150" i="3"/>
  <c r="F575" i="3"/>
  <c r="W574" i="3"/>
  <c r="E1057" i="4" l="1"/>
  <c r="V1056" i="4"/>
  <c r="V1229" i="4"/>
  <c r="E1230" i="4"/>
  <c r="F576" i="3"/>
  <c r="W575" i="3"/>
  <c r="W150" i="3"/>
  <c r="F151" i="3"/>
  <c r="E1231" i="4" l="1"/>
  <c r="V1230" i="4"/>
  <c r="V1057" i="4"/>
  <c r="E1058" i="4"/>
  <c r="F152" i="3"/>
  <c r="W151" i="3"/>
  <c r="W576" i="3"/>
  <c r="F577" i="3"/>
  <c r="V1058" i="4" l="1"/>
  <c r="E1059" i="4"/>
  <c r="E1232" i="4"/>
  <c r="V1231" i="4"/>
  <c r="F578" i="3"/>
  <c r="W577" i="3"/>
  <c r="F153" i="3"/>
  <c r="W152" i="3"/>
  <c r="E1233" i="4" l="1"/>
  <c r="V1232" i="4"/>
  <c r="V1059" i="4"/>
  <c r="E1060" i="4"/>
  <c r="W153" i="3"/>
  <c r="F154" i="3"/>
  <c r="W578" i="3"/>
  <c r="F579" i="3"/>
  <c r="E1061" i="4" l="1"/>
  <c r="V1060" i="4"/>
  <c r="V1233" i="4"/>
  <c r="E1234" i="4"/>
  <c r="W579" i="3"/>
  <c r="F580" i="3"/>
  <c r="F155" i="3"/>
  <c r="W154" i="3"/>
  <c r="V1234" i="4" l="1"/>
  <c r="E1235" i="4"/>
  <c r="V1061" i="4"/>
  <c r="E1062" i="4"/>
  <c r="F581" i="3"/>
  <c r="W580" i="3"/>
  <c r="W155" i="3"/>
  <c r="F156" i="3"/>
  <c r="V1062" i="4" l="1"/>
  <c r="E1063" i="4"/>
  <c r="V1235" i="4"/>
  <c r="E1236" i="4"/>
  <c r="W156" i="3"/>
  <c r="F157" i="3"/>
  <c r="W581" i="3"/>
  <c r="F582" i="3"/>
  <c r="V1236" i="4" l="1"/>
  <c r="E1237" i="4"/>
  <c r="V1063" i="4"/>
  <c r="E1064" i="4"/>
  <c r="W157" i="3"/>
  <c r="F158" i="3"/>
  <c r="W582" i="3"/>
  <c r="F583" i="3"/>
  <c r="E1238" i="4" l="1"/>
  <c r="V1237" i="4"/>
  <c r="V1064" i="4"/>
  <c r="E1065" i="4"/>
  <c r="V1065" i="4" s="1"/>
  <c r="F584" i="3"/>
  <c r="W583" i="3"/>
  <c r="F159" i="3"/>
  <c r="W158" i="3"/>
  <c r="V1238" i="4" l="1"/>
  <c r="E1239" i="4"/>
  <c r="W159" i="3"/>
  <c r="F160" i="3"/>
  <c r="F585" i="3"/>
  <c r="W584" i="3"/>
  <c r="V1239" i="4" l="1"/>
  <c r="E1240" i="4"/>
  <c r="W160" i="3"/>
  <c r="F161" i="3"/>
  <c r="W585" i="3"/>
  <c r="F586" i="3"/>
  <c r="E1241" i="4" l="1"/>
  <c r="V1240" i="4"/>
  <c r="F587" i="3"/>
  <c r="W586" i="3"/>
  <c r="W161" i="3"/>
  <c r="F162" i="3"/>
  <c r="E1242" i="4" l="1"/>
  <c r="V1241" i="4"/>
  <c r="F163" i="3"/>
  <c r="W162" i="3"/>
  <c r="W587" i="3"/>
  <c r="F588" i="3"/>
  <c r="V1242" i="4" l="1"/>
  <c r="E1243" i="4"/>
  <c r="W588" i="3"/>
  <c r="F589" i="3"/>
  <c r="F164" i="3"/>
  <c r="W163" i="3"/>
  <c r="V1243" i="4" l="1"/>
  <c r="E1244" i="4"/>
  <c r="F590" i="3"/>
  <c r="W589" i="3"/>
  <c r="W164" i="3"/>
  <c r="F165" i="3"/>
  <c r="V1244" i="4" l="1"/>
  <c r="E1245" i="4"/>
  <c r="W165" i="3"/>
  <c r="F166" i="3"/>
  <c r="F591" i="3"/>
  <c r="W590" i="3"/>
  <c r="V1245" i="4" l="1"/>
  <c r="E1246" i="4"/>
  <c r="W591" i="3"/>
  <c r="F592" i="3"/>
  <c r="F167" i="3"/>
  <c r="W166" i="3"/>
  <c r="E1247" i="4" l="1"/>
  <c r="V1246" i="4"/>
  <c r="W167" i="3"/>
  <c r="F168" i="3"/>
  <c r="F593" i="3"/>
  <c r="W592" i="3"/>
  <c r="V1247" i="4" l="1"/>
  <c r="E1248" i="4"/>
  <c r="W593" i="3"/>
  <c r="F594" i="3"/>
  <c r="W168" i="3"/>
  <c r="F169" i="3"/>
  <c r="V1248" i="4" l="1"/>
  <c r="E1249" i="4"/>
  <c r="W169" i="3"/>
  <c r="F170" i="3"/>
  <c r="W594" i="3"/>
  <c r="F595" i="3"/>
  <c r="E1250" i="4" l="1"/>
  <c r="V1250" i="4" s="1"/>
  <c r="V1249" i="4"/>
  <c r="F171" i="3"/>
  <c r="W170" i="3"/>
  <c r="F596" i="3"/>
  <c r="W595" i="3"/>
  <c r="W596" i="3" l="1"/>
  <c r="F597" i="3"/>
  <c r="W171" i="3"/>
  <c r="F172" i="3"/>
  <c r="W172" i="3" l="1"/>
  <c r="F173" i="3"/>
  <c r="W597" i="3"/>
  <c r="F598" i="3"/>
  <c r="W598" i="3" l="1"/>
  <c r="F599" i="3"/>
  <c r="W173" i="3"/>
  <c r="F174" i="3"/>
  <c r="F175" i="3" l="1"/>
  <c r="W174" i="3"/>
  <c r="W599" i="3"/>
  <c r="F600" i="3"/>
  <c r="W600" i="3" l="1"/>
  <c r="F601" i="3"/>
  <c r="F176" i="3"/>
  <c r="W175" i="3"/>
  <c r="W176" i="3" l="1"/>
  <c r="F177" i="3"/>
  <c r="W601" i="3"/>
  <c r="F602" i="3"/>
  <c r="F603" i="3" l="1"/>
  <c r="W602" i="3"/>
  <c r="W177" i="3"/>
  <c r="F178" i="3"/>
  <c r="F179" i="3" l="1"/>
  <c r="W178" i="3"/>
  <c r="W603" i="3"/>
  <c r="F604" i="3"/>
  <c r="F605" i="3" l="1"/>
  <c r="W604" i="3"/>
  <c r="W179" i="3"/>
  <c r="F180" i="3"/>
  <c r="W180" i="3" l="1"/>
  <c r="F181" i="3"/>
  <c r="W605" i="3"/>
  <c r="F606" i="3"/>
  <c r="W181" i="3" l="1"/>
  <c r="F182" i="3"/>
  <c r="W606" i="3"/>
  <c r="F607" i="3"/>
  <c r="W607" i="3" l="1"/>
  <c r="F608" i="3"/>
  <c r="F183" i="3"/>
  <c r="W182" i="3"/>
  <c r="W183" i="3" l="1"/>
  <c r="F184" i="3"/>
  <c r="W184" i="3" s="1"/>
  <c r="F609" i="3"/>
  <c r="W608" i="3"/>
  <c r="W609" i="3" l="1"/>
  <c r="F610" i="3"/>
  <c r="F611" i="3" l="1"/>
  <c r="W610" i="3"/>
  <c r="W611" i="3" l="1"/>
  <c r="F612" i="3"/>
  <c r="F613" i="3" l="1"/>
  <c r="W612" i="3"/>
  <c r="W613" i="3" l="1"/>
  <c r="F614" i="3"/>
  <c r="F615" i="3" l="1"/>
  <c r="W614" i="3"/>
  <c r="F616" i="3" l="1"/>
  <c r="W615" i="3"/>
  <c r="W616" i="3" l="1"/>
  <c r="F617" i="3"/>
  <c r="F618" i="3" l="1"/>
  <c r="W617" i="3"/>
  <c r="F619" i="3" l="1"/>
  <c r="W618" i="3"/>
  <c r="W619" i="3" l="1"/>
  <c r="F620" i="3"/>
  <c r="F621" i="3" l="1"/>
  <c r="W620" i="3"/>
  <c r="W621" i="3" l="1"/>
  <c r="F622" i="3"/>
  <c r="F623" i="3" l="1"/>
  <c r="W622" i="3"/>
  <c r="W623" i="3" l="1"/>
  <c r="F624" i="3"/>
  <c r="F625" i="3" l="1"/>
  <c r="W624" i="3"/>
  <c r="W625" i="3" l="1"/>
  <c r="F626" i="3"/>
  <c r="W626" i="3" l="1"/>
  <c r="F627" i="3"/>
  <c r="F628" i="3" l="1"/>
  <c r="W627" i="3"/>
  <c r="F629" i="3" l="1"/>
  <c r="W628" i="3"/>
  <c r="W629" i="3" l="1"/>
  <c r="F630" i="3"/>
  <c r="F631" i="3" l="1"/>
  <c r="W630" i="3"/>
  <c r="W631" i="3" l="1"/>
  <c r="F632" i="3"/>
  <c r="W632" i="3" l="1"/>
  <c r="F633" i="3"/>
  <c r="W633" i="3" s="1"/>
</calcChain>
</file>

<file path=xl/sharedStrings.xml><?xml version="1.0" encoding="utf-8"?>
<sst xmlns="http://schemas.openxmlformats.org/spreadsheetml/2006/main" count="15331" uniqueCount="1986">
  <si>
    <t>DX01ES01</t>
  </si>
  <si>
    <t>CUB RJ45</t>
  </si>
  <si>
    <t>PR</t>
  </si>
  <si>
    <t>Generator Incomer</t>
  </si>
  <si>
    <t>A</t>
  </si>
  <si>
    <t>BR4-2110-E-00226</t>
  </si>
  <si>
    <t>BMC1302INC03</t>
  </si>
  <si>
    <t>MASTERPACT</t>
  </si>
  <si>
    <t>Essential Bus Incomer</t>
  </si>
  <si>
    <t>BR4-2110-E-00224</t>
  </si>
  <si>
    <t>BMC1302INC02</t>
  </si>
  <si>
    <t>VAMP RJ45</t>
  </si>
  <si>
    <t>Process Bus A Incomer</t>
  </si>
  <si>
    <t>BR4-2110-E-00222</t>
  </si>
  <si>
    <t>BMC1302INC01</t>
  </si>
  <si>
    <t>MASTERPACT_VAMP</t>
  </si>
  <si>
    <t>BR4-2110-E-00229</t>
  </si>
  <si>
    <t>BCV130</t>
  </si>
  <si>
    <t>Healthy</t>
  </si>
  <si>
    <t>STO Relay</t>
  </si>
  <si>
    <t>VS01SY01</t>
  </si>
  <si>
    <t>DI</t>
  </si>
  <si>
    <t>STO</t>
  </si>
  <si>
    <t>XDI:6</t>
  </si>
  <si>
    <t>Closed</t>
  </si>
  <si>
    <t>Drive Isolator</t>
  </si>
  <si>
    <t>IS01</t>
  </si>
  <si>
    <t>XDI:3</t>
  </si>
  <si>
    <t>XDI:2</t>
  </si>
  <si>
    <t>Run</t>
  </si>
  <si>
    <t>ENB01</t>
  </si>
  <si>
    <t>ACS880</t>
  </si>
  <si>
    <t>XDI:1</t>
  </si>
  <si>
    <t>BPL132 controlled</t>
  </si>
  <si>
    <t>BR4-2110-E-00219</t>
  </si>
  <si>
    <t>BCV131PP05</t>
  </si>
  <si>
    <t>BR4-2110-E-00218</t>
  </si>
  <si>
    <t>BCV131PP04</t>
  </si>
  <si>
    <t>Q103</t>
  </si>
  <si>
    <t xml:space="preserve">Trip </t>
  </si>
  <si>
    <t>Drive Circuit Breaker</t>
  </si>
  <si>
    <t>TRP01</t>
  </si>
  <si>
    <t>DO</t>
  </si>
  <si>
    <t>95 / 96</t>
  </si>
  <si>
    <t>33 / 34</t>
  </si>
  <si>
    <t>K161</t>
  </si>
  <si>
    <t>Activated</t>
  </si>
  <si>
    <t xml:space="preserve">Shunt Trip </t>
  </si>
  <si>
    <t>SHT01</t>
  </si>
  <si>
    <t>23 / 24</t>
  </si>
  <si>
    <t>K159</t>
  </si>
  <si>
    <t>Start Relay</t>
  </si>
  <si>
    <t>SR01</t>
  </si>
  <si>
    <t>13 / 14</t>
  </si>
  <si>
    <t>Selected</t>
  </si>
  <si>
    <t>Remote Mode</t>
  </si>
  <si>
    <t>SW01</t>
  </si>
  <si>
    <t>C / I6</t>
  </si>
  <si>
    <t>C / I5</t>
  </si>
  <si>
    <t>K165</t>
  </si>
  <si>
    <t>Safety Interlock Relay</t>
  </si>
  <si>
    <t>SY01</t>
  </si>
  <si>
    <t>C / I4</t>
  </si>
  <si>
    <t>K148</t>
  </si>
  <si>
    <t>Drive Contactor</t>
  </si>
  <si>
    <t>CAX01</t>
  </si>
  <si>
    <t>C / I3</t>
  </si>
  <si>
    <t>Tripped</t>
  </si>
  <si>
    <t>TRP02</t>
  </si>
  <si>
    <t>C / I2</t>
  </si>
  <si>
    <t>BR4-2110-E-00042</t>
  </si>
  <si>
    <t>BBD130PP01</t>
  </si>
  <si>
    <t>CB01</t>
  </si>
  <si>
    <t>TeSysT</t>
  </si>
  <si>
    <t>C / I1</t>
  </si>
  <si>
    <t>C / I10</t>
  </si>
  <si>
    <t>C / I9</t>
  </si>
  <si>
    <t>C / I8</t>
  </si>
  <si>
    <t>K149</t>
  </si>
  <si>
    <t>CAX02</t>
  </si>
  <si>
    <t>C / I7</t>
  </si>
  <si>
    <t>Run Maintenance</t>
  </si>
  <si>
    <t>SR02</t>
  </si>
  <si>
    <t>Run Clean</t>
  </si>
  <si>
    <t>BR4-2110-E-00237</t>
  </si>
  <si>
    <t>BCV130MT01EM02</t>
  </si>
  <si>
    <t>BR4-2110-E-00236</t>
  </si>
  <si>
    <t>BCV130MT01EM01</t>
  </si>
  <si>
    <t>BCV130FN04</t>
  </si>
  <si>
    <t>BR4-2110-E-00235</t>
  </si>
  <si>
    <t>BCV130FN03</t>
  </si>
  <si>
    <t>BR4-2110-E-00234</t>
  </si>
  <si>
    <t>BCV130PP02</t>
  </si>
  <si>
    <t>BR4-2110-E-00233</t>
  </si>
  <si>
    <t>BR4-2110-E-00216</t>
  </si>
  <si>
    <t>BCV130FN02</t>
  </si>
  <si>
    <t>BR4-2110-E-00231</t>
  </si>
  <si>
    <t>BCV130FN01</t>
  </si>
  <si>
    <t>BR4-2110-E-00221</t>
  </si>
  <si>
    <t>BCV130PP04</t>
  </si>
  <si>
    <t>BR4-2110-E-00220</t>
  </si>
  <si>
    <t>BCV130PP03</t>
  </si>
  <si>
    <t>BR4-2110-E-00217</t>
  </si>
  <si>
    <t>BCV130PP01</t>
  </si>
  <si>
    <t>BR4-2110-E-00213</t>
  </si>
  <si>
    <t>BTN130PP01</t>
  </si>
  <si>
    <t>field link</t>
  </si>
  <si>
    <t>BTN130PP01 field LOS to bucket</t>
  </si>
  <si>
    <t>Removed as has been replaced by F32/17-20</t>
  </si>
  <si>
    <t>BCV130FN02 field LOS to bucket</t>
  </si>
  <si>
    <t>BCV130FN01 field LOS to bucket</t>
  </si>
  <si>
    <t>80</t>
  </si>
  <si>
    <t>79</t>
  </si>
  <si>
    <t>78</t>
  </si>
  <si>
    <t>77</t>
  </si>
  <si>
    <t>K453</t>
  </si>
  <si>
    <t>BCV130DX09 summary relay</t>
  </si>
  <si>
    <t>PNOZs4</t>
  </si>
  <si>
    <t>76</t>
  </si>
  <si>
    <t>75</t>
  </si>
  <si>
    <t>74</t>
  </si>
  <si>
    <t>73</t>
  </si>
  <si>
    <t>BCV130MA01</t>
  </si>
  <si>
    <t>K375-2</t>
  </si>
  <si>
    <t>BCV130MA01 MASTER to MT01EM02 bucket</t>
  </si>
  <si>
    <t>PNOZs7.1</t>
  </si>
  <si>
    <t>72</t>
  </si>
  <si>
    <t>71</t>
  </si>
  <si>
    <t>70</t>
  </si>
  <si>
    <t>69</t>
  </si>
  <si>
    <t>K375-1</t>
  </si>
  <si>
    <t>BCV130MA01 MASTER to MT01 bucket</t>
  </si>
  <si>
    <t>68</t>
  </si>
  <si>
    <t>67</t>
  </si>
  <si>
    <t>66</t>
  </si>
  <si>
    <t>65</t>
  </si>
  <si>
    <t>K355-3</t>
  </si>
  <si>
    <t>BCV130MA01 MASTER to FN04 bucket</t>
  </si>
  <si>
    <t>PNOZs7.2</t>
  </si>
  <si>
    <t>64</t>
  </si>
  <si>
    <t>63</t>
  </si>
  <si>
    <t>62</t>
  </si>
  <si>
    <t>61</t>
  </si>
  <si>
    <t>K355-2</t>
  </si>
  <si>
    <t>BCV130MA01 MASTER to FN03 bucket</t>
  </si>
  <si>
    <t>60</t>
  </si>
  <si>
    <t>59</t>
  </si>
  <si>
    <t>58</t>
  </si>
  <si>
    <t>57</t>
  </si>
  <si>
    <t>K355-1</t>
  </si>
  <si>
    <t>BCV130MA01 MASTER to BCV130PP02)</t>
  </si>
  <si>
    <t>56</t>
  </si>
  <si>
    <t>55</t>
  </si>
  <si>
    <t>54</t>
  </si>
  <si>
    <t>53</t>
  </si>
  <si>
    <t>BCV130PP03 field LOS to bucket</t>
  </si>
  <si>
    <t>52</t>
  </si>
  <si>
    <t>51</t>
  </si>
  <si>
    <t>50</t>
  </si>
  <si>
    <t>49</t>
  </si>
  <si>
    <t>K425</t>
  </si>
  <si>
    <t>BCV130DX08 summary relay</t>
  </si>
  <si>
    <t>48</t>
  </si>
  <si>
    <t>47</t>
  </si>
  <si>
    <t>46</t>
  </si>
  <si>
    <t>45</t>
  </si>
  <si>
    <t>BCV130 MA01 TROLLEY MASTER from field panel safety relay</t>
  </si>
  <si>
    <t>44</t>
  </si>
  <si>
    <t>43</t>
  </si>
  <si>
    <t>42</t>
  </si>
  <si>
    <t>41</t>
  </si>
  <si>
    <t>BCV130MA01 COOLING MASTER from field panel safety relay</t>
  </si>
  <si>
    <t>40</t>
  </si>
  <si>
    <t>39</t>
  </si>
  <si>
    <t>38</t>
  </si>
  <si>
    <t>37</t>
  </si>
  <si>
    <t>K403</t>
  </si>
  <si>
    <t>BCV130DX07 summary relay</t>
  </si>
  <si>
    <t>36</t>
  </si>
  <si>
    <t>35</t>
  </si>
  <si>
    <t>34</t>
  </si>
  <si>
    <t>33</t>
  </si>
  <si>
    <t>K305-2</t>
  </si>
  <si>
    <t>BCV130 MASTER to BCV130PP01 (brake)</t>
  </si>
  <si>
    <t>32</t>
  </si>
  <si>
    <t>31</t>
  </si>
  <si>
    <t>30</t>
  </si>
  <si>
    <t>29</t>
  </si>
  <si>
    <t>K305-1</t>
  </si>
  <si>
    <t>BCV130 MASTER</t>
  </si>
  <si>
    <t>28</t>
  </si>
  <si>
    <t>27</t>
  </si>
  <si>
    <t>26</t>
  </si>
  <si>
    <t>25</t>
  </si>
  <si>
    <t>BR4-2110-E-00230</t>
  </si>
  <si>
    <t>BCV130 MASTER to VSD SAFE TORQUE OFF</t>
  </si>
  <si>
    <t>24</t>
  </si>
  <si>
    <t>23</t>
  </si>
  <si>
    <t>22</t>
  </si>
  <si>
    <t>21</t>
  </si>
  <si>
    <t>BCV130GB01</t>
  </si>
  <si>
    <t>K???</t>
  </si>
  <si>
    <t>BCV130GB01LCS01 MASTER to BCV130PP04 bucket</t>
  </si>
  <si>
    <t>20</t>
  </si>
  <si>
    <t>19</t>
  </si>
  <si>
    <t>18</t>
  </si>
  <si>
    <t>17</t>
  </si>
  <si>
    <t>BCV130GB01LCS01 MASTER to BCV130FN02 bucket</t>
  </si>
  <si>
    <t>16</t>
  </si>
  <si>
    <t>15</t>
  </si>
  <si>
    <t>14</t>
  </si>
  <si>
    <t>13</t>
  </si>
  <si>
    <t>BCV130GB01LCS01 MASTER</t>
  </si>
  <si>
    <t>11</t>
  </si>
  <si>
    <t>10</t>
  </si>
  <si>
    <t>9</t>
  </si>
  <si>
    <t>BR4-2110-E-00119</t>
  </si>
  <si>
    <t>BCV131</t>
  </si>
  <si>
    <t>K155-2</t>
  </si>
  <si>
    <t>BCV131 MASTER to BCV131PP05</t>
  </si>
  <si>
    <t>F32</t>
  </si>
  <si>
    <t>K155-1</t>
  </si>
  <si>
    <t>BCV131 MASTER to BCV131PP04</t>
  </si>
  <si>
    <t>3</t>
  </si>
  <si>
    <t>2</t>
  </si>
  <si>
    <t>1</t>
  </si>
  <si>
    <t>BCV131 MASTER</t>
  </si>
  <si>
    <t>BR4-2110-E-00120</t>
  </si>
  <si>
    <t>Healthy Relay (Feedback)</t>
  </si>
  <si>
    <t>Feedback Channel 2A / 2B closed</t>
  </si>
  <si>
    <t>SIL02M</t>
  </si>
  <si>
    <t>SRMO</t>
  </si>
  <si>
    <t>Y3&gt;+ / Y4&gt;I6</t>
  </si>
  <si>
    <t>2M</t>
  </si>
  <si>
    <t>Healthy (Solid State Output)</t>
  </si>
  <si>
    <t>FLEXISOFT PWS Bus 1 Statutory immediate circuit 2 healthy</t>
  </si>
  <si>
    <t>SIL02C</t>
  </si>
  <si>
    <t>SSDO</t>
  </si>
  <si>
    <t>Y24</t>
  </si>
  <si>
    <t>2C</t>
  </si>
  <si>
    <t>monitored</t>
  </si>
  <si>
    <t>SIL02B</t>
  </si>
  <si>
    <t>SRO</t>
  </si>
  <si>
    <t>43 / 44</t>
  </si>
  <si>
    <t>2B</t>
  </si>
  <si>
    <t>wired to stat CCT</t>
  </si>
  <si>
    <t>SIL02A</t>
  </si>
  <si>
    <t>2A</t>
  </si>
  <si>
    <t>Feedback Channel 1A / 1B closed</t>
  </si>
  <si>
    <t>SIL01M</t>
  </si>
  <si>
    <t>Y1&gt;+ / Y2&gt;I5</t>
  </si>
  <si>
    <t>1M</t>
  </si>
  <si>
    <t>FLEXISOFT PWS Bus 1 Statutory immediate circuit 1 healthy</t>
  </si>
  <si>
    <t>SIL01C</t>
  </si>
  <si>
    <t>Y14</t>
  </si>
  <si>
    <t>1C</t>
  </si>
  <si>
    <t>SIL01B</t>
  </si>
  <si>
    <t>1B</t>
  </si>
  <si>
    <t>SIL01A</t>
  </si>
  <si>
    <t>4RO</t>
  </si>
  <si>
    <t>1A</t>
  </si>
  <si>
    <t>SDO</t>
  </si>
  <si>
    <t>Q4 &gt; B2</t>
  </si>
  <si>
    <t>Q3 &gt; B1</t>
  </si>
  <si>
    <t>Safety Interlock B2 - immediate</t>
  </si>
  <si>
    <t>SIL02</t>
  </si>
  <si>
    <t>Q2 &gt; B2</t>
  </si>
  <si>
    <t>Safety Interlock B1 - immediate</t>
  </si>
  <si>
    <t>SIL01</t>
  </si>
  <si>
    <t>Q1 &gt; B1</t>
  </si>
  <si>
    <t>SDI</t>
  </si>
  <si>
    <t>I8</t>
  </si>
  <si>
    <t>I7</t>
  </si>
  <si>
    <t>4RO module 6 Y3 / Y4 feedback</t>
  </si>
  <si>
    <t>I6 &lt; Y4</t>
  </si>
  <si>
    <t>4RO module 6 Y1 / Y2 feedback</t>
  </si>
  <si>
    <t xml:space="preserve">SN# </t>
  </si>
  <si>
    <t>I5 &lt; Y2</t>
  </si>
  <si>
    <t>I4</t>
  </si>
  <si>
    <t>I3</t>
  </si>
  <si>
    <t>enabled</t>
  </si>
  <si>
    <t>Start-up Warning Request (programmed not wired)</t>
  </si>
  <si>
    <t>YA01</t>
  </si>
  <si>
    <t>I2</t>
  </si>
  <si>
    <t>Emergency Stop Reset Request (programmed not wired)</t>
  </si>
  <si>
    <t>XE01</t>
  </si>
  <si>
    <t>IgnoreMUG</t>
  </si>
  <si>
    <t>I1</t>
  </si>
  <si>
    <t>SLC02</t>
  </si>
  <si>
    <t>SIO1</t>
  </si>
  <si>
    <t>DX02</t>
  </si>
  <si>
    <t>BSR130</t>
  </si>
  <si>
    <t>not used</t>
  </si>
  <si>
    <t xml:space="preserve">FlexiSoft Bus </t>
  </si>
  <si>
    <t>Type 3</t>
  </si>
  <si>
    <t>CPU SLC1</t>
  </si>
  <si>
    <t>BCV131SLC02 Flexisoft - Even AXs</t>
  </si>
  <si>
    <t>SLC01</t>
  </si>
  <si>
    <t>DX1ES01</t>
  </si>
  <si>
    <t>BCV131SLC01 Flexisoft - Odd AXs</t>
  </si>
  <si>
    <t>BMXX0</t>
  </si>
  <si>
    <t>F25</t>
  </si>
  <si>
    <t/>
  </si>
  <si>
    <t>BR4-2110-E-00122</t>
  </si>
  <si>
    <t>K475-1</t>
  </si>
  <si>
    <t>SY02</t>
  </si>
  <si>
    <t>BCV130DX09</t>
  </si>
  <si>
    <t>BCV130DX08</t>
  </si>
  <si>
    <t>BCV130DX07</t>
  </si>
  <si>
    <t>K232</t>
  </si>
  <si>
    <t>Safety SLC02 Circuit</t>
  </si>
  <si>
    <t>SLC02SY01</t>
  </si>
  <si>
    <t>K132</t>
  </si>
  <si>
    <t>Safety SLC01 Circuit</t>
  </si>
  <si>
    <t>SLC01SY01</t>
  </si>
  <si>
    <t>BMXDDI3202K</t>
  </si>
  <si>
    <t>BMXFCW303</t>
  </si>
  <si>
    <t>F24</t>
  </si>
  <si>
    <t>Q155</t>
  </si>
  <si>
    <t>24VDC Control Supply</t>
  </si>
  <si>
    <t>VDC01</t>
  </si>
  <si>
    <t>BR4-2110-E-00215</t>
  </si>
  <si>
    <t>BR4-2110-E-00251</t>
  </si>
  <si>
    <t>BSR130DX02</t>
  </si>
  <si>
    <t>Q284</t>
  </si>
  <si>
    <t>Spare</t>
  </si>
  <si>
    <t>VDC12</t>
  </si>
  <si>
    <t>Q281</t>
  </si>
  <si>
    <t>VDC11</t>
  </si>
  <si>
    <t>Q278</t>
  </si>
  <si>
    <t>VDC10</t>
  </si>
  <si>
    <t>Q275</t>
  </si>
  <si>
    <t>VDC09</t>
  </si>
  <si>
    <t>Q272</t>
  </si>
  <si>
    <t>VDC08</t>
  </si>
  <si>
    <t>Q269</t>
  </si>
  <si>
    <t>VDC07</t>
  </si>
  <si>
    <t>Q266</t>
  </si>
  <si>
    <t>BSR130DX02 Safety Relays</t>
  </si>
  <si>
    <t>VDC06</t>
  </si>
  <si>
    <t>Q263</t>
  </si>
  <si>
    <t>Supply To BCV130VS01</t>
  </si>
  <si>
    <t>VDC05</t>
  </si>
  <si>
    <t>Q260</t>
  </si>
  <si>
    <t>Safety PLC Circuit 2</t>
  </si>
  <si>
    <t>VDC04</t>
  </si>
  <si>
    <t>Q257</t>
  </si>
  <si>
    <t>Safety PLC Circuit 1</t>
  </si>
  <si>
    <t>VDC03</t>
  </si>
  <si>
    <t>Q254</t>
  </si>
  <si>
    <t>VDC02</t>
  </si>
  <si>
    <t>BR4-2110-E-00250</t>
  </si>
  <si>
    <t>Q110</t>
  </si>
  <si>
    <t>DX02 24VDC Control Supply Healthy</t>
  </si>
  <si>
    <t>F23</t>
  </si>
  <si>
    <t>BCV130VS01</t>
  </si>
  <si>
    <t>Q253</t>
  </si>
  <si>
    <t>110/24VDC Power Supply OK</t>
  </si>
  <si>
    <t>CB07</t>
  </si>
  <si>
    <t>Q256</t>
  </si>
  <si>
    <t>24VDC Cubicle Bus Supply OK</t>
  </si>
  <si>
    <t>CB05</t>
  </si>
  <si>
    <t>Q220</t>
  </si>
  <si>
    <t>Trip Supply OK</t>
  </si>
  <si>
    <t>CB04</t>
  </si>
  <si>
    <t>Q212</t>
  </si>
  <si>
    <t>Spring Charge Supply OK</t>
  </si>
  <si>
    <t>CB03</t>
  </si>
  <si>
    <t>K260</t>
  </si>
  <si>
    <t>Trip</t>
  </si>
  <si>
    <t>Downstream Circuit Breaker</t>
  </si>
  <si>
    <t>BCV130VS01-C1
10 PAIR</t>
  </si>
  <si>
    <t>Q267</t>
  </si>
  <si>
    <t>BR4-2110-E-00239</t>
  </si>
  <si>
    <t>BSB1301</t>
  </si>
  <si>
    <t>BSB1301-C1
10 PAIR</t>
  </si>
  <si>
    <t>BR4-2110-E-00232</t>
  </si>
  <si>
    <t>BCV130MA01PN01</t>
  </si>
  <si>
    <t>Main Circuit Breaker</t>
  </si>
  <si>
    <t>BR4-2110-E-00247</t>
  </si>
  <si>
    <t>BCV130WN01PN01</t>
  </si>
  <si>
    <t>BR4-2110-E-00066</t>
  </si>
  <si>
    <t>BRB131CC01DB01</t>
  </si>
  <si>
    <t>F22</t>
  </si>
  <si>
    <t>BR4-2110-E-00212</t>
  </si>
  <si>
    <t>BSR130DB05</t>
  </si>
  <si>
    <t>BR4-2110-E-00041</t>
  </si>
  <si>
    <t>BSR130DB04</t>
  </si>
  <si>
    <t>BR4-2110-E-00040</t>
  </si>
  <si>
    <t>BSR130DB03</t>
  </si>
  <si>
    <t>BR4-2110-E-00039</t>
  </si>
  <si>
    <t>BSR130DB02</t>
  </si>
  <si>
    <t>BR4-2110-E-00211</t>
  </si>
  <si>
    <t>BSR130DB01</t>
  </si>
  <si>
    <t>BR4-2110-E-00210</t>
  </si>
  <si>
    <t>BSR130UP01</t>
  </si>
  <si>
    <t>BR4-2110-E-00209</t>
  </si>
  <si>
    <t>BSR130AC02</t>
  </si>
  <si>
    <t>BR4-2110-E-00208</t>
  </si>
  <si>
    <t>BSR130AC01</t>
  </si>
  <si>
    <t>BR4-2110-E-00207</t>
  </si>
  <si>
    <t>BSR130BC02</t>
  </si>
  <si>
    <t>BR4-2110-E-00206</t>
  </si>
  <si>
    <t>BSR130BC01</t>
  </si>
  <si>
    <t>F21</t>
  </si>
  <si>
    <t>BR4-2110-E-00227</t>
  </si>
  <si>
    <t>Q215</t>
  </si>
  <si>
    <t>BMC1302 INC03 110/24VDC Power Supply</t>
  </si>
  <si>
    <t>Q258</t>
  </si>
  <si>
    <t>BMC1302 INC03 Arc Flash Expansion Module 24VDC Supply</t>
  </si>
  <si>
    <t>CB06</t>
  </si>
  <si>
    <t>BMC1302 INC03 Bus INC03 24VDC Cubicle Bus Supply OK</t>
  </si>
  <si>
    <t>BMC1302 INC03 Bus INC03 Trip Supply OK</t>
  </si>
  <si>
    <t>BMC1302 INC03 Bus INC03 Spring Charge Supply OK</t>
  </si>
  <si>
    <t>F110</t>
  </si>
  <si>
    <t>BMC1302 INC03 Arc Flash Trip Alarm</t>
  </si>
  <si>
    <t>BMC1302INC03-C1
8 PAIR (2 SPARE)</t>
  </si>
  <si>
    <t>BMC1302 INC03 Bus 24VDC Control Supply</t>
  </si>
  <si>
    <t>BR4-2110-E-00225</t>
  </si>
  <si>
    <t>BMC1302 Essential Bus INC02 110/24VDC Power Supply</t>
  </si>
  <si>
    <t>SD144-146</t>
  </si>
  <si>
    <t>BMC1302 Essential Bus INC02 Surge Protection</t>
  </si>
  <si>
    <t>XS03</t>
  </si>
  <si>
    <t>BMC1302 Essential Bus INC02 24VDC Cubicle Bus Supply OK</t>
  </si>
  <si>
    <t>BMC1302 Essential Bus INC02 Trip Supply OK</t>
  </si>
  <si>
    <t>BMC1302 Essential Bus INC02 Spring Charge Supply OK</t>
  </si>
  <si>
    <t>BMC1302INC02-C1
8 PAIR (3 SPARE)</t>
  </si>
  <si>
    <t>BMC1302 Essential Bus 24VDC Control Supply</t>
  </si>
  <si>
    <t>BR4-2110-E-00223</t>
  </si>
  <si>
    <t>BMC1302 INC01 110/24VDC Power Supply</t>
  </si>
  <si>
    <t>BMC1302 INC01 Surge Protection</t>
  </si>
  <si>
    <t>BMC1302 INC01 Circuit Breaker 24VDC Cubicle Bus Supply OK</t>
  </si>
  <si>
    <t>BMC1302 INC01 Trip Supply OK</t>
  </si>
  <si>
    <t>BMC1302 INC01 Spring Charge Supply OK</t>
  </si>
  <si>
    <t>BMC1302 Arc Flash System</t>
  </si>
  <si>
    <t>XS02</t>
  </si>
  <si>
    <t>BMC1302 Arc Flash Trip Alarm</t>
  </si>
  <si>
    <t>Q204</t>
  </si>
  <si>
    <t xml:space="preserve">BMC1302 Arc Flash Supply </t>
  </si>
  <si>
    <t>CB02</t>
  </si>
  <si>
    <t>BMC1302INC01-C1
8 PAIR</t>
  </si>
  <si>
    <t>BMC1302 24VDC Control Supply</t>
  </si>
  <si>
    <t>BR4-2110-E-00081</t>
  </si>
  <si>
    <t>U103B</t>
  </si>
  <si>
    <t>DX02 24VDC Power Supply 2</t>
  </si>
  <si>
    <t>INTERNAL WIRING</t>
  </si>
  <si>
    <t>U103A</t>
  </si>
  <si>
    <t>DX02 24VDC Power Supply 1</t>
  </si>
  <si>
    <t>XS01</t>
  </si>
  <si>
    <t>DX1ES1</t>
  </si>
  <si>
    <t>BMECRA31210</t>
  </si>
  <si>
    <t>Comms</t>
  </si>
  <si>
    <t>% spare</t>
  </si>
  <si>
    <t>spare</t>
  </si>
  <si>
    <t>total</t>
  </si>
  <si>
    <t>BMXCPS4022</t>
  </si>
  <si>
    <t xml:space="preserve">Power </t>
  </si>
  <si>
    <t>BMEXBP1200</t>
  </si>
  <si>
    <t>Chassis</t>
  </si>
  <si>
    <t>DIO1</t>
  </si>
  <si>
    <t>EIO node 2</t>
  </si>
  <si>
    <t>BR4-2110-E-00044</t>
  </si>
  <si>
    <t>BMC1301INC01</t>
  </si>
  <si>
    <t>BR4-2110-E-00069</t>
  </si>
  <si>
    <t>BJC130</t>
  </si>
  <si>
    <t>BR4-2110-E-00067</t>
  </si>
  <si>
    <t>BJC130PP01</t>
  </si>
  <si>
    <t>BVG130DA01</t>
  </si>
  <si>
    <t>K146</t>
  </si>
  <si>
    <t>240VAC Supply OK</t>
  </si>
  <si>
    <t>VAC01</t>
  </si>
  <si>
    <t>BR4-2110-E-00061</t>
  </si>
  <si>
    <t>BR4-2110-E-00059</t>
  </si>
  <si>
    <t>BDU130RV01</t>
  </si>
  <si>
    <t>BDU130FN01</t>
  </si>
  <si>
    <t>BR4-2110-E-00058</t>
  </si>
  <si>
    <t>BR4-2110-E-00056</t>
  </si>
  <si>
    <t>BAF130PP05</t>
  </si>
  <si>
    <t>BR4-2110-E-00062</t>
  </si>
  <si>
    <t>BAF130FN03</t>
  </si>
  <si>
    <t>BR4-2110-E-00055</t>
  </si>
  <si>
    <t>BAF130FN02</t>
  </si>
  <si>
    <t>BR4-2110-E-00054</t>
  </si>
  <si>
    <t>BAF130FN01</t>
  </si>
  <si>
    <t>BR4-2110-E-00053</t>
  </si>
  <si>
    <t>BAF130PP04</t>
  </si>
  <si>
    <t>BAF130PP02</t>
  </si>
  <si>
    <t>BR4-2110-E-00052</t>
  </si>
  <si>
    <t>BAF130PP01</t>
  </si>
  <si>
    <t>BR4-2110-E-00051</t>
  </si>
  <si>
    <t>BR4-2110-E-00050</t>
  </si>
  <si>
    <t>BAF130PP07</t>
  </si>
  <si>
    <t>BAF130GA01</t>
  </si>
  <si>
    <t>Field LOS to BDU130RV01 bucket</t>
  </si>
  <si>
    <t>K303</t>
  </si>
  <si>
    <t>BAF130GA01 MASTER to BAF130PP05 bucket</t>
  </si>
  <si>
    <t>BAF130GA01 DX06 Summary of Devices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</si>
  <si>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</si>
  <si>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</si>
  <si>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</si>
  <si>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</si>
  <si>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</si>
  <si>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</si>
  <si>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</si>
  <si>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</si>
  <si>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</si>
  <si>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</si>
  <si>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</si>
  <si>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</si>
  <si>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Field LOS to BJC130 bucket</t>
  </si>
  <si>
    <t>K203</t>
  </si>
  <si>
    <t>BJC130 DX05 Summary of Devices</t>
  </si>
  <si>
    <t>BJC130 MASTER to VSD SAFE TORQUE OFF</t>
  </si>
  <si>
    <t>BAF130</t>
  </si>
  <si>
    <t>K130-3</t>
  </si>
  <si>
    <t>BAF130FN01 master to BAF130FN03 bucket</t>
  </si>
  <si>
    <t>K130-2</t>
  </si>
  <si>
    <t>BAF130FN01 master to BAF130FN02 bucket</t>
  </si>
  <si>
    <t>K130-1</t>
  </si>
  <si>
    <t>BAF130FN01 MASTER (to BAF130FN01 bucket)</t>
  </si>
  <si>
    <t>K103-3</t>
  </si>
  <si>
    <t>BAF130HP01 MASTER to BAF130PP04 bucket</t>
  </si>
  <si>
    <t>K103-2</t>
  </si>
  <si>
    <t>BAF130HP01  MASTER to BAF130PP02 bucket</t>
  </si>
  <si>
    <t>K103-1</t>
  </si>
  <si>
    <t>BAF130HP01 MASTER to BAF130PP01 bucket</t>
  </si>
  <si>
    <t>BVG130</t>
  </si>
  <si>
    <t>Field LOS to BVG130 bucket</t>
  </si>
  <si>
    <t>12</t>
  </si>
  <si>
    <t>BAF130LU01 field LOS to BAF130PP07 bucket</t>
  </si>
  <si>
    <t>8</t>
  </si>
  <si>
    <t>7</t>
  </si>
  <si>
    <t>6</t>
  </si>
  <si>
    <t>5</t>
  </si>
  <si>
    <t>BAF130HP01 field LOS (BAF130HP01LCS02)  to subDX relay</t>
  </si>
  <si>
    <t>DX01</t>
  </si>
  <si>
    <t>4</t>
  </si>
  <si>
    <t>F12</t>
  </si>
  <si>
    <t>BAF130 DX04 Summary of Devices</t>
  </si>
  <si>
    <t>F7</t>
  </si>
  <si>
    <t>Lighting Control Relay</t>
  </si>
  <si>
    <t>RL</t>
  </si>
  <si>
    <t>BR4-2110-E-00237_0</t>
  </si>
  <si>
    <t>Shunt Trip</t>
  </si>
  <si>
    <t>BR4-2110-E-00236_0</t>
  </si>
  <si>
    <t>BAF130HT02</t>
  </si>
  <si>
    <t>BR4-2110-E-00057</t>
  </si>
  <si>
    <t>BAF130HT01</t>
  </si>
  <si>
    <t>BMXDDO1602</t>
  </si>
  <si>
    <t>BMXFTB2010</t>
  </si>
  <si>
    <t>BCV131CVS01-C4
2 PAIR</t>
  </si>
  <si>
    <t>BR4-2150-E-00053</t>
  </si>
  <si>
    <t>BR4-2150-E-00124</t>
  </si>
  <si>
    <t>BCV131BVS01-C4
2 PAIR</t>
  </si>
  <si>
    <t>BR4-2150-E-00050</t>
  </si>
  <si>
    <t>BCV131AVS01-C4
2 PAIR</t>
  </si>
  <si>
    <t>BR4-2150-E-00047</t>
  </si>
  <si>
    <t>BPQE2106DB01-C1
2 PAIR</t>
  </si>
  <si>
    <t>BR4-2150-E-00082</t>
  </si>
  <si>
    <t>BR4-2110-E-00176</t>
  </si>
  <si>
    <t>BR4-2110-E-00175</t>
  </si>
  <si>
    <t>BPQE2106PN01-C1
2 PAIR</t>
  </si>
  <si>
    <t>BR4-2110-E-00174</t>
  </si>
  <si>
    <t>BAF130FN</t>
  </si>
  <si>
    <t>SAFETY RELAY ARRANGEMENT IN DX - INTERNAL WIRING</t>
  </si>
  <si>
    <t>BJC130VS01</t>
  </si>
  <si>
    <t>110/24Vdc Power Supply Ok</t>
  </si>
  <si>
    <t>24Vdc Cubicle Bus Supply Ok</t>
  </si>
  <si>
    <t>Trip Supply Ok</t>
  </si>
  <si>
    <t>Spring ChArge Supply Ok</t>
  </si>
  <si>
    <t>F6</t>
  </si>
  <si>
    <t>BJC130VS01-C1
10 PAIR</t>
  </si>
  <si>
    <t>24Vdc Control Supply</t>
  </si>
  <si>
    <t>BR4-2110-E-00071</t>
  </si>
  <si>
    <t>BJC130HP01PN01</t>
  </si>
  <si>
    <t>BR4-2110-E-00085</t>
  </si>
  <si>
    <t>BSR130DX01</t>
  </si>
  <si>
    <t>BAF130GA01 24VDC Control Supply</t>
  </si>
  <si>
    <t>BJC130 24VDC Control Supply</t>
  </si>
  <si>
    <t>BAF130 24VDC Control Supply</t>
  </si>
  <si>
    <t>Misc Switchroom Alarms 24VDC Control Supply</t>
  </si>
  <si>
    <t>BSR130UP01DB01 24VDC Control Supply</t>
  </si>
  <si>
    <t>BSR130BC02 24VDC Control Supply</t>
  </si>
  <si>
    <t>BSR130BC01 24VDC Control Supply</t>
  </si>
  <si>
    <t>BSR130UP01 24VDC Control Supply</t>
  </si>
  <si>
    <t>BR4-2110-E-00084</t>
  </si>
  <si>
    <t>Q165</t>
  </si>
  <si>
    <t>DX01 24VDC Output Module Control Supply</t>
  </si>
  <si>
    <t>F5</t>
  </si>
  <si>
    <t>DX01 24VDC Control Supply Healthy</t>
  </si>
  <si>
    <t>BR4-2110-E-00064</t>
  </si>
  <si>
    <t>BRB132HP01</t>
  </si>
  <si>
    <t xml:space="preserve">BRB132HP01PN01-C1 </t>
  </si>
  <si>
    <t>BR4-2110-E-00065</t>
  </si>
  <si>
    <t>BRB131HP01</t>
  </si>
  <si>
    <t xml:space="preserve">BRB131HP01PN01-C1 </t>
  </si>
  <si>
    <t>BR4-2110-E-00060</t>
  </si>
  <si>
    <t>BDU130CP01</t>
  </si>
  <si>
    <t>BDU130CP01PN01-C1</t>
  </si>
  <si>
    <t>BR4-2110-E-00049</t>
  </si>
  <si>
    <t>Contactor Aux</t>
  </si>
  <si>
    <t>BAF130HT02-C1</t>
  </si>
  <si>
    <t>BAF130HT01-C1</t>
  </si>
  <si>
    <t>BR4-2110-E-00045</t>
  </si>
  <si>
    <t>BMC1301 INC01 110/24VDC Power Supply</t>
  </si>
  <si>
    <t>BMC1321 INC01 Surge Protection</t>
  </si>
  <si>
    <t>BMC1301  INC01 Circuit Breaker 24VDC Cubicle Bus Supply OK</t>
  </si>
  <si>
    <t>BMC1301 INC01 Trip Supply OK</t>
  </si>
  <si>
    <t>BMC1301 INC01 Spring Charge Supply OK</t>
  </si>
  <si>
    <t>BMC1301 Arc Falsh System</t>
  </si>
  <si>
    <t>BMC1301 Arc Flash Trip Alarm</t>
  </si>
  <si>
    <t xml:space="preserve">BMC1301 Arc Flash Supply </t>
  </si>
  <si>
    <t>F4</t>
  </si>
  <si>
    <t>BSR130UP01DB01-C3
8 Pair</t>
  </si>
  <si>
    <t>BMC1301 24VDC Control Supply</t>
  </si>
  <si>
    <t>BR4-2110-E-00254</t>
  </si>
  <si>
    <t>BSR130UP01DB01</t>
  </si>
  <si>
    <t>B12</t>
  </si>
  <si>
    <t>W12</t>
  </si>
  <si>
    <t>R12</t>
  </si>
  <si>
    <t>B11</t>
  </si>
  <si>
    <t>W11</t>
  </si>
  <si>
    <t>Rockbreaker BRB131 240VAC Ups Circuit Breaker</t>
  </si>
  <si>
    <t>BSR130UP01DB01-C4
4 Pair</t>
  </si>
  <si>
    <t>R11</t>
  </si>
  <si>
    <t>Rockbreaker BRB130 240VAC Ups Circuit Breaker</t>
  </si>
  <si>
    <t>missing on Rev A</t>
  </si>
  <si>
    <t>BSR130FIP01</t>
  </si>
  <si>
    <t>Discharged</t>
  </si>
  <si>
    <t>Substation Gas</t>
  </si>
  <si>
    <t>BSR130UP01DB01-C3
1 Pair</t>
  </si>
  <si>
    <t>SD106</t>
  </si>
  <si>
    <t>BSR130UP01DB01 Surge Protection</t>
  </si>
  <si>
    <t>BSR132DB01-C1</t>
  </si>
  <si>
    <t>BSR130DB01 Surge Protection</t>
  </si>
  <si>
    <t>BSR130PN01</t>
  </si>
  <si>
    <t>SPARE</t>
  </si>
  <si>
    <t>XS07</t>
  </si>
  <si>
    <t>Fault</t>
  </si>
  <si>
    <t>Air Conditioner 8 - Airlock</t>
  </si>
  <si>
    <t>XS06</t>
  </si>
  <si>
    <t>Air Conditioner 7 - Airlock</t>
  </si>
  <si>
    <t>XS05</t>
  </si>
  <si>
    <t>Air Conditioner 2 - Fixed Plant Room</t>
  </si>
  <si>
    <t>XS04</t>
  </si>
  <si>
    <t>Air Conditioner 1 - Fixed Plant Room</t>
  </si>
  <si>
    <t>Alarm</t>
  </si>
  <si>
    <t>Air Conditioner Filter Blocked</t>
  </si>
  <si>
    <t>Air Conditioner</t>
  </si>
  <si>
    <t>Switchroom  Pressurisation Fan Filter</t>
  </si>
  <si>
    <t>PS01</t>
  </si>
  <si>
    <t>Fixed Plant Room High Temperature</t>
  </si>
  <si>
    <t>TS02</t>
  </si>
  <si>
    <t>NO CABLE
BSR130PN01-C2 CREATED
10 PAIR</t>
  </si>
  <si>
    <t xml:space="preserve">Airlock High Temperature </t>
  </si>
  <si>
    <t>TS01</t>
  </si>
  <si>
    <t>Fire Alarm</t>
  </si>
  <si>
    <t>Fire Panel Isolated</t>
  </si>
  <si>
    <t>BSR132FIP01-C1
4 PAIR</t>
  </si>
  <si>
    <t>Fire Panel</t>
  </si>
  <si>
    <t>BSR130NEP01</t>
  </si>
  <si>
    <t>Q180</t>
  </si>
  <si>
    <t>NEP Secondary PDU Circuit Breaker</t>
  </si>
  <si>
    <t>BSR132NEP02-C6
4 PAIR</t>
  </si>
  <si>
    <t>Q130</t>
  </si>
  <si>
    <t>BSR130NEP01 Primary PDU Circuit Breaker</t>
  </si>
  <si>
    <t>DX01 24VDC Power Supply 2</t>
  </si>
  <si>
    <t>DX01 24VDC Power Supply 1</t>
  </si>
  <si>
    <t>F3</t>
  </si>
  <si>
    <t>NO CABLE
BSR132PB01-C1 CREATED
1 PAIR</t>
  </si>
  <si>
    <t>SESP</t>
  </si>
  <si>
    <t>BSR130 Shutdown Pushbutton</t>
  </si>
  <si>
    <t>PB01</t>
  </si>
  <si>
    <t>B10</t>
  </si>
  <si>
    <t>Rockbreaker Cabin 240VAC UPS Circuit Breaker</t>
  </si>
  <si>
    <t>W10</t>
  </si>
  <si>
    <t>R10</t>
  </si>
  <si>
    <t>BCV131AX20-34 240VAC UPS Circuit Breaker</t>
  </si>
  <si>
    <t>B9</t>
  </si>
  <si>
    <t>BCV131AX19-33 240VAC UPS Circuit Breaker</t>
  </si>
  <si>
    <t>W9</t>
  </si>
  <si>
    <t>BCV131DX12 240VAC UPS Circuit Breaker</t>
  </si>
  <si>
    <t>R9</t>
  </si>
  <si>
    <t>BTN130CTV01 240VAC UPS Circuit Breaker</t>
  </si>
  <si>
    <t>B8</t>
  </si>
  <si>
    <t>BCV130CTV01 240VAC UPS Circuit Breaker</t>
  </si>
  <si>
    <t>W8</t>
  </si>
  <si>
    <t>BBD130CTV03 240VAC UPS Circuit Breaker</t>
  </si>
  <si>
    <t>R8</t>
  </si>
  <si>
    <t>BBD130CTV02 240VAC UPS Circuit Breaker</t>
  </si>
  <si>
    <t>B7</t>
  </si>
  <si>
    <t>BBD130CTV01 240VAC UPS Circuit Breaker</t>
  </si>
  <si>
    <t>W7</t>
  </si>
  <si>
    <t>R7</t>
  </si>
  <si>
    <t>BSR130FSS01PN01 Supression Control Panel Breaker</t>
  </si>
  <si>
    <t>B6</t>
  </si>
  <si>
    <t>Cardax 240VAC UPS Circuit Breaker</t>
  </si>
  <si>
    <t>W6</t>
  </si>
  <si>
    <t>BSR130VES01 Vesda Fire Detection Panel Breaker</t>
  </si>
  <si>
    <t>R6</t>
  </si>
  <si>
    <t>BSR130FIP01 Fire Panel 240VAC UPS Circuit Breaker</t>
  </si>
  <si>
    <t>B5</t>
  </si>
  <si>
    <t>BSR130RIS02 Fis 240VAC UPS Circuit Breaker</t>
  </si>
  <si>
    <t>W5</t>
  </si>
  <si>
    <t>HVAC Panel 240VAC UPS Circuit Breaker</t>
  </si>
  <si>
    <t>R5</t>
  </si>
  <si>
    <t>BSR130NEP01 240VAC Secondary UPS Circuit Breaker</t>
  </si>
  <si>
    <t>B4</t>
  </si>
  <si>
    <t>BSR130NEP01 240VAC Primary UPS Circuit Breaker</t>
  </si>
  <si>
    <t>W4</t>
  </si>
  <si>
    <t xml:space="preserve">DX09 240VAC UPS Circuit Breaker </t>
  </si>
  <si>
    <t>R4</t>
  </si>
  <si>
    <t xml:space="preserve">DX08 240VAC UPS Circuit Breaker </t>
  </si>
  <si>
    <t>B3</t>
  </si>
  <si>
    <t xml:space="preserve">DX07 240VAC UPS Circuit Breaker </t>
  </si>
  <si>
    <t>W3</t>
  </si>
  <si>
    <t xml:space="preserve">DX06 240VAC UPS Circuit Breaker </t>
  </si>
  <si>
    <t>R3</t>
  </si>
  <si>
    <t xml:space="preserve">DX05 240VAC UPS Circuit Breaker </t>
  </si>
  <si>
    <t>B2</t>
  </si>
  <si>
    <t xml:space="preserve">DX04 240VAC UPS Circuit Breaker </t>
  </si>
  <si>
    <t>W2</t>
  </si>
  <si>
    <t xml:space="preserve">DX03 240VAC UPS Circuit Breaker </t>
  </si>
  <si>
    <t>R2</t>
  </si>
  <si>
    <t xml:space="preserve">BSR130DX02 Secondary 240VAC UPS Circuit Breaker </t>
  </si>
  <si>
    <t>B1</t>
  </si>
  <si>
    <t xml:space="preserve">BSR130DX02 Primary 240VAC UPS Circuit Breaker </t>
  </si>
  <si>
    <t>W1</t>
  </si>
  <si>
    <t xml:space="preserve">BSR130DX01  Secondary 240VAC UPS Circuit Breaker </t>
  </si>
  <si>
    <t>BSR130UP01DB01-C2
30 pair</t>
  </si>
  <si>
    <t>R1</t>
  </si>
  <si>
    <t xml:space="preserve">BSR130DX01 Primary 240VAC UPS Circuit Breaker </t>
  </si>
  <si>
    <t>F2</t>
  </si>
  <si>
    <t>BR4-2110-E-00249</t>
  </si>
  <si>
    <t>Active</t>
  </si>
  <si>
    <t>UPS In Normal Mode</t>
  </si>
  <si>
    <t>ZS01</t>
  </si>
  <si>
    <t>BSR130UP01SW01</t>
  </si>
  <si>
    <t>BSR130UP01SW01-C2
UPDATED TO 4 PR
SCHEMATIC TO BE CREATED</t>
  </si>
  <si>
    <t>UPS Bypassed / Test</t>
  </si>
  <si>
    <t>BSR130UP01SD01-C1</t>
  </si>
  <si>
    <t>Ups Surge Filter</t>
  </si>
  <si>
    <t>BR4-2110-E-00240</t>
  </si>
  <si>
    <t>Q144</t>
  </si>
  <si>
    <t>Spare 110VDC Tripping Supply Circuit Breaker</t>
  </si>
  <si>
    <t>CB12</t>
  </si>
  <si>
    <t>Q141</t>
  </si>
  <si>
    <t>CB11</t>
  </si>
  <si>
    <t>Q138</t>
  </si>
  <si>
    <t>CB10</t>
  </si>
  <si>
    <t>Q135</t>
  </si>
  <si>
    <t>BSB1301 110VDC Supply Circuit Breaker</t>
  </si>
  <si>
    <t>CB09</t>
  </si>
  <si>
    <t>Q132</t>
  </si>
  <si>
    <t>BCV130VS01 110VDC Supply Circuit Breaker</t>
  </si>
  <si>
    <t>CB08</t>
  </si>
  <si>
    <t>Q129</t>
  </si>
  <si>
    <t>BJC130VS01 110VDC Supply Circuit Breaker</t>
  </si>
  <si>
    <t>Q126</t>
  </si>
  <si>
    <t>BSR130RSP01 110VDC Supply Circuit Breaker</t>
  </si>
  <si>
    <t>Q123</t>
  </si>
  <si>
    <r>
      <t xml:space="preserve">BMC1302INC03 110VDC </t>
    </r>
    <r>
      <rPr>
        <b/>
        <sz val="10"/>
        <color rgb="FF00B0F0"/>
        <rFont val="Arial"/>
        <family val="2"/>
      </rPr>
      <t>INC03</t>
    </r>
    <r>
      <rPr>
        <sz val="10"/>
        <rFont val="Arial"/>
        <family val="2"/>
      </rPr>
      <t xml:space="preserve"> Tripping Supply Circuit Breaker</t>
    </r>
  </si>
  <si>
    <t>Q120</t>
  </si>
  <si>
    <r>
      <t xml:space="preserve">BMC1302INC02 110VDC </t>
    </r>
    <r>
      <rPr>
        <b/>
        <sz val="10"/>
        <color rgb="FF00B0F0"/>
        <rFont val="Arial"/>
        <family val="2"/>
      </rPr>
      <t>INC02</t>
    </r>
    <r>
      <rPr>
        <sz val="10"/>
        <rFont val="Arial"/>
        <family val="2"/>
      </rPr>
      <t xml:space="preserve"> Tripping Supply Circuit Breaker</t>
    </r>
  </si>
  <si>
    <t>Q117</t>
  </si>
  <si>
    <r>
      <t xml:space="preserve">BMC1302INC01 110VDC </t>
    </r>
    <r>
      <rPr>
        <b/>
        <sz val="10"/>
        <color rgb="FF00B0F0"/>
        <rFont val="Arial"/>
        <family val="2"/>
      </rPr>
      <t>INC01</t>
    </r>
    <r>
      <rPr>
        <sz val="10"/>
        <rFont val="Arial"/>
        <family val="2"/>
      </rPr>
      <t xml:space="preserve"> Tripping Supply Circuit Breaker</t>
    </r>
  </si>
  <si>
    <t>Q114</t>
  </si>
  <si>
    <r>
      <t xml:space="preserve">BMC1301INC01 110VDC </t>
    </r>
    <r>
      <rPr>
        <b/>
        <sz val="10"/>
        <color rgb="FF00B0F0"/>
        <rFont val="Arial"/>
        <family val="2"/>
      </rPr>
      <t>INC01</t>
    </r>
    <r>
      <rPr>
        <sz val="10"/>
        <rFont val="Arial"/>
        <family val="2"/>
      </rPr>
      <t xml:space="preserve"> Tripping Supply Circuit Breaker</t>
    </r>
  </si>
  <si>
    <t>F1</t>
  </si>
  <si>
    <t>BSR130BC02-C3</t>
  </si>
  <si>
    <t>K112</t>
  </si>
  <si>
    <t>Battery Charger 110VDC Tripping Supply</t>
  </si>
  <si>
    <t>EIO node 1</t>
  </si>
  <si>
    <t>Spare - X</t>
  </si>
  <si>
    <t>Spare - E&amp;X</t>
  </si>
  <si>
    <t>I/O</t>
  </si>
  <si>
    <t>BMENOC0301</t>
  </si>
  <si>
    <t>HMI Comms</t>
  </si>
  <si>
    <t>N/C CAT6</t>
  </si>
  <si>
    <t>PLC Comms</t>
  </si>
  <si>
    <t>C</t>
  </si>
  <si>
    <t>BMXRMS004GPF</t>
  </si>
  <si>
    <t>MEM</t>
  </si>
  <si>
    <t>0A</t>
  </si>
  <si>
    <t>BPL130</t>
  </si>
  <si>
    <t>BMEP586040</t>
  </si>
  <si>
    <t>CPU</t>
  </si>
  <si>
    <t>DIO0</t>
  </si>
  <si>
    <t>Alm_CUSTOM8</t>
  </si>
  <si>
    <t>Alm_CUSTOM7</t>
  </si>
  <si>
    <t>Alm_CUSTOM6</t>
  </si>
  <si>
    <t>Alm_CUSTOM5</t>
  </si>
  <si>
    <t>Alm_CUSTOM4</t>
  </si>
  <si>
    <t>Alm_CUSTOM3</t>
  </si>
  <si>
    <t>Alm_CUSTOM2</t>
  </si>
  <si>
    <t>Alm_CUSTOM1</t>
  </si>
  <si>
    <t>Alm_CATEGORY</t>
  </si>
  <si>
    <t>Alm_HELP</t>
  </si>
  <si>
    <t>Alm_PRIV</t>
  </si>
  <si>
    <t>Alm_AREA</t>
  </si>
  <si>
    <t>T4</t>
  </si>
  <si>
    <t>T3</t>
  </si>
  <si>
    <t>T2</t>
  </si>
  <si>
    <t>T1</t>
  </si>
  <si>
    <t>TS</t>
  </si>
  <si>
    <t>Format</t>
  </si>
  <si>
    <t>Eng_Full</t>
  </si>
  <si>
    <t>Eng_Zero</t>
  </si>
  <si>
    <t>Raw_Full</t>
  </si>
  <si>
    <t>Raw_Zero</t>
  </si>
  <si>
    <t>SAT</t>
  </si>
  <si>
    <t>FAT</t>
  </si>
  <si>
    <t>Notes</t>
  </si>
  <si>
    <t>Rev</t>
  </si>
  <si>
    <t>Drawing</t>
  </si>
  <si>
    <t>Address</t>
  </si>
  <si>
    <t>Datatype</t>
  </si>
  <si>
    <t>Drive</t>
  </si>
  <si>
    <t>Location</t>
  </si>
  <si>
    <t>State</t>
  </si>
  <si>
    <t>Desc2</t>
  </si>
  <si>
    <t>Instrument List Description</t>
  </si>
  <si>
    <t>Device</t>
  </si>
  <si>
    <t>Instrument Tag</t>
  </si>
  <si>
    <t>CPP</t>
  </si>
  <si>
    <t>IO Type</t>
  </si>
  <si>
    <t>Node Type</t>
  </si>
  <si>
    <t>Terminal</t>
  </si>
  <si>
    <t>Ch</t>
  </si>
  <si>
    <t>Slot</t>
  </si>
  <si>
    <t>Rack</t>
  </si>
  <si>
    <t>Drop</t>
  </si>
  <si>
    <t>Bus</t>
  </si>
  <si>
    <t>PLC</t>
  </si>
  <si>
    <t>Node</t>
  </si>
  <si>
    <t>Box</t>
  </si>
  <si>
    <t>Item</t>
  </si>
  <si>
    <t>BPP1109LCS01-C1
4 PAIR</t>
  </si>
  <si>
    <t>BPP1109</t>
  </si>
  <si>
    <t>SUB LINK</t>
  </si>
  <si>
    <t>EMERGENCY STOP RELAY</t>
  </si>
  <si>
    <t>EAST TURKEYS NEST HME STANDPIPE PUMP 2</t>
  </si>
  <si>
    <t>BPP1109LCS01</t>
  </si>
  <si>
    <t>*</t>
  </si>
  <si>
    <t>BPP1108LCS01-C1
4 PAIR</t>
  </si>
  <si>
    <t>BPP1108</t>
  </si>
  <si>
    <t>EAST TURKEYS NEST HME STANDPIPE PUMP 1</t>
  </si>
  <si>
    <t>BPP1108LCS01</t>
  </si>
  <si>
    <t>DX10</t>
  </si>
  <si>
    <t>SUB902</t>
  </si>
  <si>
    <t>BR4-1860-E-00078</t>
  </si>
  <si>
    <t>SUB902DB01</t>
  </si>
  <si>
    <t>Exterior Lighting Relay</t>
  </si>
  <si>
    <t>BR4-1860-E-00196</t>
  </si>
  <si>
    <t>BSTD1108</t>
  </si>
  <si>
    <t>Ready</t>
  </si>
  <si>
    <t>Standpipe</t>
  </si>
  <si>
    <t>EAST TURKEYS NEST HME STANDPIPE</t>
  </si>
  <si>
    <t>IL03</t>
  </si>
  <si>
    <t>BSTD1108LCS01</t>
  </si>
  <si>
    <t>IL02</t>
  </si>
  <si>
    <t>BSTD1108LCS01-C1
12 pair
NEED TO CREATE "LCS" SCHEMATIC</t>
  </si>
  <si>
    <t>Running</t>
  </si>
  <si>
    <t>IL01</t>
  </si>
  <si>
    <t>AO</t>
  </si>
  <si>
    <t>#.# EU</t>
  </si>
  <si>
    <t>BTY1501AX01-C2</t>
  </si>
  <si>
    <t>BR4-1860-E-00197</t>
  </si>
  <si>
    <t>REAL</t>
  </si>
  <si>
    <t>%</t>
  </si>
  <si>
    <t>HME Standpipe Flow Valve Position Reference</t>
  </si>
  <si>
    <t>EAST TURKEYS NEST RAW WATER</t>
  </si>
  <si>
    <t>ZC01</t>
  </si>
  <si>
    <t>BSTD1108FV01</t>
  </si>
  <si>
    <t># EU</t>
  </si>
  <si>
    <t>BTY1501</t>
  </si>
  <si>
    <t>East Pit Flow Valve Position Setpoint</t>
  </si>
  <si>
    <t>BTY1501FV01</t>
  </si>
  <si>
    <t>BMEAHO0412</t>
  </si>
  <si>
    <t>BMXFTW301S</t>
  </si>
  <si>
    <t>AI</t>
  </si>
  <si>
    <t>HME Standpipe Flow Valve Position</t>
  </si>
  <si>
    <t>ZT01</t>
  </si>
  <si>
    <t>m3/h</t>
  </si>
  <si>
    <t>HME Standpipe Flow Rate</t>
  </si>
  <si>
    <t>FT01</t>
  </si>
  <si>
    <t>BSTD1108FT01</t>
  </si>
  <si>
    <t>BPP1109PIT02-C1</t>
  </si>
  <si>
    <t>kPa</t>
  </si>
  <si>
    <t>HME Standpipe Pump 2 Pressure</t>
  </si>
  <si>
    <t>PT02</t>
  </si>
  <si>
    <t>BPP1109PT02</t>
  </si>
  <si>
    <t>BPP1108PIT01-C1</t>
  </si>
  <si>
    <t>HME Standpipe Pump 1 Pressure</t>
  </si>
  <si>
    <t>PT01</t>
  </si>
  <si>
    <t>BPP1108PT01</t>
  </si>
  <si>
    <t>BMEAHI0812</t>
  </si>
  <si>
    <t>BTY1501LIT02-C1</t>
  </si>
  <si>
    <t>Level Transmitter</t>
  </si>
  <si>
    <t>LT02</t>
  </si>
  <si>
    <t>BTY1501LT02</t>
  </si>
  <si>
    <t>East Pit Flow Valve Position Feedback</t>
  </si>
  <si>
    <t>BTY1501PIT02-C1</t>
  </si>
  <si>
    <t>Raw Water From East Pit Pressure</t>
  </si>
  <si>
    <t>BTY1501PT02</t>
  </si>
  <si>
    <t>Raw Water From East Pit Flow Rate</t>
  </si>
  <si>
    <t>FT02</t>
  </si>
  <si>
    <t>BTY1501FT02</t>
  </si>
  <si>
    <t>BR4-1860-E-00199</t>
  </si>
  <si>
    <t>SUB902BC02</t>
  </si>
  <si>
    <t>SUB902DX10 110VDC Tripping Supply Circuit Breaker</t>
  </si>
  <si>
    <t>SUB902NEP01 110VDC Tripping Supply Circuit Breaker</t>
  </si>
  <si>
    <t>BMC802 110VDC IC2 Tripping Supply Circuit Breaker</t>
  </si>
  <si>
    <t>BMC802 110VDC IC1 Tripping Supply Circuit Breaker</t>
  </si>
  <si>
    <t xml:space="preserve">SUB902BC02-C2
8 Pair
</t>
  </si>
  <si>
    <t>BR4-1860-E-00187</t>
  </si>
  <si>
    <t>BMC802INC02</t>
  </si>
  <si>
    <t>110VDC/24VDC Power Supply</t>
  </si>
  <si>
    <t>GENERATOR INCOMER</t>
  </si>
  <si>
    <t>Arc Flash Expansion Module 24VDC Supply</t>
  </si>
  <si>
    <t>24VDC Trip Unit Circuit Breaker</t>
  </si>
  <si>
    <t>Ok</t>
  </si>
  <si>
    <t>Incomer Circuit Breaker Trip Supply</t>
  </si>
  <si>
    <t>Incomer CB Comms Unit Circuit Breaker</t>
  </si>
  <si>
    <t>Arc Flash Trip Alarm</t>
  </si>
  <si>
    <t>BMC802INC02-C1
12 pair</t>
  </si>
  <si>
    <t>BR4-1860-E-00184</t>
  </si>
  <si>
    <t>BMC802INC01</t>
  </si>
  <si>
    <t>110VDC/24VDC Power Supply CB</t>
  </si>
  <si>
    <t>INCOMER BMC802INC01</t>
  </si>
  <si>
    <t>Surge Protection</t>
  </si>
  <si>
    <t>F153</t>
  </si>
  <si>
    <t>Upstream Circuit Breaker Trip</t>
  </si>
  <si>
    <t>Circuit Breaker Trip Supply CB</t>
  </si>
  <si>
    <t>F113-SF</t>
  </si>
  <si>
    <t>Vamp Self Supervision System</t>
  </si>
  <si>
    <t>F113-A1</t>
  </si>
  <si>
    <t>Vamp Arc Flash Trip Alarm</t>
  </si>
  <si>
    <t>110VDC Vamp Arc Flash Supply CB</t>
  </si>
  <si>
    <t>BMC802INC01-C1
12 pair</t>
  </si>
  <si>
    <t>BR4-1860-E-00189</t>
  </si>
  <si>
    <t>KIOSK 415V LIGHTING AND SMALL POWER</t>
  </si>
  <si>
    <t>SUB902DB01-C1</t>
  </si>
  <si>
    <t>BR4-1860-E-00192</t>
  </si>
  <si>
    <t>FIXED PLANT TRIPPING AND CLOSING SUPPLY BATTERY CHARGER</t>
  </si>
  <si>
    <t>SUB902BC02-C1</t>
  </si>
  <si>
    <t>BR4-1860-E-00188</t>
  </si>
  <si>
    <t>SUB902BC01</t>
  </si>
  <si>
    <t>UTILITIES TRIPPING AND CLOSING SUPPLY BATTERY CHARGER</t>
  </si>
  <si>
    <t>SUB902BC01-C1</t>
  </si>
  <si>
    <t>240VAC Circuit Breaker</t>
  </si>
  <si>
    <t>Valve Fault</t>
  </si>
  <si>
    <t>Valve Closed</t>
  </si>
  <si>
    <t>ZS02</t>
  </si>
  <si>
    <t>Open</t>
  </si>
  <si>
    <t>Valve Open</t>
  </si>
  <si>
    <t>BTY1501AX01-C1</t>
  </si>
  <si>
    <t>STT02</t>
  </si>
  <si>
    <t>Elsema Run Interlock</t>
  </si>
  <si>
    <t>STP01</t>
  </si>
  <si>
    <t>Stop Pushbutton</t>
  </si>
  <si>
    <t>BSTD1108LCS01-C1
12 pair</t>
  </si>
  <si>
    <t>STT01</t>
  </si>
  <si>
    <t>Start Pushbutton</t>
  </si>
  <si>
    <t>BPP1109-C1</t>
  </si>
  <si>
    <t>BR4-1860-E-00191</t>
  </si>
  <si>
    <t>PTC Thermistor Relay</t>
  </si>
  <si>
    <t>THR01</t>
  </si>
  <si>
    <t>BPP1108-C1</t>
  </si>
  <si>
    <t>BR4-1860-E-00190</t>
  </si>
  <si>
    <t>SUB902DB01-C2
1 PAIR</t>
  </si>
  <si>
    <t>BR4-1860-E-00198</t>
  </si>
  <si>
    <t>SUB902DB01 Surge Protection</t>
  </si>
  <si>
    <t>SUB902NEP01</t>
  </si>
  <si>
    <t>Q108</t>
  </si>
  <si>
    <t>SUB902NEP01 Primary PDU Circuit Breaker</t>
  </si>
  <si>
    <t>SUB902DX10</t>
  </si>
  <si>
    <t>U153B</t>
  </si>
  <si>
    <t>SUB902DX10 24VDC Power Supply 4</t>
  </si>
  <si>
    <t>U153A</t>
  </si>
  <si>
    <t>SUB902DX10 24VDC Power Supply 3</t>
  </si>
  <si>
    <t>SUB902DX10 24VDC Power Supply 2</t>
  </si>
  <si>
    <t>SUB902DX10 24VDC Power Supply 1</t>
  </si>
  <si>
    <t>BPP1109FS02-C1
1 PAIR</t>
  </si>
  <si>
    <t>HME Standpipe Pump 2 Flow Switch</t>
  </si>
  <si>
    <t>FS02</t>
  </si>
  <si>
    <t>BPP1109FS02</t>
  </si>
  <si>
    <t>BPP1108FS01-C1
1 PAIR</t>
  </si>
  <si>
    <t>HME Standpipe Pump 1 Flow Switch</t>
  </si>
  <si>
    <t>FS01</t>
  </si>
  <si>
    <t>BPP1108FS01</t>
  </si>
  <si>
    <t>BTY1501LS01-C1
1 PAIR</t>
  </si>
  <si>
    <t>High-High</t>
  </si>
  <si>
    <t>Level Switch</t>
  </si>
  <si>
    <t>LS01</t>
  </si>
  <si>
    <t>BTY1501LS01</t>
  </si>
  <si>
    <t>HME Standpipe Flow Totaliser Pulse</t>
  </si>
  <si>
    <t>FQ01</t>
  </si>
  <si>
    <t>Flow Totaliser Pulse</t>
  </si>
  <si>
    <t>FQ02</t>
  </si>
  <si>
    <t>BR4-1860-E-00195</t>
  </si>
  <si>
    <t>Q187</t>
  </si>
  <si>
    <t>Spare Control Supply</t>
  </si>
  <si>
    <t>Q184</t>
  </si>
  <si>
    <t>Q181</t>
  </si>
  <si>
    <t>Q178</t>
  </si>
  <si>
    <t>BSTD1108 HME Standpipe  24VDC Control Supply</t>
  </si>
  <si>
    <t>Q175</t>
  </si>
  <si>
    <t>Q172</t>
  </si>
  <si>
    <t>SUB902BC02 24VDC Control Supply</t>
  </si>
  <si>
    <t>Q169</t>
  </si>
  <si>
    <t>SUB902BC01 24VDC Control Supply</t>
  </si>
  <si>
    <t>Q166</t>
  </si>
  <si>
    <t>BTY1501LS01 24VDC Control Supply</t>
  </si>
  <si>
    <t>Q163</t>
  </si>
  <si>
    <t>Transmitter 24VDC Control Supply</t>
  </si>
  <si>
    <t>Q160</t>
  </si>
  <si>
    <t>Instrument 24VDC Control Supply</t>
  </si>
  <si>
    <t>DX10 24VDC Output Module Control Supply</t>
  </si>
  <si>
    <t>DX10 24VDC Control Supply Healthy</t>
  </si>
  <si>
    <t>I/O1</t>
  </si>
  <si>
    <t>BMXCPS2010</t>
  </si>
  <si>
    <t>BMEXBP0400</t>
  </si>
  <si>
    <t>EIO node #10</t>
  </si>
  <si>
    <t>SUB902DX10 - East Turkey's Nest - Storage &amp; Bulk Raw Water</t>
  </si>
  <si>
    <t>BR4-2110-E-00114</t>
  </si>
  <si>
    <t>BCV130BK01</t>
  </si>
  <si>
    <t>K275</t>
  </si>
  <si>
    <t>Emergency Stop Relay</t>
  </si>
  <si>
    <t>PRIMARY CRUSHING DISCHARGE CONVEYOR DRIVE BRAKE</t>
  </si>
  <si>
    <t>LOS03</t>
  </si>
  <si>
    <t>BCV130BK01LCS01</t>
  </si>
  <si>
    <t>Safety Relay</t>
  </si>
  <si>
    <t>K253</t>
  </si>
  <si>
    <t>PRIMARY CRUSHING DISCHARGE CONVEYOR</t>
  </si>
  <si>
    <t>LOS01</t>
  </si>
  <si>
    <t>BCV130LCS01</t>
  </si>
  <si>
    <t>K236</t>
  </si>
  <si>
    <t>Pullwire Switch 4</t>
  </si>
  <si>
    <t>PWS04</t>
  </si>
  <si>
    <t>BCV130PWS04</t>
  </si>
  <si>
    <t>K225</t>
  </si>
  <si>
    <t>Pullwire Switch 3</t>
  </si>
  <si>
    <t>PWS03</t>
  </si>
  <si>
    <t>BCV130PWS03</t>
  </si>
  <si>
    <t>K214</t>
  </si>
  <si>
    <t>Pullwire Switch 2</t>
  </si>
  <si>
    <t>PWS02</t>
  </si>
  <si>
    <t>BCV130PWS02</t>
  </si>
  <si>
    <t>Pullwire Switch 1</t>
  </si>
  <si>
    <t>PWS01</t>
  </si>
  <si>
    <t>BCV130PWS01</t>
  </si>
  <si>
    <t>TRANSFER TOWER SUMP PUMP</t>
  </si>
  <si>
    <t>BTN130PP01LCS01</t>
  </si>
  <si>
    <t>BCV130FN02 / PP04</t>
  </si>
  <si>
    <t>Lock Off Stop</t>
  </si>
  <si>
    <t>PRIMARY CRUSHING DISCHARGE CONVEYOR REDUCER COOLING FAN</t>
  </si>
  <si>
    <t>BCV130GB01LCS01</t>
  </si>
  <si>
    <t>PRIMARY CRUSHING DISCHARGE CONVEYOR MOTOR COOLING FAN</t>
  </si>
  <si>
    <t>BCV130FN01LCS01</t>
  </si>
  <si>
    <t>Safety Relay (To Sumation Relay BSR130DX02)</t>
  </si>
  <si>
    <t>DX09</t>
  </si>
  <si>
    <t>S</t>
  </si>
  <si>
    <t>RTDI</t>
  </si>
  <si>
    <t>BR4-2110-E-00118</t>
  </si>
  <si>
    <t>Gearboxoil Temperature</t>
  </si>
  <si>
    <t>RTD02</t>
  </si>
  <si>
    <t>BCV130GB01RTD02</t>
  </si>
  <si>
    <t>Gearboxdrive End Bearing Temperature</t>
  </si>
  <si>
    <t>RTD01</t>
  </si>
  <si>
    <t>BCV130GB01RTD01</t>
  </si>
  <si>
    <t>BMXFCW301S</t>
  </si>
  <si>
    <t>Motor Air Inlet Ambient Temperature</t>
  </si>
  <si>
    <t>RTD09</t>
  </si>
  <si>
    <t>BCV130RTD09</t>
  </si>
  <si>
    <t>BMXART0814</t>
  </si>
  <si>
    <t>Motor Drive End Bearing Temperature</t>
  </si>
  <si>
    <t>RTD08</t>
  </si>
  <si>
    <t>BCV130RTD08</t>
  </si>
  <si>
    <t>Motor Non Drive End Bearing Temperature</t>
  </si>
  <si>
    <t>RTD07</t>
  </si>
  <si>
    <t>BCV130RTD07</t>
  </si>
  <si>
    <t>Motor Blue Winding 2 Temperature</t>
  </si>
  <si>
    <t>RTD06</t>
  </si>
  <si>
    <t>BCV130RTD06</t>
  </si>
  <si>
    <t>Motor White Winding 2 Temperature</t>
  </si>
  <si>
    <t>RTD05</t>
  </si>
  <si>
    <t>BCV130RTD05</t>
  </si>
  <si>
    <t>Motor Red Winding 2 Temperature</t>
  </si>
  <si>
    <t>RTD04</t>
  </si>
  <si>
    <t>BCV130RTD04</t>
  </si>
  <si>
    <t>Motor Blue Winding 1 Temperature</t>
  </si>
  <si>
    <t>RTD03</t>
  </si>
  <si>
    <t>BCV130RTD03</t>
  </si>
  <si>
    <t>Motor White Winding 1 Temperature</t>
  </si>
  <si>
    <t>BCV130RTD02</t>
  </si>
  <si>
    <t>Motor Red Winding 1 Temperature</t>
  </si>
  <si>
    <t>BCV130RTD01</t>
  </si>
  <si>
    <t>BR4-2110-E-00116</t>
  </si>
  <si>
    <t>Flow Rate</t>
  </si>
  <si>
    <t>PRIMARY CRUSHING DISCHARGE CONVEYOR REDUCER LUBRICATION PUMP</t>
  </si>
  <si>
    <t>BCV130PP04FT01</t>
  </si>
  <si>
    <t>PRIMARY CRUSHING DISCHARGE CONVEYOR ORE CONDITIONING SPRAYS</t>
  </si>
  <si>
    <t>FT03</t>
  </si>
  <si>
    <t>BCV130FT03</t>
  </si>
  <si>
    <t>BR4-2110-E-00115</t>
  </si>
  <si>
    <t>BTN130</t>
  </si>
  <si>
    <t>Pressure Transmitter</t>
  </si>
  <si>
    <t>TRANSFER TOWER</t>
  </si>
  <si>
    <t>BTN130PT01</t>
  </si>
  <si>
    <t>BTN130SM01</t>
  </si>
  <si>
    <t>Sump Level</t>
  </si>
  <si>
    <t>TRANSFER TOWER SUMP</t>
  </si>
  <si>
    <t>LT01</t>
  </si>
  <si>
    <t>BTN130SM01LT01</t>
  </si>
  <si>
    <t>BR4-2110-E-00117</t>
  </si>
  <si>
    <t>Ore Conditioning Spray Bar (4 Sprays)</t>
  </si>
  <si>
    <t>SV07</t>
  </si>
  <si>
    <t>BCV130SV07</t>
  </si>
  <si>
    <t>Ore Conditioning Spray Bar (2 Sprays)</t>
  </si>
  <si>
    <t>SV08</t>
  </si>
  <si>
    <t>BCV130SV08</t>
  </si>
  <si>
    <t>Ore Conditioning Spray Bar (1 Sprays)</t>
  </si>
  <si>
    <t>SV09</t>
  </si>
  <si>
    <t>BCV130SV09</t>
  </si>
  <si>
    <t>Agitator Solenoid Valve</t>
  </si>
  <si>
    <t>SV02</t>
  </si>
  <si>
    <t>BTN130PP01SV02</t>
  </si>
  <si>
    <t>Lighting Relay</t>
  </si>
  <si>
    <t>Bcv130 Start Up Warning Siren</t>
  </si>
  <si>
    <t>BCV130YA01</t>
  </si>
  <si>
    <t>Brake Release Solenoid</t>
  </si>
  <si>
    <t>BCV130BK01SV02</t>
  </si>
  <si>
    <t>Brake Lift Solenoid</t>
  </si>
  <si>
    <t>SV01</t>
  </si>
  <si>
    <t>BCV130BK01SV01</t>
  </si>
  <si>
    <t>BCV130CH03</t>
  </si>
  <si>
    <t>In Operating Position</t>
  </si>
  <si>
    <t>Rotable Chute</t>
  </si>
  <si>
    <t>BCV130CH03ZS01</t>
  </si>
  <si>
    <t>BCV130CH01</t>
  </si>
  <si>
    <t>Locked In Position</t>
  </si>
  <si>
    <t>Impact Plate</t>
  </si>
  <si>
    <t>BCV130CH01ZS02</t>
  </si>
  <si>
    <t>BCV130CH01ZS01</t>
  </si>
  <si>
    <t>Isolator</t>
  </si>
  <si>
    <t>FQ03</t>
  </si>
  <si>
    <t>High</t>
  </si>
  <si>
    <t>Temperature</t>
  </si>
  <si>
    <t>PRIMARY CRUSHING DISCHARGE CONVEYOR DRIVE BRAKE HPU</t>
  </si>
  <si>
    <t>BCV130BK01UI01</t>
  </si>
  <si>
    <t>Low</t>
  </si>
  <si>
    <t>Level</t>
  </si>
  <si>
    <t>Brake Caliper 2 Wear</t>
  </si>
  <si>
    <t>PRIMARY CRUSHING DISCHARGE CONVEYOR BRAKE</t>
  </si>
  <si>
    <t>ZS02B</t>
  </si>
  <si>
    <t>BCV130BK01ZS02</t>
  </si>
  <si>
    <t>Lifted</t>
  </si>
  <si>
    <t>Brake Caliper 2</t>
  </si>
  <si>
    <t>ZS02A</t>
  </si>
  <si>
    <t>Brake Caliper 1 Wear</t>
  </si>
  <si>
    <t>ZS01B</t>
  </si>
  <si>
    <t>BCV130BK01ZS01</t>
  </si>
  <si>
    <t>Brake Caliper 1</t>
  </si>
  <si>
    <t>ZS01A</t>
  </si>
  <si>
    <t>Brake Pressure</t>
  </si>
  <si>
    <t>PS01A</t>
  </si>
  <si>
    <t>BCV130BK01PS01</t>
  </si>
  <si>
    <t>Brake</t>
  </si>
  <si>
    <t>BCV130FN02LCS01</t>
  </si>
  <si>
    <t>Blocked Chute Switch 2</t>
  </si>
  <si>
    <t>BCS02</t>
  </si>
  <si>
    <t>BCV130CH03BCS02</t>
  </si>
  <si>
    <t>Blocked Chute Switch 1</t>
  </si>
  <si>
    <t>BCS01</t>
  </si>
  <si>
    <t>BCV130CH03BCS01</t>
  </si>
  <si>
    <t>Belt Drift Switch 4</t>
  </si>
  <si>
    <t>BDS04</t>
  </si>
  <si>
    <t>BCV130BDS04</t>
  </si>
  <si>
    <t>Belt Drift Switch 3</t>
  </si>
  <si>
    <t>BDS03</t>
  </si>
  <si>
    <t>BCV130BDS03</t>
  </si>
  <si>
    <t>Belt Drift Switch 2</t>
  </si>
  <si>
    <t>BDS02</t>
  </si>
  <si>
    <t>BCV130BDS02</t>
  </si>
  <si>
    <t>Belt Drift Switch 1</t>
  </si>
  <si>
    <t>BDS01</t>
  </si>
  <si>
    <t>BCV130BDS01</t>
  </si>
  <si>
    <t>Take-Up Tower Lower Position</t>
  </si>
  <si>
    <t>ZS04</t>
  </si>
  <si>
    <t>BCV130ZS04</t>
  </si>
  <si>
    <t>Take-Up Tower Upper Position</t>
  </si>
  <si>
    <t>ZS03</t>
  </si>
  <si>
    <t>BCV130ZS03</t>
  </si>
  <si>
    <t>Take-Up Trolley Inner Position</t>
  </si>
  <si>
    <t>BCV130ZS02</t>
  </si>
  <si>
    <t>Take-Up Trolley Outer Position</t>
  </si>
  <si>
    <t>BCV130ZS01</t>
  </si>
  <si>
    <t>D</t>
  </si>
  <si>
    <t>BR4-2110-E-00113</t>
  </si>
  <si>
    <t>Q196</t>
  </si>
  <si>
    <t>Q192</t>
  </si>
  <si>
    <t>Q188</t>
  </si>
  <si>
    <t>24VDC BTN130SM01 Sump Control Supply</t>
  </si>
  <si>
    <t>24VDC BCV130PP03 Sump Control Supply</t>
  </si>
  <si>
    <t>24VDC BCV130FN01 Control Supply</t>
  </si>
  <si>
    <t>24VDC BCV130BK01 Control Supply</t>
  </si>
  <si>
    <t>Q176</t>
  </si>
  <si>
    <t>24VDC BCV130PP04 Control Supply</t>
  </si>
  <si>
    <t>24VDC BCV130COO01 Control Supply</t>
  </si>
  <si>
    <t>24VDC BCV130 Field Control Supply</t>
  </si>
  <si>
    <t>Q168</t>
  </si>
  <si>
    <t>24VDC Transmitter Supply</t>
  </si>
  <si>
    <t>Q164</t>
  </si>
  <si>
    <t>24VDC Instrument Supply</t>
  </si>
  <si>
    <t>Q157</t>
  </si>
  <si>
    <t>24VDC GW1 Control Supply</t>
  </si>
  <si>
    <t>Q143</t>
  </si>
  <si>
    <t>24VDC DIO1 Output Control Supply</t>
  </si>
  <si>
    <t>Q106</t>
  </si>
  <si>
    <t>EIO node #9</t>
  </si>
  <si>
    <t>BCV130DX09 - Primary Crusher Discharge Conveyor - Head End</t>
  </si>
  <si>
    <t>BR4-2110-E-00110</t>
  </si>
  <si>
    <t>Pullwire Switch 8</t>
  </si>
  <si>
    <t xml:space="preserve">PRIMARY CRUSHING DISCHARGE CONVEYOR </t>
  </si>
  <si>
    <t>PWS08</t>
  </si>
  <si>
    <t>BCV130PWS08</t>
  </si>
  <si>
    <t>Pullwire Switch 7</t>
  </si>
  <si>
    <t>PWS07</t>
  </si>
  <si>
    <t>BCV130PWS07</t>
  </si>
  <si>
    <t>Pullwire Switch 6</t>
  </si>
  <si>
    <t>PWS06</t>
  </si>
  <si>
    <t>BCV130PWS06</t>
  </si>
  <si>
    <t>Pullwire Switch 5</t>
  </si>
  <si>
    <t>PWS05</t>
  </si>
  <si>
    <t>BCV130PWS05</t>
  </si>
  <si>
    <t>DE-WATERING PLOUGH SUMP PUMP</t>
  </si>
  <si>
    <t>BCV130PP03LCS01</t>
  </si>
  <si>
    <t>BR4-2110-E-00111</t>
  </si>
  <si>
    <t>BCV130MT01 &amp; EM02</t>
  </si>
  <si>
    <t>Emetgency Stop Contact (BCV130MT01 &amp; EM02)</t>
  </si>
  <si>
    <t>Emergency Stop Contact (BCV130PP02)</t>
  </si>
  <si>
    <t>Emergency Stop Contact (BCV130FN04)</t>
  </si>
  <si>
    <t>Emergency Stop Contact (BCV130FN03)</t>
  </si>
  <si>
    <t>DX08</t>
  </si>
  <si>
    <t>BR4-2110-E-00526/1</t>
  </si>
  <si>
    <t>BR4-2110-E-00112</t>
  </si>
  <si>
    <t>Weightometer</t>
  </si>
  <si>
    <t>TRAMP METAL MAGNET</t>
  </si>
  <si>
    <t>WT01</t>
  </si>
  <si>
    <t>BCV130MA01WT01</t>
  </si>
  <si>
    <t>BCV130SM01</t>
  </si>
  <si>
    <t>DE-WATERING PLOUGH SUMP</t>
  </si>
  <si>
    <t>BCV130SM01LT01</t>
  </si>
  <si>
    <t>Voltage</t>
  </si>
  <si>
    <t>XT01</t>
  </si>
  <si>
    <t>BCV130MA01XT01</t>
  </si>
  <si>
    <t>Current</t>
  </si>
  <si>
    <t>IT01</t>
  </si>
  <si>
    <t>BCV130MA01IT01</t>
  </si>
  <si>
    <t>BCV130PP03SV02</t>
  </si>
  <si>
    <t>Start Up Warning Siren 3</t>
  </si>
  <si>
    <t>YA03</t>
  </si>
  <si>
    <t>BCV130YA03</t>
  </si>
  <si>
    <t>Start Up Warning Siren 2</t>
  </si>
  <si>
    <t>YA02</t>
  </si>
  <si>
    <t>BCV130YA02</t>
  </si>
  <si>
    <t>Start Up Warning</t>
  </si>
  <si>
    <t>Cleaning Position Light</t>
  </si>
  <si>
    <t>IL12</t>
  </si>
  <si>
    <t>Operating Position Light</t>
  </si>
  <si>
    <t>IL11</t>
  </si>
  <si>
    <t>Maintenance Position Light</t>
  </si>
  <si>
    <t>IL10</t>
  </si>
  <si>
    <t>Cleaning Cycle In Progress Light</t>
  </si>
  <si>
    <t>IL09</t>
  </si>
  <si>
    <t>Cooling Fault Light</t>
  </si>
  <si>
    <t>IL08</t>
  </si>
  <si>
    <t>Cooling Running Light</t>
  </si>
  <si>
    <t>IL07</t>
  </si>
  <si>
    <t>Trolley Fault Light</t>
  </si>
  <si>
    <t>IL06</t>
  </si>
  <si>
    <t>Magnet Fault Light</t>
  </si>
  <si>
    <t>IL05</t>
  </si>
  <si>
    <t>Magnet Running Light</t>
  </si>
  <si>
    <t>IL04</t>
  </si>
  <si>
    <t>Mains Healthy Light</t>
  </si>
  <si>
    <t>Local Mode Light</t>
  </si>
  <si>
    <t>Auto Mode Light</t>
  </si>
  <si>
    <t>Reduced Power Contactor</t>
  </si>
  <si>
    <t>Full Power Contactor</t>
  </si>
  <si>
    <t>BCV130MT01</t>
  </si>
  <si>
    <t>415V Mains Isolator</t>
  </si>
  <si>
    <t>TRAMP METAL MAGNET LONG TRAVEL TROLLEY</t>
  </si>
  <si>
    <t>IS02</t>
  </si>
  <si>
    <t>BCV130MT02</t>
  </si>
  <si>
    <t>TRAMP METAL MAGNET OIL COOLER</t>
  </si>
  <si>
    <t>BR4-2110-E-00526 / 1</t>
  </si>
  <si>
    <t>Oil Temperature</t>
  </si>
  <si>
    <t>Magnet Oil Flow</t>
  </si>
  <si>
    <t>TRAMP METAL MAGNET OIL PUMP</t>
  </si>
  <si>
    <t>Overtension Arm</t>
  </si>
  <si>
    <t>ZS06</t>
  </si>
  <si>
    <t>Maintenance Overtravel</t>
  </si>
  <si>
    <t>ZS05</t>
  </si>
  <si>
    <t>Maintenance Position</t>
  </si>
  <si>
    <t>Operating Position</t>
  </si>
  <si>
    <t>Cleaning Position</t>
  </si>
  <si>
    <t>Cleaning Overtravel</t>
  </si>
  <si>
    <t>PB09</t>
  </si>
  <si>
    <t>Lamp Test</t>
  </si>
  <si>
    <t>PB08</t>
  </si>
  <si>
    <t>Cooling Stop</t>
  </si>
  <si>
    <t>PB07</t>
  </si>
  <si>
    <t>Cooling Start</t>
  </si>
  <si>
    <t>PB06</t>
  </si>
  <si>
    <t>Trolley Reverse South (Cleaning)</t>
  </si>
  <si>
    <t>PB05</t>
  </si>
  <si>
    <t>Trolley Stop</t>
  </si>
  <si>
    <t>PB04</t>
  </si>
  <si>
    <t>Trolley Forward North (Maintenance)</t>
  </si>
  <si>
    <t>PB03</t>
  </si>
  <si>
    <t>Magnet Stop</t>
  </si>
  <si>
    <t>PB02</t>
  </si>
  <si>
    <t>Magnet Start Reduced Power</t>
  </si>
  <si>
    <t>Magnet Start Full Power</t>
  </si>
  <si>
    <t>RLY03</t>
  </si>
  <si>
    <t>Fans Running Relay</t>
  </si>
  <si>
    <t>Reduced Power Circuit Breaker</t>
  </si>
  <si>
    <t>Full Power Circuit Breaker</t>
  </si>
  <si>
    <t>415VAC Mains Circuit Breaker</t>
  </si>
  <si>
    <t>RLY02</t>
  </si>
  <si>
    <t>Transformer/Rectifier Overtemperature</t>
  </si>
  <si>
    <t>RLY01</t>
  </si>
  <si>
    <t>Mains Phase Fail Relay</t>
  </si>
  <si>
    <t>Vendor drgs</t>
  </si>
  <si>
    <t>BCV130MD02</t>
  </si>
  <si>
    <t>Bypassed</t>
  </si>
  <si>
    <t>Unit</t>
  </si>
  <si>
    <t>Detected</t>
  </si>
  <si>
    <t>Metal</t>
  </si>
  <si>
    <t>BCV130BP02</t>
  </si>
  <si>
    <t>Position Switch</t>
  </si>
  <si>
    <t>BCV130BP02ZS01</t>
  </si>
  <si>
    <t>BR4-2110-E-00109</t>
  </si>
  <si>
    <t>BCV130MD02 Control Supply</t>
  </si>
  <si>
    <t>24VDC BCV130MT01IS02 Control Supply</t>
  </si>
  <si>
    <t>24VDC BCV130MT01IS01 Control Supply</t>
  </si>
  <si>
    <t>24VDC Tramp Metal Magnet Safety Relay Supply</t>
  </si>
  <si>
    <t>24VDC BCV130DX08 PLC Control Supply</t>
  </si>
  <si>
    <t>240VAC BCV130MD02 Circuit Breaker</t>
  </si>
  <si>
    <t>EIO node #8</t>
  </si>
  <si>
    <t>BCV130DX08 - Primary Crusher Discharge Conveyor - Magnet</t>
  </si>
  <si>
    <t>BR4-2110-E-00107</t>
  </si>
  <si>
    <t>K286</t>
  </si>
  <si>
    <t>BCV130LCS03</t>
  </si>
  <si>
    <t>BCV130LCS02</t>
  </si>
  <si>
    <t>K264</t>
  </si>
  <si>
    <t>Pullwire Switch 14</t>
  </si>
  <si>
    <t>PWS14</t>
  </si>
  <si>
    <t>BCV130PWS14</t>
  </si>
  <si>
    <t>Pullwire Switch 13</t>
  </si>
  <si>
    <t>PWS13</t>
  </si>
  <si>
    <t>BCV130PWS13</t>
  </si>
  <si>
    <t>Pullwire Switch 12</t>
  </si>
  <si>
    <t>PWS12</t>
  </si>
  <si>
    <t>BCV130PWS12</t>
  </si>
  <si>
    <t>Pullwire Switch 11</t>
  </si>
  <si>
    <t>PWS11</t>
  </si>
  <si>
    <t>BCV130PWS11</t>
  </si>
  <si>
    <t>Pullwire Switch 10</t>
  </si>
  <si>
    <t>PWS10</t>
  </si>
  <si>
    <t>BCV130PWS10</t>
  </si>
  <si>
    <t>Pullwire Switch 9</t>
  </si>
  <si>
    <t>PWS09</t>
  </si>
  <si>
    <t>BCV130PWS09</t>
  </si>
  <si>
    <t>Safety Relay (To Sumation Relay Bsr130Dx02)</t>
  </si>
  <si>
    <t>DX07</t>
  </si>
  <si>
    <t>HSCI</t>
  </si>
  <si>
    <t>BR4-2110-E-00108</t>
  </si>
  <si>
    <t>Distance Pulse</t>
  </si>
  <si>
    <t>ZQ01</t>
  </si>
  <si>
    <t>BCV130ZQ01</t>
  </si>
  <si>
    <t>Underspeed Pulse</t>
  </si>
  <si>
    <t>SS01</t>
  </si>
  <si>
    <t>BCV130SS01</t>
  </si>
  <si>
    <t>BMXEHC0800</t>
  </si>
  <si>
    <t>PRIMARY CRUSHING DISCHARGE CONVEYOR BULK ORE CONDITIONING</t>
  </si>
  <si>
    <t>FT04</t>
  </si>
  <si>
    <t>BCV130FT04</t>
  </si>
  <si>
    <t>Bulk Ore Conditioning Solenoid 6</t>
  </si>
  <si>
    <t>SV06</t>
  </si>
  <si>
    <t>BCV130SV06</t>
  </si>
  <si>
    <t>Bulk Ore Conditioning Solenoid 5</t>
  </si>
  <si>
    <t>SV05</t>
  </si>
  <si>
    <t>BCV130SV05</t>
  </si>
  <si>
    <t>Bulk Ore Conditioning Solenoid 4</t>
  </si>
  <si>
    <t>SV04</t>
  </si>
  <si>
    <t>BCV130SV04</t>
  </si>
  <si>
    <t>YA04</t>
  </si>
  <si>
    <t>BCV130YA04</t>
  </si>
  <si>
    <t xml:space="preserve"> </t>
  </si>
  <si>
    <t>BCV130MD01</t>
  </si>
  <si>
    <t>In Position</t>
  </si>
  <si>
    <t>BELT PROFILE SCANNER POSITION SWITCH</t>
  </si>
  <si>
    <t>BCV130AIT01ZS01</t>
  </si>
  <si>
    <t>PRIMARY CRUSHER DISCHARGE CONVEYOR</t>
  </si>
  <si>
    <t>FQ04</t>
  </si>
  <si>
    <t>Belt Rip Switch 3</t>
  </si>
  <si>
    <t>BRS03</t>
  </si>
  <si>
    <t>BCV130BRS03</t>
  </si>
  <si>
    <t>Belt Rip Switch 2</t>
  </si>
  <si>
    <t>BRS02</t>
  </si>
  <si>
    <t>BCV130BRS02</t>
  </si>
  <si>
    <t>Belt Rip Switch 1</t>
  </si>
  <si>
    <t>BRS01</t>
  </si>
  <si>
    <t>BCV130BRS01</t>
  </si>
  <si>
    <t>Belt Drift Switch 8</t>
  </si>
  <si>
    <t>BDS08</t>
  </si>
  <si>
    <t>BCV130BDS08</t>
  </si>
  <si>
    <t>Belt Drift Switch 7</t>
  </si>
  <si>
    <t>BDS07</t>
  </si>
  <si>
    <t>BCV130BDS07</t>
  </si>
  <si>
    <t>Belt Drift Switch 6</t>
  </si>
  <si>
    <t>BDS06</t>
  </si>
  <si>
    <t>BCV130BDS06</t>
  </si>
  <si>
    <t>Belt Drift Switch 5</t>
  </si>
  <si>
    <t>BDS05</t>
  </si>
  <si>
    <t>BCV130BDS05</t>
  </si>
  <si>
    <t>K206</t>
  </si>
  <si>
    <t>BR4-2110-E-00106</t>
  </si>
  <si>
    <t>240VAC XT01 Circuit Breaker</t>
  </si>
  <si>
    <t>BCV130AIT01  Control Supply</t>
  </si>
  <si>
    <t>BCV130XT01PN01 Control Supply</t>
  </si>
  <si>
    <t>BCV130MO01AX01  Control Supply</t>
  </si>
  <si>
    <t>BCV130MD01 Control Supply</t>
  </si>
  <si>
    <t>BCV130WM01 Control Supply</t>
  </si>
  <si>
    <t>24VDC BCV1310DX07 PLC Control Supply</t>
  </si>
  <si>
    <t>240VAC MD01 Circuit Breaker</t>
  </si>
  <si>
    <t>EIO node #7</t>
  </si>
  <si>
    <t>BCV130DX07 - Primary Crusher Discharge Conveyor - Tail End</t>
  </si>
  <si>
    <t>BR4-2110-E-00104</t>
  </si>
  <si>
    <t>BRB13x</t>
  </si>
  <si>
    <t>K253-2</t>
  </si>
  <si>
    <t>Emergency Shutdown</t>
  </si>
  <si>
    <t>BRB13x MASTER  (to BRB133PN01 trip)</t>
  </si>
  <si>
    <t>PNOZs4.1</t>
  </si>
  <si>
    <t>K253-1</t>
  </si>
  <si>
    <t>BRB13x MASTER  (to BRB131PN01 trip)</t>
  </si>
  <si>
    <t>BRB13X</t>
  </si>
  <si>
    <t>Emergency Shutdown 5</t>
  </si>
  <si>
    <t>ROM BIN AND PRIMARY CRUSHER ROCKBREAKERS</t>
  </si>
  <si>
    <t>SY05</t>
  </si>
  <si>
    <t>BRB13xSY05</t>
  </si>
  <si>
    <t>K220</t>
  </si>
  <si>
    <t>ROM BIN APRON FEEDER ISOLATION GATE</t>
  </si>
  <si>
    <t>BAF130GA01LCS01</t>
  </si>
  <si>
    <t>K202</t>
  </si>
  <si>
    <t>ROM BIN APRON APRON FEEDER ISOLATION GATE HPU</t>
  </si>
  <si>
    <t>BAF130PP05LCS01</t>
  </si>
  <si>
    <t>BBDDX06-C2 FROM BSR130DX02</t>
  </si>
  <si>
    <t xml:space="preserve">SUB LINK </t>
  </si>
  <si>
    <t>PRIMARY CRUSHER AREA SUMP PUMP</t>
  </si>
  <si>
    <t>BBD130PP01LCS01</t>
  </si>
  <si>
    <t>DUST COLLECTOR ROTARY VALVE</t>
  </si>
  <si>
    <t>BDU130RV01LCS01</t>
  </si>
  <si>
    <t>DUST COLLECTOR FAN</t>
  </si>
  <si>
    <t>BDU130FN01LCS01</t>
  </si>
  <si>
    <t>BBDDX06-C1 FROM BSR130DX01</t>
  </si>
  <si>
    <t>ROM Bin Apron Feeder Iso. Gate   To BSR130DX01 Master Relay</t>
  </si>
  <si>
    <t>DX06</t>
  </si>
  <si>
    <t>BBD130</t>
  </si>
  <si>
    <t>BR4-2110-E-00125</t>
  </si>
  <si>
    <t>BAF130HP02</t>
  </si>
  <si>
    <t>ROM BIN APRON FEEDER ISOLATION GATE HPU</t>
  </si>
  <si>
    <t>TT01</t>
  </si>
  <si>
    <t>BAF130HP02TT01</t>
  </si>
  <si>
    <t>BDU130</t>
  </si>
  <si>
    <t>Differential Pressure</t>
  </si>
  <si>
    <t xml:space="preserve">DUST COLLECTOR </t>
  </si>
  <si>
    <t>BDU130PDIT01</t>
  </si>
  <si>
    <t>Filter Air Pressure</t>
  </si>
  <si>
    <t>DUST COLLECTOR COMPRESSOR</t>
  </si>
  <si>
    <t>BDU130CP01PT01</t>
  </si>
  <si>
    <t>BBD130SM01</t>
  </si>
  <si>
    <t>PRIMARY CRUSHER AREA SUMP</t>
  </si>
  <si>
    <t>BBD130SM01LT01</t>
  </si>
  <si>
    <t>Closed Indicator Light</t>
  </si>
  <si>
    <t>YL02</t>
  </si>
  <si>
    <t>BAF130GA01YL02</t>
  </si>
  <si>
    <t>Open Indicator Light</t>
  </si>
  <si>
    <t>YL01</t>
  </si>
  <si>
    <t>BAF130GA01YL01</t>
  </si>
  <si>
    <t>Close Solenoid</t>
  </si>
  <si>
    <t>BAF130GA01SV02</t>
  </si>
  <si>
    <t>Open Solenoid</t>
  </si>
  <si>
    <t>BAF130GA01SV01</t>
  </si>
  <si>
    <t>Start Up Warning Siren</t>
  </si>
  <si>
    <t>BAF130GA01YA01</t>
  </si>
  <si>
    <t>Hydraulic Pump Running</t>
  </si>
  <si>
    <t>BR4-2110-E-00105</t>
  </si>
  <si>
    <t>BRB132</t>
  </si>
  <si>
    <t>Ok To Deploy</t>
  </si>
  <si>
    <t>PRIMARY JAW CRUSHER ROCKBREAKER</t>
  </si>
  <si>
    <t>BRB132SR02</t>
  </si>
  <si>
    <t>Ok To Operate</t>
  </si>
  <si>
    <t>BRB132SR01</t>
  </si>
  <si>
    <t>Compressor Enable</t>
  </si>
  <si>
    <t>BDU130CP01SR01</t>
  </si>
  <si>
    <t>BBD130PP01SV02</t>
  </si>
  <si>
    <t>\</t>
  </si>
  <si>
    <t>Flow Switch</t>
  </si>
  <si>
    <t>PRIMARY JAW CRUSHER ROCKBREAKER HPU FIRE SPRINKLER</t>
  </si>
  <si>
    <t>BRB132HP01FS02</t>
  </si>
  <si>
    <t>BRB13xLCS05</t>
  </si>
  <si>
    <t>This Isnt shown on the Termination or Schematics? 00149/00104</t>
  </si>
  <si>
    <t>Boomsafe In Remote Mode</t>
  </si>
  <si>
    <t>BRB132XS07</t>
  </si>
  <si>
    <t>Parked</t>
  </si>
  <si>
    <t>Boomsafe</t>
  </si>
  <si>
    <t>BRB132XS06</t>
  </si>
  <si>
    <t>BRB132XS05</t>
  </si>
  <si>
    <t>HPU In Test/Operate Mode</t>
  </si>
  <si>
    <t>BRB132XS04</t>
  </si>
  <si>
    <t>Safety System</t>
  </si>
  <si>
    <t>BRB132XS03</t>
  </si>
  <si>
    <t>HPU</t>
  </si>
  <si>
    <t>BRB132XS02</t>
  </si>
  <si>
    <t>BRB132XS01</t>
  </si>
  <si>
    <t>Engaged</t>
  </si>
  <si>
    <t>Locking Pin 2B</t>
  </si>
  <si>
    <t>ZS08</t>
  </si>
  <si>
    <t>BAF130GA01ZS08</t>
  </si>
  <si>
    <t>Locking Pin 2A</t>
  </si>
  <si>
    <t>ZS07</t>
  </si>
  <si>
    <t>BAF130GA01ZS07</t>
  </si>
  <si>
    <t>Locking Pin 1B</t>
  </si>
  <si>
    <t>BAF130GA01ZS06</t>
  </si>
  <si>
    <t>Locking Pin 1A</t>
  </si>
  <si>
    <t>BAF130GA01ZS05</t>
  </si>
  <si>
    <t>Actuator 2</t>
  </si>
  <si>
    <t>BAF130GA01ZS04</t>
  </si>
  <si>
    <t>BAF130GA01ZS03</t>
  </si>
  <si>
    <t>Actuator 1</t>
  </si>
  <si>
    <t>BAF130GA01ZS02</t>
  </si>
  <si>
    <t>BAF130GA01ZS01</t>
  </si>
  <si>
    <t>Close Pushbutton</t>
  </si>
  <si>
    <t>Open Pushbutton</t>
  </si>
  <si>
    <t>Pressure Filter 1</t>
  </si>
  <si>
    <t>APRON FEEDER ISOLATION GATE HPU</t>
  </si>
  <si>
    <t>PS05</t>
  </si>
  <si>
    <t>BAF130HP02PS05</t>
  </si>
  <si>
    <t>Return Filter 2</t>
  </si>
  <si>
    <t>PS04</t>
  </si>
  <si>
    <t>BAF130HP02PS04</t>
  </si>
  <si>
    <t>Return Filter 1</t>
  </si>
  <si>
    <t>PS03</t>
  </si>
  <si>
    <t>BAF130HP02PS03</t>
  </si>
  <si>
    <t>Supply Line Pressure</t>
  </si>
  <si>
    <t>BAF130HP02PS01</t>
  </si>
  <si>
    <t>Oil Level Low</t>
  </si>
  <si>
    <t>BAF130HP02LS01</t>
  </si>
  <si>
    <t>BAF130HP02FS01</t>
  </si>
  <si>
    <t>Pressure Filter 2</t>
  </si>
  <si>
    <t>PS06</t>
  </si>
  <si>
    <t>BAF130HP02PS06</t>
  </si>
  <si>
    <t>BBD130PP01LCS03</t>
  </si>
  <si>
    <t>BDU130DY01</t>
  </si>
  <si>
    <t>General</t>
  </si>
  <si>
    <t>DUST COLLECTOR DRYER</t>
  </si>
  <si>
    <t>Running Contactor</t>
  </si>
  <si>
    <t>Power</t>
  </si>
  <si>
    <t>K187</t>
  </si>
  <si>
    <t>DUST COLLECTOR FAN MOTOR</t>
  </si>
  <si>
    <t>BDU130RV01SS01</t>
  </si>
  <si>
    <t>Local Isolator</t>
  </si>
  <si>
    <t>BDU130HOP01</t>
  </si>
  <si>
    <t>Hopper Level</t>
  </si>
  <si>
    <t>DUST COLLECTOR HOPPER</t>
  </si>
  <si>
    <t>LS02</t>
  </si>
  <si>
    <t>BDU130HOP01LS02</t>
  </si>
  <si>
    <t>BDU130HOP01LS01</t>
  </si>
  <si>
    <t>BR4-2110-E-00103</t>
  </si>
  <si>
    <t>BBD130DX06</t>
  </si>
  <si>
    <t>Spare 24VDC Control Supply</t>
  </si>
  <si>
    <t>24VDC Dust Collector Control Supply</t>
  </si>
  <si>
    <t>24VDC DUST COLLETOR CONTROL SUPPLY</t>
  </si>
  <si>
    <t>24VDC Rockbreakers Control Supply</t>
  </si>
  <si>
    <t>24VDC ROCKBREAKER CONTROL SUPPLY</t>
  </si>
  <si>
    <t>24VDC Apron Feeder Isolation Gate Control Supply</t>
  </si>
  <si>
    <t>24VDC APRON FEEDER ISOLATION GATE CONTROL SUPPLY</t>
  </si>
  <si>
    <t>24VDC TRANSMITTER SUPPLY</t>
  </si>
  <si>
    <t>24VDC INSTRUMENT SUPPLY</t>
  </si>
  <si>
    <t>24VDC GW1 CONTROL SUPPLY</t>
  </si>
  <si>
    <t>24VDC DIO1 OUTPUT CONTROL SUPPLY</t>
  </si>
  <si>
    <t>240VAC CIRCUIT BREAKER</t>
  </si>
  <si>
    <t>mm</t>
  </si>
  <si>
    <t xml:space="preserve">there's enough room for 40 terminals including earthss </t>
  </si>
  <si>
    <t>EIO node #6</t>
  </si>
  <si>
    <t>BBD130DX06 - Primary Crusher Building - Building</t>
  </si>
  <si>
    <t>BR4-2110-E-00099</t>
  </si>
  <si>
    <t>K266</t>
  </si>
  <si>
    <t>BRB13x MASTER  (to BRB132PN01 trip)</t>
  </si>
  <si>
    <t>K266-2</t>
  </si>
  <si>
    <t>K266-1</t>
  </si>
  <si>
    <t>Emergency Shutdown 4</t>
  </si>
  <si>
    <t>BRB13xLCS04</t>
  </si>
  <si>
    <t>Emergency Shutdown 3</t>
  </si>
  <si>
    <t>BRB13xLCS03</t>
  </si>
  <si>
    <t>BR4-2110-E-00100</t>
  </si>
  <si>
    <t>BJC130HP01</t>
  </si>
  <si>
    <t>PRIMARY JAW CRUSHER HPU</t>
  </si>
  <si>
    <t>BJC130HP01LCS01</t>
  </si>
  <si>
    <t>K218</t>
  </si>
  <si>
    <t>PRIMARY JAW CRUSHER</t>
  </si>
  <si>
    <t>BJC130LCS02</t>
  </si>
  <si>
    <t>BJC130LCS01</t>
  </si>
  <si>
    <t>Sub Link</t>
  </si>
  <si>
    <t>PRIMARY JAW CRUSHER LUBRICATION UNIT</t>
  </si>
  <si>
    <t>BJC130LU01LCS01</t>
  </si>
  <si>
    <t>Rom Bin Apron Feeder  To Bsr130Dx01 Master Relay</t>
  </si>
  <si>
    <t>ROM BIN APRON FEEDER HPU</t>
  </si>
  <si>
    <t>DX05</t>
  </si>
  <si>
    <t xml:space="preserve">PRIMARY JAW CRUSHER </t>
  </si>
  <si>
    <t>BJC130SS01</t>
  </si>
  <si>
    <t>BR4-2110-E-00102</t>
  </si>
  <si>
    <t>Pitman Right Bearing Temperature</t>
  </si>
  <si>
    <t>TT04</t>
  </si>
  <si>
    <t>BJC130TT04</t>
  </si>
  <si>
    <t>Pitman Left Bearing Temperature</t>
  </si>
  <si>
    <t>TT03</t>
  </si>
  <si>
    <t>BJC130TT03</t>
  </si>
  <si>
    <t>Frame Right Bearing Temperature</t>
  </si>
  <si>
    <t>TT02</t>
  </si>
  <si>
    <t>BJC130TT02</t>
  </si>
  <si>
    <t>Frame Left Bearing Temperature</t>
  </si>
  <si>
    <t>BJC130TT01</t>
  </si>
  <si>
    <t>BR4-2110-E-00101</t>
  </si>
  <si>
    <t>BJC130LU01</t>
  </si>
  <si>
    <t>Grease Level</t>
  </si>
  <si>
    <t>BJC130LU01LT01</t>
  </si>
  <si>
    <t>PSI</t>
  </si>
  <si>
    <t>Grease Line 2 End Of Line Pressure</t>
  </si>
  <si>
    <t>PT05</t>
  </si>
  <si>
    <t>BJC130LU01PT05</t>
  </si>
  <si>
    <t>Grease Line 1 End Of Line Pressure</t>
  </si>
  <si>
    <t>PT04</t>
  </si>
  <si>
    <t>BJC130LU01PT04</t>
  </si>
  <si>
    <t>Oil Pressure</t>
  </si>
  <si>
    <t>PT03</t>
  </si>
  <si>
    <t>BJC130LU01PT03</t>
  </si>
  <si>
    <t>Grease Line 2 Start Of Line Pressure</t>
  </si>
  <si>
    <t>BJC130LU01PT02</t>
  </si>
  <si>
    <t>Grease Line 1 Start Of Line Pressure</t>
  </si>
  <si>
    <t>BJC130LU01PT01</t>
  </si>
  <si>
    <t>TEMPERATURE TRANSMITTER</t>
  </si>
  <si>
    <t>BJC130HP01TT01</t>
  </si>
  <si>
    <t>PRIMARY CRUSHING BUILDING</t>
  </si>
  <si>
    <t>PT20</t>
  </si>
  <si>
    <t>BBD130PT20</t>
  </si>
  <si>
    <t>Gap Setting Measurement</t>
  </si>
  <si>
    <t>BJC130ZT01</t>
  </si>
  <si>
    <t>Chute Level</t>
  </si>
  <si>
    <t>BJC130LT01</t>
  </si>
  <si>
    <t>End Of Line 2 Cycle Complete Indicator Light</t>
  </si>
  <si>
    <t>BJC130LU01YL02</t>
  </si>
  <si>
    <t>End Of Line 1 Cycle Complete Indicator Light</t>
  </si>
  <si>
    <t>BJC130LU01YL01</t>
  </si>
  <si>
    <t>K399</t>
  </si>
  <si>
    <t>Grease Line 2 Solenoid Valve</t>
  </si>
  <si>
    <t>SV03</t>
  </si>
  <si>
    <t>BJC130LU01SV03</t>
  </si>
  <si>
    <t>K397</t>
  </si>
  <si>
    <t>Grease Line 1 Solenoid Valve</t>
  </si>
  <si>
    <t>BJC130LU01SV02</t>
  </si>
  <si>
    <t>K395</t>
  </si>
  <si>
    <t>Pump Solenoid Valve</t>
  </si>
  <si>
    <t>BJC130LU01SV01</t>
  </si>
  <si>
    <t>K349</t>
  </si>
  <si>
    <t>Setting Decrease</t>
  </si>
  <si>
    <t>K347</t>
  </si>
  <si>
    <t>Crusher Running</t>
  </si>
  <si>
    <t>K345</t>
  </si>
  <si>
    <t>Setting Mode</t>
  </si>
  <si>
    <t>K343</t>
  </si>
  <si>
    <t>Setting Increase</t>
  </si>
  <si>
    <t>BJC130YA01</t>
  </si>
  <si>
    <t>Blocked</t>
  </si>
  <si>
    <t>Outlet Filter</t>
  </si>
  <si>
    <t>PS02</t>
  </si>
  <si>
    <t>BJC130LU01PS02</t>
  </si>
  <si>
    <t>Inlet Filter</t>
  </si>
  <si>
    <t>BJC130LU01PS01</t>
  </si>
  <si>
    <t>Oil Level</t>
  </si>
  <si>
    <t>BJC130LU01LS01</t>
  </si>
  <si>
    <t>Cycled</t>
  </si>
  <si>
    <t>Grease End Of Line 9,10</t>
  </si>
  <si>
    <t>BJC130LU01ZS05</t>
  </si>
  <si>
    <t>Grease End Of Line 7,8</t>
  </si>
  <si>
    <t>BJC130LU01ZS04</t>
  </si>
  <si>
    <t>Grease End Of Line 5,6</t>
  </si>
  <si>
    <t>BJC130LU01ZS03</t>
  </si>
  <si>
    <t>Grease End Of Line 3,4</t>
  </si>
  <si>
    <t>BJC130LU01ZS02</t>
  </si>
  <si>
    <t>Grease End Of Line 1,2</t>
  </si>
  <si>
    <t>BJC130LU01ZS01</t>
  </si>
  <si>
    <t>Toggle Plate Switch</t>
  </si>
  <si>
    <t>BJC130ZS01</t>
  </si>
  <si>
    <t>Pressure Switch Clamping Low Limit</t>
  </si>
  <si>
    <t>BJC130HP01PS01</t>
  </si>
  <si>
    <t>Oil Tank Temperature</t>
  </si>
  <si>
    <t>BJC130HP01UE01</t>
  </si>
  <si>
    <t>Oil Tank Level</t>
  </si>
  <si>
    <t>Oil Return Filter</t>
  </si>
  <si>
    <t>PDSH01</t>
  </si>
  <si>
    <t>BJC130HP01PDSH01</t>
  </si>
  <si>
    <t>PIT01</t>
  </si>
  <si>
    <t>Toggle Cylinder Pressure</t>
  </si>
  <si>
    <t>Setting Lightening</t>
  </si>
  <si>
    <t>K234</t>
  </si>
  <si>
    <t>Q9</t>
  </si>
  <si>
    <t>HPU Pump</t>
  </si>
  <si>
    <t>Q1</t>
  </si>
  <si>
    <t>Main Switch</t>
  </si>
  <si>
    <t>SY04</t>
  </si>
  <si>
    <t>SY03</t>
  </si>
  <si>
    <t>K293</t>
  </si>
  <si>
    <t>Thermistor</t>
  </si>
  <si>
    <t>PRIMARY JAW CRUSHER DISCHARGE CHUTE</t>
  </si>
  <si>
    <t>BJC130CH02BCS01</t>
  </si>
  <si>
    <t>BR4-2110-E-00098</t>
  </si>
  <si>
    <t>BBD130DX05</t>
  </si>
  <si>
    <t xml:space="preserve">24VDC BJC130LU01 Control Supply </t>
  </si>
  <si>
    <t xml:space="preserve">24VDC BJC130HP01 Control Supply </t>
  </si>
  <si>
    <t xml:space="preserve">24VDC BJC130ZT01 Gap Setting Control Supply </t>
  </si>
  <si>
    <t>24VDC BRB13x Instrument Control Supply</t>
  </si>
  <si>
    <t>24VDC BJC130 Control Supply</t>
  </si>
  <si>
    <t>EIO node #5</t>
  </si>
  <si>
    <t>BBD130DX05 - Primary Crusher Building - Primary Crusher</t>
  </si>
  <si>
    <t>BR4-2110-E-00094</t>
  </si>
  <si>
    <t>BAF130HP01</t>
  </si>
  <si>
    <t>K271</t>
  </si>
  <si>
    <t>BAF130HP01LCS01</t>
  </si>
  <si>
    <t>ROM BIN APRON FEEDER</t>
  </si>
  <si>
    <t>BAF130LCS01</t>
  </si>
  <si>
    <t>BAF130PWS02</t>
  </si>
  <si>
    <t>BAF130PWS01</t>
  </si>
  <si>
    <t>VIBRATING GRIZZLY</t>
  </si>
  <si>
    <t>BVG130LCS01</t>
  </si>
  <si>
    <t>ROM BIN APRON FEEDER LUBRICATION UNIT</t>
  </si>
  <si>
    <t>BAF130LU01LCS01</t>
  </si>
  <si>
    <t>DEVICE</t>
  </si>
  <si>
    <t>LOS To Master Relay BSR130DX01</t>
  </si>
  <si>
    <t>ROM BIN APRON FEEDER HPU COOLING FANS</t>
  </si>
  <si>
    <t>BAF130HP01LCS02</t>
  </si>
  <si>
    <t>ROM Bin Apron Feeder To BSR130DX01 Master Relay</t>
  </si>
  <si>
    <t>DX04</t>
  </si>
  <si>
    <t>BR4-2110-E-00095</t>
  </si>
  <si>
    <t>BVG130SS01</t>
  </si>
  <si>
    <t>BAF130SS01</t>
  </si>
  <si>
    <t>BR4-2110-E-00092</t>
  </si>
  <si>
    <t>Pump Group 2 Case Drain Flow</t>
  </si>
  <si>
    <t>BAF130HP01FT03</t>
  </si>
  <si>
    <t>Pump Group 1 Case Drain Flow</t>
  </si>
  <si>
    <t>BAF130HP01FT02</t>
  </si>
  <si>
    <t xml:space="preserve">Hydraulic Motor Drain Flow </t>
  </si>
  <si>
    <t>BAF130HP01FT01</t>
  </si>
  <si>
    <t>BR4-2110-E-00097</t>
  </si>
  <si>
    <t>Flow Transmitter</t>
  </si>
  <si>
    <t>VIBRATING GRIZZLY DUST SUPPRESSION</t>
  </si>
  <si>
    <t>FT21</t>
  </si>
  <si>
    <t>BBD130FT21</t>
  </si>
  <si>
    <t>BR4-2110-E-00096</t>
  </si>
  <si>
    <t>Level Indicating Transmitter 2</t>
  </si>
  <si>
    <t>BAF130LT02</t>
  </si>
  <si>
    <t>Level Indicating Transmitter 1</t>
  </si>
  <si>
    <t>BAF130LT01</t>
  </si>
  <si>
    <t>Oil Cooler Outlet Temperature</t>
  </si>
  <si>
    <t>BAF130HP01TT03</t>
  </si>
  <si>
    <t>Oil Cooler Inlet Temperature</t>
  </si>
  <si>
    <t>BAF130HP01TT02</t>
  </si>
  <si>
    <t>BAF130LU01</t>
  </si>
  <si>
    <t>Grease Level Transducer</t>
  </si>
  <si>
    <t>BAF130LU01LT01</t>
  </si>
  <si>
    <t>End Of Line 2 Pressure Transducer</t>
  </si>
  <si>
    <t>BAF130LU01PT05</t>
  </si>
  <si>
    <t>End Of Line 1 Pressure Transducer</t>
  </si>
  <si>
    <t>BAF130LU01PT04</t>
  </si>
  <si>
    <t>Oil Pressure Transducer</t>
  </si>
  <si>
    <t>BAF130LU01PT03</t>
  </si>
  <si>
    <t>Grease Line 2 Pressure Transducer</t>
  </si>
  <si>
    <t>BAF130LU01PT02</t>
  </si>
  <si>
    <t>Grease  Line 1 Pressure Transducer</t>
  </si>
  <si>
    <t>BAF130LU01PT01</t>
  </si>
  <si>
    <t>Enable</t>
  </si>
  <si>
    <t>Grease End Of Line 2 Cycle Complete</t>
  </si>
  <si>
    <t>BAF130LU01YL02</t>
  </si>
  <si>
    <t>Grease End Of Line 1 Cycle Complete</t>
  </si>
  <si>
    <t>BAF130LU01YL01</t>
  </si>
  <si>
    <t>Grease Inlet Shut Off Valve</t>
  </si>
  <si>
    <t>BAF130LU01SV04</t>
  </si>
  <si>
    <t>BAF130LU01SV03</t>
  </si>
  <si>
    <t>BAF130LU01SV02</t>
  </si>
  <si>
    <t>Oil Pump Solenoid Valve</t>
  </si>
  <si>
    <t>BAF130LU01SV01</t>
  </si>
  <si>
    <t>Dust Suppression Solenoid Valve</t>
  </si>
  <si>
    <t>SV13</t>
  </si>
  <si>
    <t>BBD130SV13</t>
  </si>
  <si>
    <t>BVG130YA02</t>
  </si>
  <si>
    <t>Hpu Stop Interlock</t>
  </si>
  <si>
    <t>SR03</t>
  </si>
  <si>
    <t>Hpu Pump 2 Running Relay</t>
  </si>
  <si>
    <t>Hpu Pump 1 Running Relay</t>
  </si>
  <si>
    <t>Start Up Warning Siren 1</t>
  </si>
  <si>
    <t>BAF130YA01</t>
  </si>
  <si>
    <t>Pump 2B Suction Isolation Valve</t>
  </si>
  <si>
    <t>BAF130PP02ZS02</t>
  </si>
  <si>
    <t>Pump 2A Suction Isolation Valve</t>
  </si>
  <si>
    <t>BAF130PP02ZS01</t>
  </si>
  <si>
    <t>Pump 1B Suction Isolation Valve</t>
  </si>
  <si>
    <t>BAF130PP01ZS02</t>
  </si>
  <si>
    <t>Pump 1A Suction Isolation Valve</t>
  </si>
  <si>
    <t>BAF130PP01ZS01</t>
  </si>
  <si>
    <t>Fire Detection Temperature</t>
  </si>
  <si>
    <t>BAF130HP01TS01</t>
  </si>
  <si>
    <t>Pump 2B Pressure</t>
  </si>
  <si>
    <t>PS07</t>
  </si>
  <si>
    <t>BAF130PP02PS07</t>
  </si>
  <si>
    <t>Pump 2A Pressure</t>
  </si>
  <si>
    <t>BAF130PP02PS06</t>
  </si>
  <si>
    <t>Pump 1B Pressure</t>
  </si>
  <si>
    <t>BAF130PP01PS07</t>
  </si>
  <si>
    <t>Pump 1A Pressure</t>
  </si>
  <si>
    <t>BAF130PP01PS06</t>
  </si>
  <si>
    <t>Input moved to (2.4\0.1:22)</t>
  </si>
  <si>
    <t>Ptc Thermistor Relay</t>
  </si>
  <si>
    <t>VIBRATING GRIZZLY DRIVE MOTOR</t>
  </si>
  <si>
    <t>ROM BIN APRON FEEDER HPU FIRE SPRINKLER</t>
  </si>
  <si>
    <t>FS04</t>
  </si>
  <si>
    <t>BAF130HP01FS04</t>
  </si>
  <si>
    <t>Metastable Position Switch (B.D.C)</t>
  </si>
  <si>
    <t>BVG130ZS01</t>
  </si>
  <si>
    <t>Grease Pulse Meter</t>
  </si>
  <si>
    <t>BAF130LU01FS01</t>
  </si>
  <si>
    <t>Oil Tank Level  Switch</t>
  </si>
  <si>
    <t>BAF130LU01LS01</t>
  </si>
  <si>
    <t>End Of Line Proximity Switch 2</t>
  </si>
  <si>
    <t>BAF130LU01ZS02</t>
  </si>
  <si>
    <t>End Of Line Proximity Switch 1</t>
  </si>
  <si>
    <t>BAF130LU01ZS01</t>
  </si>
  <si>
    <t xml:space="preserve">Grease Outlet Filter </t>
  </si>
  <si>
    <t>BAF130LU01PS02</t>
  </si>
  <si>
    <t xml:space="preserve">Grease Inlet Filter </t>
  </si>
  <si>
    <t>BAF130LU01PS01</t>
  </si>
  <si>
    <t>Pan Deflection Switch 2</t>
  </si>
  <si>
    <t>BAF130ZS06</t>
  </si>
  <si>
    <t>Pan Deflection Switch 1</t>
  </si>
  <si>
    <t>BAF130ZS05</t>
  </si>
  <si>
    <r>
      <t>Lashing Lug Fwd. Maintena</t>
    </r>
    <r>
      <rPr>
        <sz val="10"/>
        <color rgb="FFFF0000"/>
        <rFont val="Arial"/>
        <family val="2"/>
      </rPr>
      <t>n</t>
    </r>
    <r>
      <rPr>
        <sz val="10"/>
        <rFont val="Arial"/>
        <family val="2"/>
      </rPr>
      <t>ce</t>
    </r>
  </si>
  <si>
    <t>BAF130ZS04</t>
  </si>
  <si>
    <r>
      <t>Lashing Lug Aft. Maintena</t>
    </r>
    <r>
      <rPr>
        <sz val="10"/>
        <color rgb="FFFF0000"/>
        <rFont val="Arial"/>
        <family val="2"/>
      </rPr>
      <t>n</t>
    </r>
    <r>
      <rPr>
        <sz val="10"/>
        <rFont val="Arial"/>
        <family val="2"/>
      </rPr>
      <t>ce</t>
    </r>
  </si>
  <si>
    <t>BAF130ZS03</t>
  </si>
  <si>
    <t>BAF130ZS02</t>
  </si>
  <si>
    <t>BAF130ZS01</t>
  </si>
  <si>
    <t>Start Interlock</t>
  </si>
  <si>
    <t>ROM BIN APRON FEEDER HPU CONDITION CIRCULATION PUMP MOTOR</t>
  </si>
  <si>
    <t>Spider Interlock</t>
  </si>
  <si>
    <t>ROM BIN APRON FEEDER PUMP/MOTOR GROUP 2</t>
  </si>
  <si>
    <t xml:space="preserve">ROM BIN APRON FEEDER PUMP/MOTOR GROUP 1 </t>
  </si>
  <si>
    <t>STP02</t>
  </si>
  <si>
    <t>BAF130CH03</t>
  </si>
  <si>
    <t>Blocked Chute Switch</t>
  </si>
  <si>
    <t>ROM BIN APRON FEEDER DRIBBLE CHUTE 3</t>
  </si>
  <si>
    <t>BAF130CH03BCS01</t>
  </si>
  <si>
    <t>BAF130CH02</t>
  </si>
  <si>
    <t>ROM BIN APRON FEEDER DRIBBLE CHUTE 2</t>
  </si>
  <si>
    <t>BAF130CH02BCS01</t>
  </si>
  <si>
    <t>BAF130CH01</t>
  </si>
  <si>
    <t>ROM BIN APRON FEEDER DRIBBLE CHUTE 1</t>
  </si>
  <si>
    <t>BAF130CH01BCS01</t>
  </si>
  <si>
    <t>REV01</t>
  </si>
  <si>
    <t>Jog Reverse Pushbutton</t>
  </si>
  <si>
    <t>ROM BIN APRON FEEDER HPU COOLING FAN 3</t>
  </si>
  <si>
    <t>STP03</t>
  </si>
  <si>
    <t>STT03</t>
  </si>
  <si>
    <t>ROM BIN APRON FEEDER HPU COOLING FAN 2</t>
  </si>
  <si>
    <t>ROM BIN APRON FEEDER HPU COOLING FAN 1</t>
  </si>
  <si>
    <t>ROM BIN APRON FEEDER PUMP/MOTOR GROUP 2 MOTOR</t>
  </si>
  <si>
    <t>ROM BIN APRON FEEDER PUMP/MOTOR GROUP 1 MOTOR</t>
  </si>
  <si>
    <t>FQ21</t>
  </si>
  <si>
    <t>VIBRATING GRIZZLY DISCHARGE CHUTE</t>
  </si>
  <si>
    <t>BVG130CH01BCS01</t>
  </si>
  <si>
    <t>BR4-2110-E-00093</t>
  </si>
  <si>
    <t>BBD130DX04</t>
  </si>
  <si>
    <t>BAF130LU01PP01 24VDC Control Supply</t>
  </si>
  <si>
    <t>BVG130 24VDC Control Supply</t>
  </si>
  <si>
    <t>BBD130DX04 24VDC Control Supply</t>
  </si>
  <si>
    <t>EIO node #4</t>
  </si>
  <si>
    <t>BBD130DX04 - Primary Crusher Building - Apron Feeder</t>
  </si>
  <si>
    <t>BR4-2110-E-00090</t>
  </si>
  <si>
    <t>TRIP</t>
  </si>
  <si>
    <t>Emergency Shutdown 2</t>
  </si>
  <si>
    <t>BRB13xLCS02</t>
  </si>
  <si>
    <t>Emergency Shutdown 1</t>
  </si>
  <si>
    <t>BRB13xLCS01</t>
  </si>
  <si>
    <t>DX03</t>
  </si>
  <si>
    <t>BR4-2110-E-00091</t>
  </si>
  <si>
    <t>BBN130</t>
  </si>
  <si>
    <t>m</t>
  </si>
  <si>
    <t>Truck Tray Position</t>
  </si>
  <si>
    <t>ROM BIN</t>
  </si>
  <si>
    <t>ZT02</t>
  </si>
  <si>
    <t>BBN130ZT02</t>
  </si>
  <si>
    <t>Truck Wheel Position</t>
  </si>
  <si>
    <t>BBN130ZT01</t>
  </si>
  <si>
    <t>Level Transmitter 2</t>
  </si>
  <si>
    <t>BBN130LT02</t>
  </si>
  <si>
    <t>Level Transmitter 1</t>
  </si>
  <si>
    <t>BBN130LT01</t>
  </si>
  <si>
    <t>Water Addition Solenoid 12</t>
  </si>
  <si>
    <t>SV12</t>
  </si>
  <si>
    <t>BBN130SV12</t>
  </si>
  <si>
    <t>Water Addition Solenoid 11</t>
  </si>
  <si>
    <t>SV11</t>
  </si>
  <si>
    <t>BBN130SV11</t>
  </si>
  <si>
    <t>Water Addition Solenoid 10</t>
  </si>
  <si>
    <t>SV10</t>
  </si>
  <si>
    <t>BBN130SV10</t>
  </si>
  <si>
    <t>Water Addition Solenoid 9</t>
  </si>
  <si>
    <t>BBN130SV09</t>
  </si>
  <si>
    <t>Water Addition Solenoid 8</t>
  </si>
  <si>
    <t>BBN130SV08</t>
  </si>
  <si>
    <t>Water Addition Solenoid 7</t>
  </si>
  <si>
    <t>BBN130SV07</t>
  </si>
  <si>
    <t>Rom Area Lighting Control Relay</t>
  </si>
  <si>
    <t>BRB131</t>
  </si>
  <si>
    <t>Rockbreaker Start Relay</t>
  </si>
  <si>
    <t>BR4-2110-E-00462</t>
  </si>
  <si>
    <t>Dump Permitted</t>
  </si>
  <si>
    <t>Traffic Light Relay</t>
  </si>
  <si>
    <t>No Dump</t>
  </si>
  <si>
    <t>Dust Suppression Solenoid</t>
  </si>
  <si>
    <t>SV14</t>
  </si>
  <si>
    <t>BBN130SV14</t>
  </si>
  <si>
    <t>Water Addition Solenoid 6</t>
  </si>
  <si>
    <t>BBN130SV06</t>
  </si>
  <si>
    <t>Water Addition Solenoid 5</t>
  </si>
  <si>
    <t>BBN130SV05</t>
  </si>
  <si>
    <t>Water Addition Solenoid 4</t>
  </si>
  <si>
    <t>BBN130SV04</t>
  </si>
  <si>
    <t>Water Addition Solenoid 3</t>
  </si>
  <si>
    <t>BBN130SV03</t>
  </si>
  <si>
    <t>Water Addition Solenoid 2</t>
  </si>
  <si>
    <t>BBN130SV02</t>
  </si>
  <si>
    <t>Water Addition Solenoid 1</t>
  </si>
  <si>
    <t>BBN130SV01</t>
  </si>
  <si>
    <t>R456</t>
  </si>
  <si>
    <t>Boomsafe In Remote</t>
  </si>
  <si>
    <t>ROM BIN ROCKBREAKER</t>
  </si>
  <si>
    <t>BRB131XS07</t>
  </si>
  <si>
    <t>R454</t>
  </si>
  <si>
    <t>BRB131XS06</t>
  </si>
  <si>
    <t>R452</t>
  </si>
  <si>
    <t>BRB131XS05</t>
  </si>
  <si>
    <t>R333</t>
  </si>
  <si>
    <t>Hpu In Test / Operate Mode</t>
  </si>
  <si>
    <t>BRB131XS04</t>
  </si>
  <si>
    <t>R331</t>
  </si>
  <si>
    <t>BRB131XS03</t>
  </si>
  <si>
    <t>R329</t>
  </si>
  <si>
    <t>BRB131XS02</t>
  </si>
  <si>
    <t>R327</t>
  </si>
  <si>
    <t>BRB131XS01</t>
  </si>
  <si>
    <t>ROM BIN ROCKBREAKER HPU</t>
  </si>
  <si>
    <t>FS03</t>
  </si>
  <si>
    <t>SPARE ROM BIN  ROCKBREAKER</t>
  </si>
  <si>
    <t>Level Switch High-High</t>
  </si>
  <si>
    <t>BBN130LS01</t>
  </si>
  <si>
    <t>BR4-2110-E-00089</t>
  </si>
  <si>
    <t>BBD130DX03</t>
  </si>
  <si>
    <t>24VDC BRB13x Emergency Shutdown Control Supply</t>
  </si>
  <si>
    <t>24VDC BBD130DX03 PLC Control Supply</t>
  </si>
  <si>
    <t>240VAC Dump Lights Circuit Breaker</t>
  </si>
  <si>
    <t>EIO node #3</t>
  </si>
  <si>
    <t>BBD130DX03 - Primary Crusher Building - ROM Bin</t>
  </si>
  <si>
    <t>T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</si>
</sst>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3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10"/>
      <color indexed="8"/>
      <name val="Cambria"/>
      <family val="1"/>
    </font>
    <font>
      <sz val="10"/>
      <color indexed="8"/>
      <name val="Arial"/>
      <family val="2"/>
    </font>
    <font>
      <sz val="10"/>
      <name val="Cambria"/>
      <family val="1"/>
    </font>
    <font>
      <b/>
      <sz val="10"/>
      <name val="Arial"/>
      <family val="2"/>
    </font>
    <font>
      <strike/>
      <sz val="10"/>
      <name val="Arial"/>
      <family val="2"/>
    </font>
    <font>
      <strike/>
      <sz val="10"/>
      <name val="Calibri"/>
      <family val="2"/>
    </font>
    <font>
      <b/>
      <sz val="10"/>
      <color indexed="8"/>
      <name val="Arial"/>
      <family val="2"/>
    </font>
    <font>
      <b/>
      <sz val="10"/>
      <color rgb="FF0070C0"/>
      <name val="Arial"/>
      <family val="2"/>
    </font>
    <font>
      <sz val="11"/>
      <name val="Calibri"/>
      <family val="2"/>
      <scheme val="minor"/>
    </font>
    <font>
      <strike/>
      <sz val="11"/>
      <name val="Calibri"/>
      <family val="2"/>
      <scheme val="minor"/>
    </font>
    <font>
      <b/>
      <strike/>
      <sz val="10"/>
      <name val="Arial"/>
      <family val="2"/>
    </font>
    <font>
      <b/>
      <sz val="12"/>
      <name val="Arial"/>
      <family val="2"/>
    </font>
    <font>
      <strike/>
      <sz val="10"/>
      <name val="Cambria"/>
      <family val="1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rgb="FF00B0F0"/>
      <name val="Arial"/>
      <family val="2"/>
    </font>
    <font>
      <b/>
      <sz val="10"/>
      <name val="Cambria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B050"/>
      <name val="Arial"/>
      <family val="2"/>
    </font>
    <font>
      <b/>
      <sz val="10"/>
      <color theme="4"/>
      <name val="Arial"/>
      <family val="2"/>
    </font>
    <font>
      <b/>
      <strike/>
      <sz val="10"/>
      <color rgb="FF0070C0"/>
      <name val="Arial"/>
      <family val="2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4" fillId="0" borderId="0"/>
    <xf numFmtId="0" fontId="4" fillId="0" borderId="0"/>
    <xf numFmtId="0" fontId="4" fillId="0" borderId="0"/>
  </cellStyleXfs>
  <cellXfs count="280">
    <xf numFmtId="0" fontId="0" fillId="0" borderId="0" xfId="0"/>
    <xf numFmtId="0" fontId="4" fillId="0" borderId="0" xfId="1" applyFont="1"/>
    <xf numFmtId="0" fontId="3" fillId="0" borderId="0" xfId="1"/>
    <xf numFmtId="0" fontId="4" fillId="0" borderId="0" xfId="1" applyFont="1" applyAlignment="1">
      <alignment horizontal="center"/>
    </xf>
    <xf numFmtId="0" fontId="5" fillId="0" borderId="0" xfId="1" applyFont="1"/>
    <xf numFmtId="0" fontId="8" fillId="0" borderId="0" xfId="1" applyFont="1"/>
    <xf numFmtId="0" fontId="10" fillId="0" borderId="0" xfId="1" applyFont="1"/>
    <xf numFmtId="0" fontId="4" fillId="0" borderId="0" xfId="2"/>
    <xf numFmtId="0" fontId="4" fillId="0" borderId="0" xfId="1" applyFont="1" applyAlignment="1">
      <alignment horizontal="left"/>
    </xf>
    <xf numFmtId="0" fontId="10" fillId="0" borderId="0" xfId="2" applyFont="1"/>
    <xf numFmtId="0" fontId="8" fillId="0" borderId="0" xfId="3" applyFont="1"/>
    <xf numFmtId="0" fontId="8" fillId="0" borderId="0" xfId="3" applyFont="1" applyAlignment="1">
      <alignment horizontal="center"/>
    </xf>
    <xf numFmtId="0" fontId="4" fillId="0" borderId="0" xfId="4"/>
    <xf numFmtId="0" fontId="4" fillId="0" borderId="0" xfId="4" applyAlignment="1">
      <alignment horizontal="left"/>
    </xf>
    <xf numFmtId="0" fontId="4" fillId="2" borderId="0" xfId="1" applyFont="1" applyFill="1" applyAlignment="1">
      <alignment horizontal="center" vertical="center"/>
    </xf>
    <xf numFmtId="0" fontId="4" fillId="3" borderId="2" xfId="4" applyFill="1" applyBorder="1"/>
    <xf numFmtId="0" fontId="4" fillId="0" borderId="3" xfId="4" applyBorder="1"/>
    <xf numFmtId="0" fontId="4" fillId="0" borderId="0" xfId="5"/>
    <xf numFmtId="0" fontId="4" fillId="0" borderId="0" xfId="1" applyFont="1" applyAlignment="1">
      <alignment horizontal="center" vertical="center"/>
    </xf>
    <xf numFmtId="0" fontId="4" fillId="3" borderId="5" xfId="4" applyFill="1" applyBorder="1"/>
    <xf numFmtId="0" fontId="4" fillId="0" borderId="6" xfId="4" applyBorder="1"/>
    <xf numFmtId="0" fontId="4" fillId="0" borderId="0" xfId="4" applyAlignment="1">
      <alignment horizontal="center"/>
    </xf>
    <xf numFmtId="0" fontId="4" fillId="3" borderId="7" xfId="4" applyFill="1" applyBorder="1"/>
    <xf numFmtId="0" fontId="4" fillId="0" borderId="8" xfId="4" applyBorder="1"/>
    <xf numFmtId="0" fontId="11" fillId="0" borderId="0" xfId="1" applyFont="1"/>
    <xf numFmtId="0" fontId="11" fillId="0" borderId="0" xfId="1" applyFont="1" applyAlignment="1">
      <alignment horizontal="center"/>
    </xf>
    <xf numFmtId="0" fontId="4" fillId="0" borderId="0" xfId="3" applyAlignment="1">
      <alignment horizontal="left"/>
    </xf>
    <xf numFmtId="0" fontId="3" fillId="0" borderId="0" xfId="1" applyAlignment="1">
      <alignment horizontal="center"/>
    </xf>
    <xf numFmtId="0" fontId="10" fillId="0" borderId="0" xfId="1" applyFont="1" applyAlignment="1">
      <alignment horizontal="left"/>
    </xf>
    <xf numFmtId="0" fontId="10" fillId="0" borderId="0" xfId="6" applyFont="1" applyAlignment="1">
      <alignment horizontal="left"/>
    </xf>
    <xf numFmtId="0" fontId="3" fillId="0" borderId="0" xfId="1" applyAlignment="1">
      <alignment horizontal="left"/>
    </xf>
    <xf numFmtId="0" fontId="13" fillId="0" borderId="0" xfId="1" applyFont="1"/>
    <xf numFmtId="0" fontId="4" fillId="0" borderId="0" xfId="6" applyAlignment="1">
      <alignment horizontal="left"/>
    </xf>
    <xf numFmtId="0" fontId="4" fillId="0" borderId="0" xfId="6"/>
    <xf numFmtId="0" fontId="4" fillId="6" borderId="0" xfId="4" applyFill="1"/>
    <xf numFmtId="0" fontId="4" fillId="0" borderId="0" xfId="1" applyFont="1" applyAlignment="1">
      <alignment vertical="top"/>
    </xf>
    <xf numFmtId="0" fontId="10" fillId="0" borderId="0" xfId="6" applyFont="1"/>
    <xf numFmtId="0" fontId="10" fillId="0" borderId="0" xfId="4" applyFont="1"/>
    <xf numFmtId="0" fontId="10" fillId="6" borderId="0" xfId="4" applyFont="1" applyFill="1"/>
    <xf numFmtId="0" fontId="3" fillId="0" borderId="0" xfId="1" applyAlignment="1">
      <alignment vertical="top"/>
    </xf>
    <xf numFmtId="0" fontId="14" fillId="0" borderId="0" xfId="1" applyFont="1"/>
    <xf numFmtId="0" fontId="4" fillId="0" borderId="0" xfId="3"/>
    <xf numFmtId="0" fontId="15" fillId="0" borderId="0" xfId="1" applyFont="1"/>
    <xf numFmtId="0" fontId="4" fillId="0" borderId="0" xfId="3" applyAlignment="1">
      <alignment horizontal="center"/>
    </xf>
    <xf numFmtId="0" fontId="5" fillId="0" borderId="0" xfId="3" applyFont="1"/>
    <xf numFmtId="1" fontId="4" fillId="5" borderId="0" xfId="3" quotePrefix="1" applyNumberFormat="1" applyFill="1" applyAlignment="1">
      <alignment horizontal="center"/>
    </xf>
    <xf numFmtId="0" fontId="6" fillId="0" borderId="0" xfId="3" applyFont="1"/>
    <xf numFmtId="0" fontId="4" fillId="5" borderId="0" xfId="3" applyFill="1" applyAlignment="1">
      <alignment horizontal="center"/>
    </xf>
    <xf numFmtId="0" fontId="10" fillId="0" borderId="0" xfId="3" applyFont="1"/>
    <xf numFmtId="0" fontId="10" fillId="0" borderId="0" xfId="3" applyFont="1" applyAlignment="1">
      <alignment horizontal="left"/>
    </xf>
    <xf numFmtId="0" fontId="10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0" fontId="5" fillId="0" borderId="0" xfId="3" applyFont="1" applyAlignment="1">
      <alignment horizontal="center"/>
    </xf>
    <xf numFmtId="0" fontId="18" fillId="12" borderId="0" xfId="1" applyFont="1" applyFill="1" applyAlignment="1">
      <alignment horizontal="left"/>
    </xf>
    <xf numFmtId="1" fontId="4" fillId="0" borderId="11" xfId="1" applyNumberFormat="1" applyFont="1" applyBorder="1" applyAlignment="1">
      <alignment horizontal="center"/>
    </xf>
    <xf numFmtId="1" fontId="4" fillId="0" borderId="0" xfId="1" applyNumberFormat="1" applyFont="1" applyAlignment="1">
      <alignment horizontal="center"/>
    </xf>
    <xf numFmtId="1" fontId="4" fillId="0" borderId="12" xfId="1" applyNumberFormat="1" applyFont="1" applyBorder="1" applyAlignment="1">
      <alignment horizontal="center"/>
    </xf>
    <xf numFmtId="1" fontId="4" fillId="13" borderId="0" xfId="1" quotePrefix="1" applyNumberFormat="1" applyFont="1" applyFill="1" applyAlignment="1">
      <alignment horizontal="center"/>
    </xf>
    <xf numFmtId="164" fontId="4" fillId="14" borderId="10" xfId="1" applyNumberFormat="1" applyFont="1" applyFill="1" applyBorder="1" applyAlignment="1">
      <alignment horizontal="center"/>
    </xf>
    <xf numFmtId="1" fontId="4" fillId="0" borderId="10" xfId="1" applyNumberFormat="1" applyFont="1" applyBorder="1" applyAlignment="1">
      <alignment horizontal="center"/>
    </xf>
    <xf numFmtId="1" fontId="4" fillId="0" borderId="0" xfId="1" quotePrefix="1" applyNumberFormat="1" applyFont="1" applyAlignment="1">
      <alignment horizontal="center"/>
    </xf>
    <xf numFmtId="164" fontId="4" fillId="14" borderId="11" xfId="1" applyNumberFormat="1" applyFont="1" applyFill="1" applyBorder="1" applyAlignment="1">
      <alignment horizontal="center"/>
    </xf>
    <xf numFmtId="1" fontId="4" fillId="5" borderId="0" xfId="1" quotePrefix="1" applyNumberFormat="1" applyFont="1" applyFill="1" applyAlignment="1">
      <alignment horizontal="center"/>
    </xf>
    <xf numFmtId="0" fontId="15" fillId="0" borderId="0" xfId="1" applyFont="1" applyAlignment="1">
      <alignment horizontal="center" vertical="center" wrapText="1"/>
    </xf>
    <xf numFmtId="0" fontId="11" fillId="0" borderId="0" xfId="3" applyFont="1"/>
    <xf numFmtId="0" fontId="4" fillId="0" borderId="0" xfId="2" applyAlignment="1">
      <alignment wrapText="1"/>
    </xf>
    <xf numFmtId="0" fontId="14" fillId="0" borderId="0" xfId="4" applyFont="1" applyAlignment="1">
      <alignment horizontal="left"/>
    </xf>
    <xf numFmtId="0" fontId="10" fillId="0" borderId="0" xfId="4" applyFont="1" applyAlignment="1">
      <alignment horizontal="left"/>
    </xf>
    <xf numFmtId="0" fontId="11" fillId="0" borderId="0" xfId="4" applyFont="1"/>
    <xf numFmtId="9" fontId="4" fillId="15" borderId="0" xfId="7" applyFont="1" applyFill="1" applyAlignment="1">
      <alignment horizontal="center"/>
    </xf>
    <xf numFmtId="0" fontId="4" fillId="15" borderId="0" xfId="1" applyFont="1" applyFill="1" applyAlignment="1">
      <alignment horizontal="center"/>
    </xf>
    <xf numFmtId="0" fontId="8" fillId="12" borderId="0" xfId="1" applyFont="1" applyFill="1" applyAlignment="1">
      <alignment horizontal="left" vertical="top"/>
    </xf>
    <xf numFmtId="0" fontId="9" fillId="0" borderId="0" xfId="3" applyFont="1" applyAlignment="1">
      <alignment horizontal="center"/>
    </xf>
    <xf numFmtId="16" fontId="4" fillId="10" borderId="14" xfId="1" quotePrefix="1" applyNumberFormat="1" applyFont="1" applyFill="1" applyBorder="1" applyAlignment="1">
      <alignment horizontal="center"/>
    </xf>
    <xf numFmtId="0" fontId="3" fillId="0" borderId="15" xfId="1" applyBorder="1" applyAlignment="1">
      <alignment horizontal="center"/>
    </xf>
    <xf numFmtId="0" fontId="8" fillId="0" borderId="0" xfId="1" applyFont="1" applyAlignment="1">
      <alignment horizontal="center"/>
    </xf>
    <xf numFmtId="0" fontId="8" fillId="6" borderId="0" xfId="1" applyFont="1" applyFill="1"/>
    <xf numFmtId="164" fontId="4" fillId="17" borderId="10" xfId="1" quotePrefix="1" applyNumberFormat="1" applyFont="1" applyFill="1" applyBorder="1" applyAlignment="1">
      <alignment horizontal="center"/>
    </xf>
    <xf numFmtId="164" fontId="4" fillId="17" borderId="11" xfId="1" quotePrefix="1" applyNumberFormat="1" applyFont="1" applyFill="1" applyBorder="1" applyAlignment="1">
      <alignment horizontal="center"/>
    </xf>
    <xf numFmtId="164" fontId="4" fillId="17" borderId="12" xfId="1" quotePrefix="1" applyNumberFormat="1" applyFont="1" applyFill="1" applyBorder="1" applyAlignment="1">
      <alignment horizontal="center"/>
    </xf>
    <xf numFmtId="0" fontId="20" fillId="0" borderId="0" xfId="1" applyFont="1"/>
    <xf numFmtId="0" fontId="21" fillId="0" borderId="0" xfId="1" applyFont="1"/>
    <xf numFmtId="0" fontId="15" fillId="0" borderId="0" xfId="1" applyFont="1" applyAlignment="1">
      <alignment horizontal="center" wrapText="1"/>
    </xf>
    <xf numFmtId="0" fontId="22" fillId="0" borderId="0" xfId="4" applyFont="1"/>
    <xf numFmtId="0" fontId="22" fillId="0" borderId="0" xfId="3" applyFont="1"/>
    <xf numFmtId="0" fontId="15" fillId="0" borderId="0" xfId="1" applyFont="1" applyAlignment="1">
      <alignment horizontal="center"/>
    </xf>
    <xf numFmtId="9" fontId="10" fillId="0" borderId="0" xfId="7" applyFont="1" applyAlignment="1">
      <alignment horizontal="left"/>
    </xf>
    <xf numFmtId="0" fontId="10" fillId="0" borderId="0" xfId="3" applyFont="1" applyAlignment="1">
      <alignment horizontal="center"/>
    </xf>
    <xf numFmtId="9" fontId="10" fillId="0" borderId="0" xfId="7" applyFont="1" applyFill="1" applyAlignment="1">
      <alignment horizontal="left"/>
    </xf>
    <xf numFmtId="0" fontId="10" fillId="0" borderId="0" xfId="1" applyFont="1" applyAlignment="1">
      <alignment horizontal="center" vertical="center"/>
    </xf>
    <xf numFmtId="0" fontId="10" fillId="8" borderId="0" xfId="1" applyFont="1" applyFill="1"/>
    <xf numFmtId="0" fontId="10" fillId="0" borderId="0" xfId="2" applyFont="1" applyAlignment="1">
      <alignment horizontal="center"/>
    </xf>
    <xf numFmtId="0" fontId="4" fillId="0" borderId="0" xfId="8" applyFont="1"/>
    <xf numFmtId="0" fontId="3" fillId="0" borderId="0" xfId="8"/>
    <xf numFmtId="0" fontId="4" fillId="0" borderId="0" xfId="8" applyFont="1" applyAlignment="1">
      <alignment horizontal="center"/>
    </xf>
    <xf numFmtId="0" fontId="4" fillId="0" borderId="0" xfId="8" applyFont="1" applyAlignment="1">
      <alignment wrapText="1"/>
    </xf>
    <xf numFmtId="0" fontId="5" fillId="0" borderId="0" xfId="8" applyFont="1"/>
    <xf numFmtId="0" fontId="5" fillId="0" borderId="0" xfId="8" applyFont="1" applyAlignment="1">
      <alignment horizontal="center"/>
    </xf>
    <xf numFmtId="0" fontId="5" fillId="0" borderId="0" xfId="8" applyFont="1" applyAlignment="1">
      <alignment horizontal="left"/>
    </xf>
    <xf numFmtId="0" fontId="6" fillId="0" borderId="0" xfId="8" applyFont="1"/>
    <xf numFmtId="0" fontId="6" fillId="0" borderId="0" xfId="8" applyFont="1" applyAlignment="1">
      <alignment horizontal="center"/>
    </xf>
    <xf numFmtId="0" fontId="7" fillId="0" borderId="0" xfId="8" applyFont="1" applyAlignment="1">
      <alignment horizontal="center"/>
    </xf>
    <xf numFmtId="0" fontId="8" fillId="0" borderId="0" xfId="8" applyFont="1"/>
    <xf numFmtId="0" fontId="9" fillId="0" borderId="0" xfId="8" applyFont="1"/>
    <xf numFmtId="0" fontId="10" fillId="0" borderId="0" xfId="8" applyFont="1"/>
    <xf numFmtId="0" fontId="4" fillId="0" borderId="0" xfId="8" applyFont="1" applyAlignment="1">
      <alignment horizontal="left"/>
    </xf>
    <xf numFmtId="0" fontId="11" fillId="0" borderId="1" xfId="8" applyFont="1" applyBorder="1"/>
    <xf numFmtId="0" fontId="4" fillId="2" borderId="0" xfId="8" applyFont="1" applyFill="1" applyAlignment="1">
      <alignment horizontal="center" vertical="center"/>
    </xf>
    <xf numFmtId="0" fontId="12" fillId="0" borderId="0" xfId="8" applyFont="1"/>
    <xf numFmtId="0" fontId="12" fillId="0" borderId="4" xfId="8" applyFont="1" applyBorder="1"/>
    <xf numFmtId="0" fontId="4" fillId="0" borderId="0" xfId="8" applyFont="1" applyAlignment="1">
      <alignment horizontal="center" vertical="center"/>
    </xf>
    <xf numFmtId="0" fontId="11" fillId="0" borderId="0" xfId="8" applyFont="1"/>
    <xf numFmtId="0" fontId="11" fillId="0" borderId="0" xfId="8" applyFont="1" applyAlignment="1">
      <alignment horizontal="center"/>
    </xf>
    <xf numFmtId="0" fontId="3" fillId="0" borderId="0" xfId="8" applyAlignment="1">
      <alignment horizontal="center"/>
    </xf>
    <xf numFmtId="0" fontId="4" fillId="4" borderId="2" xfId="8" applyFont="1" applyFill="1" applyBorder="1" applyAlignment="1">
      <alignment horizontal="center"/>
    </xf>
    <xf numFmtId="0" fontId="4" fillId="0" borderId="3" xfId="8" applyFont="1" applyBorder="1" applyAlignment="1">
      <alignment horizontal="center"/>
    </xf>
    <xf numFmtId="0" fontId="4" fillId="4" borderId="5" xfId="8" applyFont="1" applyFill="1" applyBorder="1" applyAlignment="1">
      <alignment horizontal="center"/>
    </xf>
    <xf numFmtId="0" fontId="4" fillId="0" borderId="6" xfId="8" applyFont="1" applyBorder="1" applyAlignment="1">
      <alignment horizontal="center"/>
    </xf>
    <xf numFmtId="0" fontId="4" fillId="4" borderId="7" xfId="8" applyFont="1" applyFill="1" applyBorder="1" applyAlignment="1">
      <alignment horizontal="center"/>
    </xf>
    <xf numFmtId="0" fontId="4" fillId="0" borderId="8" xfId="8" applyFont="1" applyBorder="1" applyAlignment="1">
      <alignment horizontal="center"/>
    </xf>
    <xf numFmtId="0" fontId="3" fillId="5" borderId="0" xfId="8" applyFill="1" applyAlignment="1">
      <alignment horizontal="center"/>
    </xf>
    <xf numFmtId="0" fontId="10" fillId="0" borderId="0" xfId="8" applyFont="1" applyAlignment="1">
      <alignment horizontal="left"/>
    </xf>
    <xf numFmtId="0" fontId="10" fillId="0" borderId="0" xfId="8" applyFont="1" applyAlignment="1">
      <alignment vertical="top"/>
    </xf>
    <xf numFmtId="0" fontId="10" fillId="6" borderId="0" xfId="8" applyFont="1" applyFill="1" applyAlignment="1">
      <alignment horizontal="left"/>
    </xf>
    <xf numFmtId="0" fontId="3" fillId="0" borderId="0" xfId="8" applyAlignment="1">
      <alignment horizontal="left"/>
    </xf>
    <xf numFmtId="49" fontId="4" fillId="7" borderId="2" xfId="8" applyNumberFormat="1" applyFont="1" applyFill="1" applyBorder="1" applyAlignment="1">
      <alignment horizontal="center"/>
    </xf>
    <xf numFmtId="0" fontId="3" fillId="0" borderId="3" xfId="8" applyBorder="1" applyAlignment="1">
      <alignment horizontal="center"/>
    </xf>
    <xf numFmtId="49" fontId="4" fillId="7" borderId="5" xfId="8" applyNumberFormat="1" applyFont="1" applyFill="1" applyBorder="1" applyAlignment="1">
      <alignment horizontal="center"/>
    </xf>
    <xf numFmtId="0" fontId="3" fillId="0" borderId="6" xfId="8" applyBorder="1" applyAlignment="1">
      <alignment horizontal="center"/>
    </xf>
    <xf numFmtId="0" fontId="13" fillId="0" borderId="0" xfId="8" applyFont="1"/>
    <xf numFmtId="0" fontId="3" fillId="6" borderId="0" xfId="8" applyFill="1" applyAlignment="1">
      <alignment horizontal="left"/>
    </xf>
    <xf numFmtId="0" fontId="4" fillId="7" borderId="5" xfId="8" applyFont="1" applyFill="1" applyBorder="1" applyAlignment="1">
      <alignment horizontal="center"/>
    </xf>
    <xf numFmtId="0" fontId="4" fillId="0" borderId="0" xfId="8" applyFont="1" applyAlignment="1">
      <alignment vertical="top"/>
    </xf>
    <xf numFmtId="0" fontId="4" fillId="7" borderId="7" xfId="8" applyFont="1" applyFill="1" applyBorder="1" applyAlignment="1">
      <alignment horizontal="center"/>
    </xf>
    <xf numFmtId="0" fontId="3" fillId="0" borderId="8" xfId="8" applyBorder="1" applyAlignment="1">
      <alignment horizontal="center"/>
    </xf>
    <xf numFmtId="0" fontId="4" fillId="7" borderId="2" xfId="8" applyFont="1" applyFill="1" applyBorder="1" applyAlignment="1">
      <alignment horizontal="center"/>
    </xf>
    <xf numFmtId="0" fontId="4" fillId="6" borderId="0" xfId="8" applyFont="1" applyFill="1" applyAlignment="1">
      <alignment horizontal="left"/>
    </xf>
    <xf numFmtId="0" fontId="3" fillId="0" borderId="0" xfId="8" applyAlignment="1">
      <alignment vertical="top"/>
    </xf>
    <xf numFmtId="0" fontId="14" fillId="0" borderId="0" xfId="8" applyFont="1" applyAlignment="1">
      <alignment horizontal="center"/>
    </xf>
    <xf numFmtId="0" fontId="14" fillId="0" borderId="0" xfId="8" applyFont="1"/>
    <xf numFmtId="0" fontId="9" fillId="0" borderId="0" xfId="8" applyFont="1" applyAlignment="1">
      <alignment horizontal="center"/>
    </xf>
    <xf numFmtId="0" fontId="1" fillId="8" borderId="0" xfId="8" applyFont="1" applyFill="1" applyAlignment="1">
      <alignment horizontal="center"/>
    </xf>
    <xf numFmtId="0" fontId="15" fillId="0" borderId="0" xfId="8" applyFont="1"/>
    <xf numFmtId="0" fontId="16" fillId="0" borderId="0" xfId="8" applyFont="1"/>
    <xf numFmtId="0" fontId="15" fillId="0" borderId="0" xfId="8" applyFont="1" applyAlignment="1">
      <alignment horizontal="left" vertical="center"/>
    </xf>
    <xf numFmtId="0" fontId="3" fillId="9" borderId="9" xfId="8" applyFill="1" applyBorder="1"/>
    <xf numFmtId="0" fontId="3" fillId="0" borderId="9" xfId="8" applyBorder="1"/>
    <xf numFmtId="0" fontId="15" fillId="0" borderId="0" xfId="8" applyFont="1" applyAlignment="1">
      <alignment vertical="center"/>
    </xf>
    <xf numFmtId="49" fontId="1" fillId="8" borderId="0" xfId="8" applyNumberFormat="1" applyFont="1" applyFill="1" applyAlignment="1">
      <alignment horizontal="center"/>
    </xf>
    <xf numFmtId="0" fontId="4" fillId="10" borderId="2" xfId="8" quotePrefix="1" applyFont="1" applyFill="1" applyBorder="1" applyAlignment="1">
      <alignment horizontal="center"/>
    </xf>
    <xf numFmtId="0" fontId="3" fillId="0" borderId="10" xfId="8" applyBorder="1" applyAlignment="1">
      <alignment horizontal="center"/>
    </xf>
    <xf numFmtId="0" fontId="4" fillId="10" borderId="5" xfId="8" quotePrefix="1" applyFont="1" applyFill="1" applyBorder="1" applyAlignment="1">
      <alignment horizontal="center"/>
    </xf>
    <xf numFmtId="0" fontId="3" fillId="0" borderId="11" xfId="8" applyBorder="1" applyAlignment="1">
      <alignment horizontal="center"/>
    </xf>
    <xf numFmtId="0" fontId="4" fillId="10" borderId="7" xfId="8" quotePrefix="1" applyFont="1" applyFill="1" applyBorder="1" applyAlignment="1">
      <alignment horizontal="center"/>
    </xf>
    <xf numFmtId="0" fontId="3" fillId="0" borderId="12" xfId="8" applyBorder="1" applyAlignment="1">
      <alignment horizontal="center"/>
    </xf>
    <xf numFmtId="0" fontId="4" fillId="10" borderId="13" xfId="8" quotePrefix="1" applyFont="1" applyFill="1" applyBorder="1" applyAlignment="1">
      <alignment horizontal="center"/>
    </xf>
    <xf numFmtId="0" fontId="4" fillId="11" borderId="0" xfId="8" applyFont="1" applyFill="1" applyAlignment="1">
      <alignment horizontal="center" vertical="center"/>
    </xf>
    <xf numFmtId="0" fontId="3" fillId="0" borderId="0" xfId="8" applyAlignment="1">
      <alignment horizontal="center" vertical="center"/>
    </xf>
    <xf numFmtId="0" fontId="8" fillId="11" borderId="0" xfId="8" applyFont="1" applyFill="1"/>
    <xf numFmtId="0" fontId="4" fillId="11" borderId="0" xfId="8" applyFont="1" applyFill="1"/>
    <xf numFmtId="0" fontId="10" fillId="0" borderId="0" xfId="8" applyFont="1" applyAlignment="1">
      <alignment horizontal="center"/>
    </xf>
    <xf numFmtId="0" fontId="17" fillId="0" borderId="0" xfId="8" applyFont="1" applyAlignment="1">
      <alignment horizontal="center"/>
    </xf>
    <xf numFmtId="0" fontId="18" fillId="12" borderId="0" xfId="8" applyFont="1" applyFill="1" applyAlignment="1">
      <alignment horizontal="left"/>
    </xf>
    <xf numFmtId="1" fontId="4" fillId="0" borderId="11" xfId="8" applyNumberFormat="1" applyFont="1" applyBorder="1" applyAlignment="1">
      <alignment horizontal="center"/>
    </xf>
    <xf numFmtId="1" fontId="4" fillId="0" borderId="0" xfId="8" applyNumberFormat="1" applyFont="1" applyAlignment="1">
      <alignment horizontal="center"/>
    </xf>
    <xf numFmtId="1" fontId="4" fillId="0" borderId="12" xfId="8" applyNumberFormat="1" applyFont="1" applyBorder="1" applyAlignment="1">
      <alignment horizontal="center"/>
    </xf>
    <xf numFmtId="1" fontId="4" fillId="13" borderId="0" xfId="8" quotePrefix="1" applyNumberFormat="1" applyFont="1" applyFill="1" applyAlignment="1">
      <alignment horizontal="center"/>
    </xf>
    <xf numFmtId="1" fontId="4" fillId="6" borderId="0" xfId="8" quotePrefix="1" applyNumberFormat="1" applyFont="1" applyFill="1" applyAlignment="1">
      <alignment horizontal="center"/>
    </xf>
    <xf numFmtId="49" fontId="4" fillId="0" borderId="0" xfId="8" applyNumberFormat="1" applyFont="1" applyAlignment="1">
      <alignment horizontal="center"/>
    </xf>
    <xf numFmtId="164" fontId="4" fillId="14" borderId="10" xfId="8" applyNumberFormat="1" applyFont="1" applyFill="1" applyBorder="1" applyAlignment="1">
      <alignment horizontal="center"/>
    </xf>
    <xf numFmtId="1" fontId="4" fillId="0" borderId="10" xfId="8" applyNumberFormat="1" applyFont="1" applyBorder="1" applyAlignment="1">
      <alignment horizontal="center"/>
    </xf>
    <xf numFmtId="1" fontId="4" fillId="0" borderId="0" xfId="8" quotePrefix="1" applyNumberFormat="1" applyFont="1" applyAlignment="1">
      <alignment horizontal="center"/>
    </xf>
    <xf numFmtId="164" fontId="4" fillId="14" borderId="11" xfId="8" applyNumberFormat="1" applyFont="1" applyFill="1" applyBorder="1" applyAlignment="1">
      <alignment horizontal="center"/>
    </xf>
    <xf numFmtId="1" fontId="4" fillId="5" borderId="0" xfId="8" quotePrefix="1" applyNumberFormat="1" applyFont="1" applyFill="1" applyAlignment="1">
      <alignment horizontal="center"/>
    </xf>
    <xf numFmtId="0" fontId="15" fillId="0" borderId="0" xfId="8" applyFont="1" applyAlignment="1">
      <alignment horizontal="center" vertical="center"/>
    </xf>
    <xf numFmtId="0" fontId="17" fillId="0" borderId="0" xfId="8" applyFont="1"/>
    <xf numFmtId="0" fontId="4" fillId="15" borderId="0" xfId="8" applyFont="1" applyFill="1" applyAlignment="1">
      <alignment horizontal="center"/>
    </xf>
    <xf numFmtId="0" fontId="4" fillId="16" borderId="0" xfId="8" applyFont="1" applyFill="1" applyAlignment="1">
      <alignment horizontal="center" vertical="center"/>
    </xf>
    <xf numFmtId="0" fontId="8" fillId="12" borderId="0" xfId="8" applyFont="1" applyFill="1" applyAlignment="1">
      <alignment horizontal="center" vertical="top"/>
    </xf>
    <xf numFmtId="0" fontId="8" fillId="12" borderId="0" xfId="8" applyFont="1" applyFill="1" applyAlignment="1">
      <alignment horizontal="left" vertical="top"/>
    </xf>
    <xf numFmtId="0" fontId="19" fillId="0" borderId="0" xfId="8" applyFont="1"/>
    <xf numFmtId="16" fontId="4" fillId="10" borderId="14" xfId="8" quotePrefix="1" applyNumberFormat="1" applyFont="1" applyFill="1" applyBorder="1" applyAlignment="1">
      <alignment horizontal="center"/>
    </xf>
    <xf numFmtId="0" fontId="3" fillId="0" borderId="15" xfId="8" applyBorder="1" applyAlignment="1">
      <alignment horizontal="center"/>
    </xf>
    <xf numFmtId="0" fontId="2" fillId="8" borderId="0" xfId="8" applyFont="1" applyFill="1" applyAlignment="1">
      <alignment horizontal="center"/>
    </xf>
    <xf numFmtId="0" fontId="8" fillId="0" borderId="0" xfId="8" applyFont="1" applyAlignment="1">
      <alignment horizontal="center"/>
    </xf>
    <xf numFmtId="0" fontId="8" fillId="6" borderId="0" xfId="8" applyFont="1" applyFill="1"/>
    <xf numFmtId="164" fontId="4" fillId="17" borderId="10" xfId="8" quotePrefix="1" applyNumberFormat="1" applyFont="1" applyFill="1" applyBorder="1" applyAlignment="1">
      <alignment horizontal="center"/>
    </xf>
    <xf numFmtId="164" fontId="4" fillId="17" borderId="11" xfId="8" quotePrefix="1" applyNumberFormat="1" applyFont="1" applyFill="1" applyBorder="1" applyAlignment="1">
      <alignment horizontal="center"/>
    </xf>
    <xf numFmtId="164" fontId="4" fillId="17" borderId="12" xfId="8" quotePrefix="1" applyNumberFormat="1" applyFont="1" applyFill="1" applyBorder="1" applyAlignment="1">
      <alignment horizontal="center"/>
    </xf>
    <xf numFmtId="0" fontId="15" fillId="0" borderId="0" xfId="8" applyFont="1" applyAlignment="1">
      <alignment horizontal="center" wrapText="1"/>
    </xf>
    <xf numFmtId="0" fontId="20" fillId="0" borderId="0" xfId="8" applyFont="1"/>
    <xf numFmtId="0" fontId="21" fillId="0" borderId="0" xfId="8" applyFont="1"/>
    <xf numFmtId="0" fontId="22" fillId="0" borderId="0" xfId="8" applyFont="1"/>
    <xf numFmtId="0" fontId="15" fillId="0" borderId="0" xfId="8" applyFont="1" applyAlignment="1">
      <alignment horizontal="center"/>
    </xf>
    <xf numFmtId="0" fontId="4" fillId="6" borderId="0" xfId="8" applyFont="1" applyFill="1" applyAlignment="1">
      <alignment horizontal="center" vertical="center"/>
    </xf>
    <xf numFmtId="0" fontId="4" fillId="8" borderId="0" xfId="8" applyFont="1" applyFill="1" applyAlignment="1">
      <alignment horizontal="center" vertical="center"/>
    </xf>
    <xf numFmtId="0" fontId="10" fillId="0" borderId="0" xfId="8" applyFont="1" applyAlignment="1">
      <alignment horizontal="center" vertical="center"/>
    </xf>
    <xf numFmtId="0" fontId="23" fillId="0" borderId="0" xfId="8" applyFont="1" applyAlignment="1">
      <alignment horizontal="center"/>
    </xf>
    <xf numFmtId="0" fontId="10" fillId="8" borderId="0" xfId="8" applyFont="1" applyFill="1"/>
    <xf numFmtId="0" fontId="23" fillId="0" borderId="0" xfId="8" applyFont="1" applyAlignment="1">
      <alignment horizontal="left"/>
    </xf>
    <xf numFmtId="2" fontId="4" fillId="0" borderId="0" xfId="1" applyNumberFormat="1" applyFont="1"/>
    <xf numFmtId="0" fontId="24" fillId="0" borderId="0" xfId="1" applyFont="1"/>
    <xf numFmtId="0" fontId="15" fillId="8" borderId="0" xfId="1" applyFont="1" applyFill="1" applyAlignment="1">
      <alignment horizontal="center"/>
    </xf>
    <xf numFmtId="0" fontId="15" fillId="11" borderId="0" xfId="1" applyFont="1" applyFill="1" applyAlignment="1">
      <alignment horizontal="center"/>
    </xf>
    <xf numFmtId="0" fontId="15" fillId="0" borderId="0" xfId="1" applyFont="1" applyAlignment="1">
      <alignment vertical="center" wrapText="1"/>
    </xf>
    <xf numFmtId="49" fontId="4" fillId="0" borderId="0" xfId="1" applyNumberFormat="1" applyFont="1"/>
    <xf numFmtId="0" fontId="24" fillId="0" borderId="0" xfId="2" applyFont="1"/>
    <xf numFmtId="0" fontId="4" fillId="0" borderId="10" xfId="1" applyFont="1" applyBorder="1" applyAlignment="1">
      <alignment horizontal="center"/>
    </xf>
    <xf numFmtId="0" fontId="4" fillId="0" borderId="11" xfId="1" applyFont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4" fillId="0" borderId="0" xfId="1" quotePrefix="1" applyFont="1" applyAlignment="1">
      <alignment horizontal="center"/>
    </xf>
    <xf numFmtId="0" fontId="4" fillId="18" borderId="10" xfId="1" applyFont="1" applyFill="1" applyBorder="1" applyAlignment="1">
      <alignment horizontal="center"/>
    </xf>
    <xf numFmtId="1" fontId="4" fillId="0" borderId="6" xfId="1" applyNumberFormat="1" applyFont="1" applyBorder="1" applyAlignment="1">
      <alignment horizontal="center"/>
    </xf>
    <xf numFmtId="0" fontId="4" fillId="18" borderId="11" xfId="1" applyFont="1" applyFill="1" applyBorder="1" applyAlignment="1">
      <alignment horizontal="center"/>
    </xf>
    <xf numFmtId="0" fontId="4" fillId="18" borderId="12" xfId="1" applyFont="1" applyFill="1" applyBorder="1" applyAlignment="1">
      <alignment horizontal="center"/>
    </xf>
    <xf numFmtId="1" fontId="4" fillId="0" borderId="8" xfId="1" applyNumberFormat="1" applyFont="1" applyBorder="1" applyAlignment="1">
      <alignment horizontal="center"/>
    </xf>
    <xf numFmtId="164" fontId="4" fillId="19" borderId="16" xfId="1" applyNumberFormat="1" applyFont="1" applyFill="1" applyBorder="1" applyAlignment="1">
      <alignment horizontal="center"/>
    </xf>
    <xf numFmtId="164" fontId="4" fillId="19" borderId="11" xfId="1" applyNumberFormat="1" applyFont="1" applyFill="1" applyBorder="1" applyAlignment="1">
      <alignment horizontal="center"/>
    </xf>
    <xf numFmtId="164" fontId="4" fillId="19" borderId="12" xfId="1" applyNumberFormat="1" applyFont="1" applyFill="1" applyBorder="1" applyAlignment="1">
      <alignment horizontal="center"/>
    </xf>
    <xf numFmtId="0" fontId="15" fillId="0" borderId="0" xfId="1" applyFont="1" applyAlignment="1">
      <alignment horizontal="left"/>
    </xf>
    <xf numFmtId="0" fontId="4" fillId="0" borderId="0" xfId="9"/>
    <xf numFmtId="0" fontId="4" fillId="0" borderId="0" xfId="10"/>
    <xf numFmtId="164" fontId="4" fillId="14" borderId="12" xfId="1" applyNumberFormat="1" applyFont="1" applyFill="1" applyBorder="1" applyAlignment="1">
      <alignment horizontal="center"/>
    </xf>
    <xf numFmtId="1" fontId="4" fillId="5" borderId="0" xfId="1" applyNumberFormat="1" applyFont="1" applyFill="1" applyAlignment="1">
      <alignment horizontal="center"/>
    </xf>
    <xf numFmtId="0" fontId="14" fillId="0" borderId="0" xfId="9" applyFont="1"/>
    <xf numFmtId="0" fontId="25" fillId="0" borderId="0" xfId="2" applyFont="1"/>
    <xf numFmtId="0" fontId="4" fillId="12" borderId="0" xfId="1" applyFont="1" applyFill="1" applyAlignment="1">
      <alignment horizontal="left" vertical="top"/>
    </xf>
    <xf numFmtId="0" fontId="4" fillId="12" borderId="0" xfId="1" applyFont="1" applyFill="1" applyAlignment="1">
      <alignment horizontal="center" vertical="center"/>
    </xf>
    <xf numFmtId="0" fontId="8" fillId="15" borderId="0" xfId="1" applyFont="1" applyFill="1"/>
    <xf numFmtId="0" fontId="14" fillId="0" borderId="0" xfId="3" applyFont="1"/>
    <xf numFmtId="0" fontId="4" fillId="20" borderId="10" xfId="1" applyFont="1" applyFill="1" applyBorder="1" applyAlignment="1">
      <alignment horizontal="center"/>
    </xf>
    <xf numFmtId="0" fontId="4" fillId="20" borderId="11" xfId="1" applyFont="1" applyFill="1" applyBorder="1" applyAlignment="1">
      <alignment horizontal="center"/>
    </xf>
    <xf numFmtId="0" fontId="26" fillId="0" borderId="0" xfId="1" applyFont="1"/>
    <xf numFmtId="0" fontId="3" fillId="0" borderId="6" xfId="1" applyBorder="1" applyAlignment="1">
      <alignment vertical="top"/>
    </xf>
    <xf numFmtId="0" fontId="14" fillId="0" borderId="0" xfId="4" applyFont="1" applyAlignment="1">
      <alignment horizontal="right"/>
    </xf>
    <xf numFmtId="0" fontId="11" fillId="0" borderId="0" xfId="4" applyFont="1" applyAlignment="1">
      <alignment horizontal="left"/>
    </xf>
    <xf numFmtId="0" fontId="3" fillId="21" borderId="2" xfId="1" applyFill="1" applyBorder="1" applyAlignment="1">
      <alignment horizontal="center"/>
    </xf>
    <xf numFmtId="0" fontId="3" fillId="21" borderId="5" xfId="1" applyFill="1" applyBorder="1" applyAlignment="1">
      <alignment horizontal="center"/>
    </xf>
    <xf numFmtId="0" fontId="3" fillId="21" borderId="7" xfId="1" applyFill="1" applyBorder="1" applyAlignment="1">
      <alignment horizontal="center"/>
    </xf>
    <xf numFmtId="0" fontId="14" fillId="0" borderId="0" xfId="4" applyFont="1"/>
    <xf numFmtId="0" fontId="14" fillId="0" borderId="0" xfId="1" applyFont="1" applyAlignment="1">
      <alignment horizontal="center" vertical="center"/>
    </xf>
    <xf numFmtId="0" fontId="4" fillId="0" borderId="0" xfId="11"/>
    <xf numFmtId="2" fontId="4" fillId="0" borderId="0" xfId="1" applyNumberFormat="1" applyFont="1" applyAlignment="1">
      <alignment wrapText="1"/>
    </xf>
    <xf numFmtId="0" fontId="4" fillId="0" borderId="0" xfId="4" applyAlignment="1">
      <alignment wrapText="1"/>
    </xf>
    <xf numFmtId="0" fontId="14" fillId="0" borderId="0" xfId="1" applyFont="1" applyAlignment="1">
      <alignment horizontal="left"/>
    </xf>
    <xf numFmtId="0" fontId="27" fillId="0" borderId="0" xfId="1" applyFont="1" applyAlignment="1">
      <alignment horizontal="center" vertical="center"/>
    </xf>
    <xf numFmtId="0" fontId="27" fillId="0" borderId="0" xfId="1" applyFont="1"/>
    <xf numFmtId="0" fontId="27" fillId="0" borderId="0" xfId="4" applyFont="1" applyAlignment="1">
      <alignment horizontal="left"/>
    </xf>
    <xf numFmtId="0" fontId="4" fillId="0" borderId="0" xfId="4" applyAlignment="1">
      <alignment horizontal="left" wrapText="1"/>
    </xf>
    <xf numFmtId="0" fontId="24" fillId="0" borderId="0" xfId="1" applyFont="1" applyAlignment="1">
      <alignment horizontal="left"/>
    </xf>
    <xf numFmtId="0" fontId="15" fillId="22" borderId="0" xfId="1" applyFont="1" applyFill="1" applyAlignment="1">
      <alignment horizontal="center"/>
    </xf>
    <xf numFmtId="0" fontId="11" fillId="0" borderId="0" xfId="1" applyFont="1" applyAlignment="1">
      <alignment horizontal="center" vertical="center"/>
    </xf>
    <xf numFmtId="0" fontId="28" fillId="0" borderId="0" xfId="1" applyFont="1"/>
    <xf numFmtId="0" fontId="27" fillId="0" borderId="0" xfId="1" applyFont="1" applyAlignment="1">
      <alignment horizontal="left"/>
    </xf>
    <xf numFmtId="164" fontId="4" fillId="0" borderId="0" xfId="1" applyNumberFormat="1" applyFont="1"/>
    <xf numFmtId="0" fontId="20" fillId="0" borderId="0" xfId="1" applyFont="1" applyAlignment="1">
      <alignment horizontal="center"/>
    </xf>
    <xf numFmtId="49" fontId="10" fillId="0" borderId="0" xfId="1" applyNumberFormat="1" applyFont="1"/>
    <xf numFmtId="0" fontId="25" fillId="0" borderId="0" xfId="1" applyFont="1"/>
    <xf numFmtId="0" fontId="18" fillId="0" borderId="0" xfId="1" applyFont="1" applyAlignment="1">
      <alignment horizontal="left"/>
    </xf>
    <xf numFmtId="0" fontId="29" fillId="0" borderId="0" xfId="1" applyFont="1"/>
    <xf numFmtId="2" fontId="10" fillId="0" borderId="0" xfId="1" applyNumberFormat="1" applyFont="1"/>
    <xf numFmtId="0" fontId="30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4" fillId="0" borderId="15" xfId="1" applyFont="1" applyBorder="1" applyAlignment="1">
      <alignment horizontal="center"/>
    </xf>
    <xf numFmtId="0" fontId="3" fillId="0" borderId="14" xfId="1" applyBorder="1" applyAlignment="1">
      <alignment horizontal="center"/>
    </xf>
    <xf numFmtId="0" fontId="4" fillId="0" borderId="14" xfId="1" applyFont="1" applyBorder="1" applyAlignment="1">
      <alignment horizontal="center"/>
    </xf>
    <xf numFmtId="0" fontId="15" fillId="0" borderId="0" xfId="1" applyFont="1" applyAlignment="1">
      <alignment horizontal="center" vertical="center"/>
    </xf>
    <xf numFmtId="0" fontId="15" fillId="0" borderId="0" xfId="1" applyFont="1" applyAlignment="1">
      <alignment horizontal="left" vertical="center"/>
    </xf>
    <xf numFmtId="0" fontId="15" fillId="0" borderId="0" xfId="1" applyFont="1" applyAlignment="1">
      <alignment horizontal="center" vertical="center" wrapText="1"/>
    </xf>
    <xf numFmtId="0" fontId="4" fillId="0" borderId="15" xfId="3" applyBorder="1" applyAlignment="1">
      <alignment horizontal="center"/>
    </xf>
    <xf numFmtId="0" fontId="4" fillId="0" borderId="14" xfId="3" applyBorder="1" applyAlignment="1">
      <alignment horizontal="center"/>
    </xf>
    <xf numFmtId="0" fontId="4" fillId="0" borderId="7" xfId="3" applyBorder="1" applyAlignment="1">
      <alignment horizontal="center"/>
    </xf>
    <xf numFmtId="0" fontId="4" fillId="0" borderId="15" xfId="8" applyFont="1" applyBorder="1" applyAlignment="1">
      <alignment horizontal="center"/>
    </xf>
    <xf numFmtId="0" fontId="4" fillId="0" borderId="14" xfId="8" applyFont="1" applyBorder="1" applyAlignment="1">
      <alignment horizontal="center"/>
    </xf>
    <xf numFmtId="0" fontId="3" fillId="0" borderId="14" xfId="8" applyBorder="1" applyAlignment="1">
      <alignment horizontal="center"/>
    </xf>
    <xf numFmtId="0" fontId="4" fillId="0" borderId="8" xfId="3" applyBorder="1" applyAlignment="1">
      <alignment horizontal="center"/>
    </xf>
    <xf numFmtId="0" fontId="15" fillId="0" borderId="0" xfId="8" applyFont="1" applyAlignment="1">
      <alignment horizontal="center" vertical="center"/>
    </xf>
    <xf numFmtId="0" fontId="15" fillId="0" borderId="0" xfId="8" applyFont="1" applyAlignment="1">
      <alignment horizontal="center" vertical="center" wrapText="1"/>
    </xf>
    <xf numFmtId="0" fontId="15" fillId="0" borderId="0" xfId="8" applyFont="1" applyAlignment="1">
      <alignment horizontal="center" wrapText="1"/>
    </xf>
    <xf numFmtId="0" fontId="15" fillId="0" borderId="0" xfId="8" applyFont="1" applyAlignment="1">
      <alignment horizontal="center"/>
    </xf>
  </cellXfs>
  <cellStyles count="12">
    <cellStyle name="Normal" xfId="0" builtinId="0"/>
    <cellStyle name="Normal 10 10 2 2" xfId="4" xr:uid="{50435A46-8D87-41B3-A596-A6BEAD7006E0}"/>
    <cellStyle name="Normal 10 11" xfId="6" xr:uid="{19A67DD7-E5DB-4E8B-A175-D1B095D598AF}"/>
    <cellStyle name="Normal 2" xfId="1" xr:uid="{FE2AB043-1C2C-48CE-93D5-93F8B1976B0D}"/>
    <cellStyle name="Normal 2 10 2 2" xfId="2" xr:uid="{E5E7008F-4813-407C-9128-A94D5710F11E}"/>
    <cellStyle name="Normal 2 2 5 2" xfId="3" xr:uid="{FF92E157-C19D-4C6A-B5A2-564B1D0B4DAC}"/>
    <cellStyle name="Normal 2 4" xfId="8" xr:uid="{215847FE-DB57-4C26-B82C-BD8B27B88ED6}"/>
    <cellStyle name="Normal 219" xfId="5" xr:uid="{6694008E-7E88-4961-9F8F-BB59F3AC0B11}"/>
    <cellStyle name="Normal 72 2" xfId="11" xr:uid="{2310D897-5BB7-470E-8B40-F9FF75793379}"/>
    <cellStyle name="Normal 76 2" xfId="10" xr:uid="{96B92BAD-F487-493F-9AE9-6BD378BD85F2}"/>
    <cellStyle name="Normal 88 2" xfId="9" xr:uid="{3D5CDAD0-83CA-4CB9-9F9E-5CE67B31875C}"/>
    <cellStyle name="Percent 2 2 2 2" xfId="7" xr:uid="{B4893FF2-18D8-4B01-97A0-7ED924C43F39}"/>
  </cellStyles>
  <dxfs count="5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BS1\Engineering\05-Inst%20&amp;%20Controls\02%20Control%20Systems\01%20PCS\01%20IO%20lists\Latest\IO%20List%202115%20Primary%20Crushing%20Switchroom%20BSR130_rev7_SwitchroomFAT.xlsm" TargetMode="External"/><Relationship Id="rId1" Type="http://schemas.openxmlformats.org/officeDocument/2006/relationships/externalLinkPath" Target="file:///X:\BS1\Engineering\05-Inst%20&amp;%20Controls\02%20Control%20Systems\01%20PCS\01%20IO%20lists\Latest\IO%20List%202115%20Primary%20Crushing%20Switchroom%20BSR130_rev7_SwitchroomFA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ngelog"/>
      <sheetName val="Hardware Templates"/>
      <sheetName val="Config"/>
      <sheetName val="Main"/>
      <sheetName val="Templates"/>
      <sheetName val="Layout"/>
      <sheetName val="BOM"/>
      <sheetName val="dropdowns"/>
      <sheetName val="parameters"/>
      <sheetName val="ValveList"/>
      <sheetName val="DriveList"/>
      <sheetName val="PLCList"/>
      <sheetName val="Outcasts"/>
      <sheetName val="Exclusions"/>
      <sheetName val="NEP Patch Cable BOM"/>
      <sheetName val="IOSplit"/>
      <sheetName val="IO Unallocated"/>
      <sheetName val="IO Dump"/>
      <sheetName val="IO Allocated"/>
      <sheetName val="IO Desc"/>
      <sheetName val="EquipTagGen"/>
      <sheetName val="PLMTypes"/>
      <sheetName val="IOTagGen"/>
      <sheetName val="IOTagSim"/>
      <sheetName val="StdTagAbbr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0">
          <cell r="C10" t="str">
            <v>Arc_Flash</v>
          </cell>
          <cell r="D10" t="str">
            <v>test1</v>
          </cell>
          <cell r="E10" t="str">
            <v>WT</v>
          </cell>
        </row>
        <row r="28">
          <cell r="C28" t="str">
            <v>LV_DOL</v>
          </cell>
          <cell r="D28" t="str">
            <v>HV_DOL</v>
          </cell>
          <cell r="E28" t="str">
            <v>LV_VSD</v>
          </cell>
          <cell r="F28" t="str">
            <v>HV_VSD</v>
          </cell>
          <cell r="G28" t="str">
            <v>Hydraulic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0F48C-9DAC-454F-AA49-7D6436DBFD6D}">
  <sheetPr codeName="Sheet9">
    <pageSetUpPr fitToPage="1"/>
  </sheetPr>
  <dimension ref="A1:BA1832"/>
  <sheetViews>
    <sheetView tabSelected="1" topLeftCell="A110" zoomScale="85" zoomScaleNormal="85" workbookViewId="0">
      <selection activeCell="D1019" sqref="D1019"/>
    </sheetView>
  </sheetViews>
  <sheetFormatPr defaultColWidth="9.1796875" defaultRowHeight="13" x14ac:dyDescent="0.3"/>
  <cols>
    <col min="1" max="1" width="13.54296875" style="102" customWidth="1"/>
    <col min="2" max="2" width="16.1796875" style="99" bestFit="1" customWidth="1"/>
    <col min="3" max="3" width="8.54296875" style="99" bestFit="1" customWidth="1"/>
    <col min="4" max="4" width="7.54296875" style="100" bestFit="1" customWidth="1"/>
    <col min="5" max="5" width="7" style="101" bestFit="1" customWidth="1"/>
    <col min="6" max="7" width="8.1796875" style="100" bestFit="1" customWidth="1"/>
    <col min="8" max="8" width="7.453125" style="99" bestFit="1" customWidth="1"/>
    <col min="9" max="9" width="6.453125" style="99" bestFit="1" customWidth="1"/>
    <col min="10" max="10" width="12.26953125" style="99" bestFit="1" customWidth="1"/>
    <col min="11" max="11" width="20.26953125" style="96" bestFit="1" customWidth="1"/>
    <col min="12" max="12" width="10.7265625" style="98" bestFit="1" customWidth="1"/>
    <col min="13" max="13" width="7.54296875" style="98" bestFit="1" customWidth="1"/>
    <col min="14" max="14" width="7.1796875" style="96" bestFit="1" customWidth="1"/>
    <col min="15" max="15" width="18.26953125" style="96" bestFit="1" customWidth="1"/>
    <col min="16" max="16" width="13.7265625" style="92" bestFit="1" customWidth="1"/>
    <col min="17" max="17" width="30" style="92" bestFit="1" customWidth="1"/>
    <col min="18" max="18" width="56.26953125" style="92" bestFit="1" customWidth="1"/>
    <col min="19" max="19" width="24.7265625" style="92" bestFit="1" customWidth="1"/>
    <col min="20" max="20" width="11.7265625" style="92" bestFit="1" customWidth="1"/>
    <col min="21" max="21" width="18.453125" style="92" bestFit="1" customWidth="1"/>
    <col min="22" max="22" width="11.7265625" style="92" bestFit="1" customWidth="1"/>
    <col min="23" max="23" width="17.54296875" style="92" bestFit="1" customWidth="1"/>
    <col min="24" max="24" width="20.7265625" style="96" bestFit="1" customWidth="1"/>
    <col min="25" max="25" width="9.81640625" style="97" bestFit="1" customWidth="1"/>
    <col min="26" max="26" width="42.81640625" style="96" bestFit="1" customWidth="1"/>
    <col min="27" max="27" width="8" style="92" bestFit="1" customWidth="1"/>
    <col min="28" max="28" width="8.1796875" style="92" bestFit="1" customWidth="1"/>
    <col min="29" max="29" width="13.1796875" style="95" bestFit="1" customWidth="1"/>
    <col min="30" max="30" width="11.81640625" style="92" bestFit="1" customWidth="1"/>
    <col min="31" max="31" width="12.54296875" style="92" bestFit="1" customWidth="1"/>
    <col min="32" max="32" width="11.453125" style="92" bestFit="1" customWidth="1"/>
    <col min="33" max="33" width="10.453125" style="92" bestFit="1" customWidth="1"/>
    <col min="34" max="34" width="8.81640625" style="94" bestFit="1" customWidth="1"/>
    <col min="35" max="38" width="4.1796875" style="94" bestFit="1" customWidth="1"/>
    <col min="39" max="39" width="17.1796875" style="92" bestFit="1" customWidth="1"/>
    <col min="40" max="40" width="19.81640625" style="92" bestFit="1" customWidth="1"/>
    <col min="41" max="41" width="18.26953125" style="92" bestFit="1" customWidth="1"/>
    <col min="42" max="42" width="10.7265625" style="93" bestFit="1" customWidth="1"/>
    <col min="43" max="43" width="10" style="93" bestFit="1" customWidth="1"/>
    <col min="44" max="44" width="10.453125" style="93" bestFit="1" customWidth="1"/>
    <col min="45" max="45" width="16" style="93" bestFit="1" customWidth="1"/>
    <col min="46" max="53" width="15" style="93" bestFit="1" customWidth="1"/>
    <col min="54" max="16384" width="9.1796875" style="92"/>
  </cols>
  <sheetData>
    <row r="1" spans="1:53" s="104" customFormat="1" x14ac:dyDescent="0.3">
      <c r="A1" s="121" t="s">
        <v>836</v>
      </c>
      <c r="B1" s="121" t="s">
        <v>835</v>
      </c>
      <c r="C1" s="121" t="s">
        <v>834</v>
      </c>
      <c r="D1" s="121" t="s">
        <v>833</v>
      </c>
      <c r="E1" s="199" t="s">
        <v>832</v>
      </c>
      <c r="F1" s="121" t="s">
        <v>831</v>
      </c>
      <c r="G1" s="121" t="s">
        <v>830</v>
      </c>
      <c r="H1" s="121" t="s">
        <v>829</v>
      </c>
      <c r="I1" s="121" t="s">
        <v>828</v>
      </c>
      <c r="J1" s="121" t="s">
        <v>827</v>
      </c>
      <c r="K1" s="104" t="s">
        <v>826</v>
      </c>
      <c r="L1" s="121" t="s">
        <v>825</v>
      </c>
      <c r="M1" s="121" t="s">
        <v>824</v>
      </c>
      <c r="N1" s="104" t="s">
        <v>813</v>
      </c>
      <c r="O1" s="104" t="s">
        <v>823</v>
      </c>
      <c r="P1" s="104" t="s">
        <v>822</v>
      </c>
      <c r="Q1" s="104" t="s">
        <v>821</v>
      </c>
      <c r="R1" s="104" t="s">
        <v>820</v>
      </c>
      <c r="S1" s="104" t="s">
        <v>819</v>
      </c>
      <c r="T1" s="104" t="s">
        <v>818</v>
      </c>
      <c r="U1" s="104" t="s">
        <v>817</v>
      </c>
      <c r="V1" s="104" t="s">
        <v>816</v>
      </c>
      <c r="W1" s="104" t="s">
        <v>815</v>
      </c>
      <c r="X1" s="104" t="s">
        <v>814</v>
      </c>
      <c r="Y1" s="160" t="s">
        <v>813</v>
      </c>
      <c r="Z1" s="104" t="s">
        <v>812</v>
      </c>
      <c r="AA1" s="9" t="s">
        <v>811</v>
      </c>
      <c r="AB1" s="9" t="s">
        <v>810</v>
      </c>
      <c r="AC1" s="9" t="s">
        <v>809</v>
      </c>
      <c r="AD1" s="9" t="s">
        <v>808</v>
      </c>
      <c r="AE1" s="9" t="s">
        <v>807</v>
      </c>
      <c r="AF1" s="9" t="s">
        <v>806</v>
      </c>
      <c r="AG1" s="9" t="s">
        <v>805</v>
      </c>
      <c r="AH1" s="91" t="s">
        <v>804</v>
      </c>
      <c r="AI1" s="91" t="s">
        <v>803</v>
      </c>
      <c r="AJ1" s="91" t="s">
        <v>802</v>
      </c>
      <c r="AK1" s="91" t="s">
        <v>801</v>
      </c>
      <c r="AL1" s="91" t="s">
        <v>800</v>
      </c>
      <c r="AM1" s="9"/>
      <c r="AN1" s="9"/>
      <c r="AO1" s="9"/>
      <c r="AP1" s="198" t="s">
        <v>799</v>
      </c>
      <c r="AQ1" s="198" t="s">
        <v>798</v>
      </c>
      <c r="AR1" s="198" t="s">
        <v>797</v>
      </c>
      <c r="AS1" s="198" t="s">
        <v>796</v>
      </c>
      <c r="AT1" s="198" t="s">
        <v>795</v>
      </c>
      <c r="AU1" s="198" t="s">
        <v>794</v>
      </c>
      <c r="AV1" s="198" t="s">
        <v>793</v>
      </c>
      <c r="AW1" s="198" t="s">
        <v>792</v>
      </c>
      <c r="AX1" s="198" t="s">
        <v>791</v>
      </c>
      <c r="AY1" s="198" t="s">
        <v>790</v>
      </c>
      <c r="AZ1" s="198" t="s">
        <v>789</v>
      </c>
      <c r="BA1" s="198" t="s">
        <v>788</v>
      </c>
    </row>
    <row r="2" spans="1:53" x14ac:dyDescent="0.3">
      <c r="A2" s="104"/>
      <c r="B2" s="104"/>
      <c r="C2" s="104"/>
      <c r="D2" s="92"/>
      <c r="E2" s="197"/>
      <c r="F2" s="160"/>
      <c r="G2" s="160"/>
      <c r="H2" s="104"/>
      <c r="I2" s="104"/>
      <c r="J2" s="104"/>
      <c r="K2" s="104"/>
      <c r="L2" s="121"/>
      <c r="M2" s="121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60"/>
      <c r="Z2" s="104"/>
      <c r="AA2" s="9"/>
      <c r="AB2" s="9"/>
      <c r="AU2" s="92"/>
      <c r="AV2" s="92"/>
      <c r="AX2" s="92"/>
      <c r="AY2" s="92"/>
      <c r="AZ2" s="92"/>
      <c r="BA2" s="92"/>
    </row>
    <row r="3" spans="1:53" ht="15.5" x14ac:dyDescent="0.35">
      <c r="A3" s="179"/>
      <c r="B3" s="162" t="s">
        <v>576</v>
      </c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8"/>
      <c r="Z3" s="104"/>
      <c r="AA3" s="104"/>
      <c r="AB3" s="104"/>
    </row>
    <row r="4" spans="1:53" ht="13.5" thickBot="1" x14ac:dyDescent="0.35">
      <c r="A4" s="93"/>
      <c r="B4" s="104"/>
      <c r="C4" s="104"/>
      <c r="D4" s="160"/>
      <c r="E4" s="197"/>
      <c r="F4" s="160"/>
      <c r="G4" s="160"/>
      <c r="H4" s="104"/>
      <c r="I4" s="104"/>
      <c r="J4" s="48"/>
      <c r="K4" s="48"/>
      <c r="L4" s="49"/>
      <c r="M4" s="86"/>
      <c r="N4" s="48"/>
      <c r="O4" s="48"/>
      <c r="P4" s="48"/>
      <c r="Q4" s="48"/>
      <c r="R4" s="104"/>
      <c r="S4" s="104"/>
      <c r="T4" s="104"/>
      <c r="U4" s="104"/>
      <c r="V4" s="104"/>
      <c r="W4" s="104"/>
      <c r="X4" s="104"/>
      <c r="Y4" s="160"/>
      <c r="Z4" s="104"/>
      <c r="AA4" s="104"/>
      <c r="AB4" s="104"/>
    </row>
    <row r="5" spans="1:53" ht="13.5" thickBot="1" x14ac:dyDescent="0.35">
      <c r="A5" s="158" t="s">
        <v>291</v>
      </c>
      <c r="B5" s="41" t="s">
        <v>535</v>
      </c>
      <c r="C5" s="41" t="s">
        <v>787</v>
      </c>
      <c r="D5" s="94">
        <v>130</v>
      </c>
      <c r="E5" s="94">
        <v>0</v>
      </c>
      <c r="F5" s="94">
        <v>0</v>
      </c>
      <c r="G5" s="94">
        <v>0</v>
      </c>
      <c r="H5" s="113">
        <v>0</v>
      </c>
      <c r="I5" s="269" t="s">
        <v>458</v>
      </c>
      <c r="J5" s="270"/>
      <c r="K5" s="41" t="s">
        <v>457</v>
      </c>
      <c r="L5" s="121"/>
      <c r="M5" s="86"/>
      <c r="N5" s="92"/>
      <c r="O5" s="92"/>
      <c r="P5" s="48"/>
      <c r="Q5" s="48"/>
      <c r="R5" s="48"/>
      <c r="S5" s="48"/>
      <c r="T5" s="48"/>
      <c r="U5" s="48"/>
      <c r="V5" s="48"/>
      <c r="W5" s="48"/>
      <c r="X5" s="48"/>
      <c r="Y5" s="87"/>
      <c r="Z5" s="48"/>
    </row>
    <row r="6" spans="1:53" ht="13.5" thickBot="1" x14ac:dyDescent="0.35">
      <c r="A6" s="102" t="str">
        <f t="shared" ref="A6:A18" si="0">A5</f>
        <v>BSR130</v>
      </c>
      <c r="B6" s="41" t="str">
        <f t="shared" ref="B6:B17" si="1">+B5</f>
        <v>DX01</v>
      </c>
      <c r="C6" s="41" t="str">
        <f t="shared" ref="C6:C17" si="2">+C5</f>
        <v>DIO0</v>
      </c>
      <c r="D6" s="94">
        <f t="shared" ref="D6:D18" si="3">$D$5</f>
        <v>130</v>
      </c>
      <c r="E6" s="94">
        <v>0</v>
      </c>
      <c r="F6" s="94">
        <v>0</v>
      </c>
      <c r="G6" s="94">
        <v>0</v>
      </c>
      <c r="H6" s="113">
        <v>0</v>
      </c>
      <c r="I6" s="269" t="s">
        <v>456</v>
      </c>
      <c r="J6" s="271"/>
      <c r="K6" s="41" t="s">
        <v>455</v>
      </c>
      <c r="L6" s="121"/>
      <c r="M6" s="88"/>
      <c r="N6" s="92"/>
      <c r="O6" s="92"/>
      <c r="P6" s="48"/>
      <c r="Q6" s="48"/>
      <c r="R6" s="48"/>
      <c r="S6" s="48"/>
      <c r="T6" s="48"/>
      <c r="U6" s="48"/>
      <c r="V6" s="48"/>
      <c r="W6" s="48"/>
      <c r="X6" s="48"/>
      <c r="Y6" s="87"/>
      <c r="Z6" s="48"/>
    </row>
    <row r="7" spans="1:53" ht="13.5" thickBot="1" x14ac:dyDescent="0.35">
      <c r="A7" s="102" t="str">
        <f t="shared" si="0"/>
        <v>BSR130</v>
      </c>
      <c r="B7" s="41" t="str">
        <f t="shared" si="1"/>
        <v>DX01</v>
      </c>
      <c r="C7" s="41" t="str">
        <f t="shared" si="2"/>
        <v>DIO0</v>
      </c>
      <c r="D7" s="94">
        <f t="shared" si="3"/>
        <v>130</v>
      </c>
      <c r="E7" s="94">
        <v>0</v>
      </c>
      <c r="F7" s="94">
        <v>0</v>
      </c>
      <c r="G7" s="94">
        <v>0</v>
      </c>
      <c r="H7" s="47">
        <v>0</v>
      </c>
      <c r="I7" s="269" t="s">
        <v>786</v>
      </c>
      <c r="J7" s="270"/>
      <c r="K7" s="41" t="s">
        <v>785</v>
      </c>
      <c r="L7" s="107" t="s">
        <v>0</v>
      </c>
      <c r="M7" s="88"/>
      <c r="N7" s="92"/>
      <c r="O7" s="92"/>
      <c r="P7" s="48"/>
      <c r="Q7" s="48"/>
      <c r="R7" s="104" t="s">
        <v>784</v>
      </c>
      <c r="S7" s="48"/>
      <c r="T7" s="48"/>
      <c r="U7" s="48"/>
      <c r="V7" s="48"/>
      <c r="X7" s="48"/>
      <c r="Y7" s="87"/>
      <c r="Z7" s="48"/>
    </row>
    <row r="8" spans="1:53" ht="13.5" thickBot="1" x14ac:dyDescent="0.35">
      <c r="A8" s="102" t="str">
        <f t="shared" si="0"/>
        <v>BSR130</v>
      </c>
      <c r="B8" s="41" t="str">
        <f t="shared" si="1"/>
        <v>DX01</v>
      </c>
      <c r="C8" s="41" t="str">
        <f t="shared" si="2"/>
        <v>DIO0</v>
      </c>
      <c r="D8" s="94">
        <f t="shared" si="3"/>
        <v>130</v>
      </c>
      <c r="E8" s="94">
        <v>0</v>
      </c>
      <c r="F8" s="94">
        <v>0</v>
      </c>
      <c r="G8" s="94">
        <v>0</v>
      </c>
      <c r="H8" s="47" t="s">
        <v>783</v>
      </c>
      <c r="I8" s="269" t="s">
        <v>782</v>
      </c>
      <c r="J8" s="270"/>
      <c r="K8" s="41" t="s">
        <v>781</v>
      </c>
      <c r="L8" s="196"/>
      <c r="M8" s="88"/>
      <c r="N8" s="92"/>
      <c r="O8" s="92"/>
      <c r="P8" s="48"/>
      <c r="Q8" s="48"/>
      <c r="R8" s="48"/>
      <c r="S8" s="48"/>
      <c r="T8" s="48"/>
      <c r="U8" s="48"/>
      <c r="V8" s="48"/>
      <c r="X8" s="48"/>
      <c r="Y8" s="87"/>
      <c r="Z8" s="48"/>
    </row>
    <row r="9" spans="1:53" ht="13.5" thickBot="1" x14ac:dyDescent="0.35">
      <c r="A9" s="102" t="str">
        <f t="shared" si="0"/>
        <v>BSR130</v>
      </c>
      <c r="B9" s="41" t="str">
        <f t="shared" si="1"/>
        <v>DX01</v>
      </c>
      <c r="C9" s="41" t="str">
        <f t="shared" si="2"/>
        <v>DIO0</v>
      </c>
      <c r="D9" s="94">
        <f t="shared" si="3"/>
        <v>130</v>
      </c>
      <c r="E9" s="94">
        <v>0</v>
      </c>
      <c r="F9" s="94">
        <v>0</v>
      </c>
      <c r="G9" s="94">
        <v>0</v>
      </c>
      <c r="H9" s="166">
        <v>2</v>
      </c>
      <c r="I9" s="269" t="s">
        <v>773</v>
      </c>
      <c r="J9" s="270"/>
      <c r="K9" s="41" t="s">
        <v>300</v>
      </c>
      <c r="L9" s="48"/>
      <c r="M9" s="88"/>
      <c r="N9" s="92"/>
      <c r="O9" s="92"/>
      <c r="P9" s="48"/>
      <c r="Q9" s="48"/>
      <c r="R9" s="48"/>
      <c r="S9" s="48"/>
      <c r="T9" s="48"/>
      <c r="U9" s="48"/>
      <c r="V9" s="48"/>
      <c r="X9" s="48"/>
      <c r="Y9" s="87"/>
      <c r="Z9" s="48"/>
    </row>
    <row r="10" spans="1:53" ht="13.5" thickBot="1" x14ac:dyDescent="0.35">
      <c r="A10" s="102" t="str">
        <f t="shared" si="0"/>
        <v>BSR130</v>
      </c>
      <c r="B10" s="41" t="str">
        <f t="shared" si="1"/>
        <v>DX01</v>
      </c>
      <c r="C10" s="41" t="str">
        <f t="shared" si="2"/>
        <v>DIO0</v>
      </c>
      <c r="D10" s="94">
        <f t="shared" si="3"/>
        <v>130</v>
      </c>
      <c r="E10" s="94">
        <v>0</v>
      </c>
      <c r="F10" s="94">
        <v>0</v>
      </c>
      <c r="G10" s="94">
        <v>0</v>
      </c>
      <c r="H10" s="45">
        <f>+H9+1</f>
        <v>3</v>
      </c>
      <c r="I10" s="269" t="s">
        <v>451</v>
      </c>
      <c r="J10" s="270"/>
      <c r="K10" s="41" t="s">
        <v>776</v>
      </c>
      <c r="L10" s="195" t="s">
        <v>780</v>
      </c>
      <c r="M10" s="88"/>
      <c r="N10" s="92"/>
      <c r="O10" s="92"/>
      <c r="P10" s="48"/>
      <c r="Q10" s="48"/>
      <c r="R10" s="48" t="s">
        <v>779</v>
      </c>
      <c r="S10" s="48"/>
      <c r="T10" s="48"/>
      <c r="U10" s="48"/>
      <c r="V10" s="48"/>
      <c r="X10" s="48"/>
      <c r="Y10" s="87"/>
      <c r="Z10" s="48"/>
    </row>
    <row r="11" spans="1:53" ht="13.5" thickBot="1" x14ac:dyDescent="0.35">
      <c r="A11" s="102" t="str">
        <f t="shared" si="0"/>
        <v>BSR130</v>
      </c>
      <c r="B11" s="41" t="str">
        <f t="shared" si="1"/>
        <v>DX01</v>
      </c>
      <c r="C11" s="41" t="str">
        <f t="shared" si="2"/>
        <v>DIO0</v>
      </c>
      <c r="D11" s="94">
        <f t="shared" si="3"/>
        <v>130</v>
      </c>
      <c r="E11" s="94">
        <v>0</v>
      </c>
      <c r="F11" s="94">
        <v>0</v>
      </c>
      <c r="G11" s="94">
        <v>0</v>
      </c>
      <c r="H11" s="45">
        <f>+H10+1</f>
        <v>4</v>
      </c>
      <c r="I11" s="269" t="s">
        <v>451</v>
      </c>
      <c r="J11" s="270"/>
      <c r="K11" s="41" t="s">
        <v>776</v>
      </c>
      <c r="L11" s="194" t="s">
        <v>778</v>
      </c>
      <c r="M11" s="88"/>
      <c r="N11" s="92"/>
      <c r="O11" s="92"/>
      <c r="P11" s="48"/>
      <c r="Q11" s="48"/>
      <c r="R11" s="48" t="s">
        <v>777</v>
      </c>
      <c r="S11" s="48"/>
      <c r="T11" s="48"/>
      <c r="U11" s="48"/>
      <c r="V11" s="48"/>
      <c r="X11" s="48"/>
      <c r="Y11" s="87"/>
      <c r="Z11" s="48"/>
    </row>
    <row r="12" spans="1:53" ht="13.5" thickBot="1" x14ac:dyDescent="0.35">
      <c r="A12" s="102" t="str">
        <f t="shared" si="0"/>
        <v>BSR130</v>
      </c>
      <c r="B12" s="41" t="str">
        <f t="shared" si="1"/>
        <v>DX01</v>
      </c>
      <c r="C12" s="41" t="str">
        <f t="shared" si="2"/>
        <v>DIO0</v>
      </c>
      <c r="D12" s="94">
        <f t="shared" si="3"/>
        <v>130</v>
      </c>
      <c r="E12" s="94">
        <v>0</v>
      </c>
      <c r="F12" s="94">
        <v>0</v>
      </c>
      <c r="G12" s="94">
        <v>0</v>
      </c>
      <c r="H12" s="45">
        <v>5</v>
      </c>
      <c r="I12" s="269" t="s">
        <v>451</v>
      </c>
      <c r="J12" s="270"/>
      <c r="K12" s="41" t="s">
        <v>776</v>
      </c>
      <c r="L12" s="107" t="s">
        <v>0</v>
      </c>
      <c r="M12" s="88"/>
      <c r="N12" s="92"/>
      <c r="O12" s="92"/>
      <c r="P12" s="48"/>
      <c r="Q12" s="48"/>
      <c r="R12" s="48" t="s">
        <v>775</v>
      </c>
      <c r="S12" s="48"/>
      <c r="T12" s="48"/>
      <c r="U12" s="48"/>
      <c r="V12" s="48"/>
      <c r="X12" s="48"/>
      <c r="Y12" s="87"/>
      <c r="Z12" s="48"/>
    </row>
    <row r="13" spans="1:53" ht="13.5" thickBot="1" x14ac:dyDescent="0.35">
      <c r="A13" s="102" t="str">
        <f t="shared" si="0"/>
        <v>BSR130</v>
      </c>
      <c r="B13" s="41" t="str">
        <f t="shared" si="1"/>
        <v>DX01</v>
      </c>
      <c r="C13" s="41" t="str">
        <f t="shared" si="2"/>
        <v>DIO0</v>
      </c>
      <c r="D13" s="94">
        <f t="shared" si="3"/>
        <v>130</v>
      </c>
      <c r="E13" s="94">
        <v>0</v>
      </c>
      <c r="F13" s="94">
        <v>0</v>
      </c>
      <c r="G13" s="94">
        <v>0</v>
      </c>
      <c r="H13" s="45">
        <f t="shared" ref="H13:H18" si="4">+H12+1</f>
        <v>6</v>
      </c>
      <c r="I13" s="269" t="s">
        <v>774</v>
      </c>
      <c r="J13" s="270"/>
      <c r="K13" s="41" t="s">
        <v>300</v>
      </c>
      <c r="L13" s="121"/>
      <c r="M13" s="86"/>
      <c r="N13" s="92"/>
      <c r="O13" s="92"/>
      <c r="P13" s="48"/>
      <c r="Q13" s="48"/>
      <c r="R13" s="48"/>
      <c r="S13" s="48"/>
      <c r="T13" s="48"/>
      <c r="U13" s="48"/>
      <c r="V13" s="48"/>
      <c r="X13" s="48"/>
      <c r="Y13" s="87"/>
      <c r="Z13" s="48"/>
    </row>
    <row r="14" spans="1:53" ht="13.5" thickBot="1" x14ac:dyDescent="0.35">
      <c r="A14" s="102" t="str">
        <f t="shared" si="0"/>
        <v>BSR130</v>
      </c>
      <c r="B14" s="41" t="str">
        <f t="shared" si="1"/>
        <v>DX01</v>
      </c>
      <c r="C14" s="41" t="str">
        <f t="shared" si="2"/>
        <v>DIO0</v>
      </c>
      <c r="D14" s="94">
        <f t="shared" si="3"/>
        <v>130</v>
      </c>
      <c r="E14" s="94">
        <v>0</v>
      </c>
      <c r="F14" s="94">
        <v>0</v>
      </c>
      <c r="G14" s="94">
        <v>0</v>
      </c>
      <c r="H14" s="45">
        <f t="shared" si="4"/>
        <v>7</v>
      </c>
      <c r="I14" s="269" t="s">
        <v>774</v>
      </c>
      <c r="J14" s="270"/>
      <c r="K14" s="41" t="s">
        <v>300</v>
      </c>
      <c r="L14" s="121"/>
      <c r="M14" s="86"/>
      <c r="N14" s="92"/>
      <c r="O14" s="92"/>
      <c r="P14" s="48"/>
      <c r="Q14" s="48"/>
      <c r="R14" s="48"/>
      <c r="S14" s="48"/>
      <c r="T14" s="48"/>
      <c r="U14" s="48"/>
      <c r="V14" s="48"/>
      <c r="X14" s="48"/>
      <c r="Y14" s="87"/>
      <c r="Z14" s="48"/>
    </row>
    <row r="15" spans="1:53" ht="13.5" thickBot="1" x14ac:dyDescent="0.35">
      <c r="A15" s="102" t="str">
        <f t="shared" si="0"/>
        <v>BSR130</v>
      </c>
      <c r="B15" s="41" t="str">
        <f t="shared" si="1"/>
        <v>DX01</v>
      </c>
      <c r="C15" s="41" t="str">
        <f t="shared" si="2"/>
        <v>DIO0</v>
      </c>
      <c r="D15" s="94">
        <f t="shared" si="3"/>
        <v>130</v>
      </c>
      <c r="E15" s="94">
        <v>0</v>
      </c>
      <c r="F15" s="94">
        <v>0</v>
      </c>
      <c r="G15" s="94">
        <v>0</v>
      </c>
      <c r="H15" s="45">
        <f t="shared" si="4"/>
        <v>8</v>
      </c>
      <c r="I15" s="269" t="s">
        <v>773</v>
      </c>
      <c r="J15" s="270"/>
      <c r="K15" s="41" t="s">
        <v>300</v>
      </c>
      <c r="L15" s="121"/>
      <c r="M15" s="86"/>
      <c r="N15" s="92"/>
      <c r="O15" s="92"/>
      <c r="P15" s="48"/>
      <c r="Q15" s="48"/>
      <c r="R15" s="48"/>
      <c r="S15" s="48"/>
      <c r="T15" s="48"/>
      <c r="U15" s="48"/>
      <c r="V15" s="48"/>
      <c r="X15" s="48"/>
      <c r="Y15" s="87"/>
      <c r="Z15" s="48"/>
    </row>
    <row r="16" spans="1:53" ht="13.5" thickBot="1" x14ac:dyDescent="0.35">
      <c r="A16" s="102" t="str">
        <f t="shared" si="0"/>
        <v>BSR130</v>
      </c>
      <c r="B16" s="41" t="str">
        <f t="shared" si="1"/>
        <v>DX01</v>
      </c>
      <c r="C16" s="41" t="str">
        <f t="shared" si="2"/>
        <v>DIO0</v>
      </c>
      <c r="D16" s="94">
        <f t="shared" si="3"/>
        <v>130</v>
      </c>
      <c r="E16" s="94">
        <v>0</v>
      </c>
      <c r="F16" s="94">
        <v>0</v>
      </c>
      <c r="G16" s="94">
        <v>0</v>
      </c>
      <c r="H16" s="45">
        <f t="shared" si="4"/>
        <v>9</v>
      </c>
      <c r="I16" s="269" t="s">
        <v>774</v>
      </c>
      <c r="J16" s="270"/>
      <c r="K16" s="41" t="s">
        <v>300</v>
      </c>
      <c r="L16" s="121"/>
      <c r="M16" s="86"/>
      <c r="N16" s="92"/>
      <c r="O16" s="92"/>
      <c r="P16" s="48"/>
      <c r="Q16" s="48"/>
      <c r="R16" s="48"/>
      <c r="S16" s="48"/>
      <c r="T16" s="48"/>
      <c r="U16" s="48"/>
      <c r="V16" s="48"/>
      <c r="X16" s="48"/>
      <c r="Y16" s="87"/>
      <c r="Z16" s="48"/>
    </row>
    <row r="17" spans="1:36" ht="13.5" thickBot="1" x14ac:dyDescent="0.35">
      <c r="A17" s="102" t="str">
        <f t="shared" si="0"/>
        <v>BSR130</v>
      </c>
      <c r="B17" s="41" t="str">
        <f t="shared" si="1"/>
        <v>DX01</v>
      </c>
      <c r="C17" s="41" t="str">
        <f t="shared" si="2"/>
        <v>DIO0</v>
      </c>
      <c r="D17" s="94">
        <f t="shared" si="3"/>
        <v>130</v>
      </c>
      <c r="E17" s="94">
        <v>0</v>
      </c>
      <c r="F17" s="94">
        <v>0</v>
      </c>
      <c r="G17" s="94">
        <v>0</v>
      </c>
      <c r="H17" s="166">
        <f t="shared" si="4"/>
        <v>10</v>
      </c>
      <c r="I17" s="269" t="s">
        <v>773</v>
      </c>
      <c r="J17" s="270"/>
      <c r="K17" s="41" t="s">
        <v>300</v>
      </c>
      <c r="L17" s="121"/>
      <c r="M17" s="86"/>
      <c r="N17" s="92"/>
      <c r="O17" s="92"/>
      <c r="P17" s="48"/>
      <c r="Q17" s="48"/>
      <c r="R17" s="48"/>
      <c r="S17" s="48"/>
      <c r="T17" s="48"/>
      <c r="U17" s="48"/>
      <c r="V17" s="48"/>
      <c r="X17" s="48"/>
      <c r="Y17" s="87"/>
      <c r="Z17" s="48"/>
    </row>
    <row r="18" spans="1:36" ht="13.5" thickBot="1" x14ac:dyDescent="0.35">
      <c r="A18" s="102" t="str">
        <f t="shared" si="0"/>
        <v>BSR130</v>
      </c>
      <c r="B18" s="41" t="str">
        <f>+B13</f>
        <v>DX01</v>
      </c>
      <c r="C18" s="41" t="str">
        <f>+C13</f>
        <v>DIO0</v>
      </c>
      <c r="D18" s="94">
        <f t="shared" si="3"/>
        <v>130</v>
      </c>
      <c r="E18" s="94">
        <v>0</v>
      </c>
      <c r="F18" s="94">
        <v>0</v>
      </c>
      <c r="G18" s="94">
        <v>0</v>
      </c>
      <c r="H18" s="166">
        <f t="shared" si="4"/>
        <v>11</v>
      </c>
      <c r="I18" s="269" t="s">
        <v>773</v>
      </c>
      <c r="J18" s="270"/>
      <c r="K18" s="41" t="s">
        <v>300</v>
      </c>
      <c r="L18" s="110"/>
      <c r="M18" s="86"/>
      <c r="N18" s="92"/>
      <c r="O18" s="92"/>
      <c r="P18" s="48"/>
      <c r="Q18" s="48"/>
      <c r="R18" s="48"/>
      <c r="S18" s="48"/>
      <c r="T18" s="48"/>
      <c r="U18" s="48"/>
      <c r="V18" s="48"/>
      <c r="X18" s="48"/>
      <c r="Y18" s="87"/>
      <c r="Z18" s="48"/>
    </row>
    <row r="19" spans="1:36" x14ac:dyDescent="0.3">
      <c r="A19" s="104"/>
      <c r="B19" s="104"/>
      <c r="C19" s="104"/>
      <c r="D19" s="160"/>
      <c r="E19" s="160"/>
      <c r="F19" s="160"/>
      <c r="G19" s="160"/>
      <c r="H19" s="104"/>
      <c r="I19" s="104"/>
      <c r="J19" s="104"/>
      <c r="K19" s="104"/>
      <c r="L19" s="121"/>
      <c r="M19" s="86"/>
      <c r="N19" s="104"/>
      <c r="O19" s="104"/>
      <c r="P19" s="104"/>
      <c r="Q19" s="104"/>
      <c r="R19" s="104"/>
      <c r="S19" s="104"/>
      <c r="T19" s="104"/>
      <c r="U19" s="104"/>
      <c r="V19" s="104"/>
      <c r="X19" s="104"/>
      <c r="Y19" s="160"/>
      <c r="Z19" s="104"/>
    </row>
    <row r="20" spans="1:36" x14ac:dyDescent="0.3">
      <c r="A20" s="104"/>
      <c r="B20" s="104"/>
      <c r="C20" s="104"/>
      <c r="D20" s="160"/>
      <c r="E20" s="160"/>
      <c r="F20" s="160"/>
      <c r="G20" s="160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65"/>
      <c r="S20" s="104"/>
      <c r="T20" s="104"/>
      <c r="U20" s="104"/>
      <c r="V20" s="104"/>
      <c r="X20" s="104"/>
      <c r="Y20" s="160"/>
      <c r="Z20" s="104"/>
    </row>
    <row r="21" spans="1:36" ht="13.5" thickBot="1" x14ac:dyDescent="0.35">
      <c r="A21" s="129" t="s">
        <v>772</v>
      </c>
      <c r="B21" s="104"/>
      <c r="C21" s="104"/>
      <c r="D21" s="160"/>
      <c r="E21" s="160"/>
      <c r="F21" s="160"/>
      <c r="G21" s="160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65"/>
      <c r="S21" s="104"/>
      <c r="T21" s="104"/>
      <c r="U21" s="104"/>
      <c r="V21" s="104"/>
      <c r="X21" s="104"/>
      <c r="Y21" s="160"/>
      <c r="Z21" s="104"/>
    </row>
    <row r="22" spans="1:36" ht="13.5" thickBot="1" x14ac:dyDescent="0.35">
      <c r="A22" s="158" t="s">
        <v>291</v>
      </c>
      <c r="B22" s="92" t="s">
        <v>535</v>
      </c>
      <c r="C22" s="93" t="s">
        <v>459</v>
      </c>
      <c r="D22" s="94">
        <f t="shared" ref="D22:D85" si="5">$D$5</f>
        <v>130</v>
      </c>
      <c r="E22" s="94">
        <v>2</v>
      </c>
      <c r="F22" s="94">
        <v>1</v>
      </c>
      <c r="G22" s="94">
        <v>0</v>
      </c>
      <c r="H22" s="113">
        <v>0</v>
      </c>
      <c r="I22" s="272" t="s">
        <v>458</v>
      </c>
      <c r="J22" s="273"/>
      <c r="K22" s="93" t="s">
        <v>457</v>
      </c>
      <c r="L22" s="104"/>
      <c r="M22" s="104"/>
      <c r="N22" s="104"/>
      <c r="O22" s="104"/>
      <c r="P22" s="104"/>
      <c r="Q22" s="104"/>
      <c r="R22" s="65"/>
      <c r="S22" s="104"/>
      <c r="T22" s="104"/>
      <c r="U22" s="104"/>
      <c r="V22" s="104"/>
      <c r="X22" s="104"/>
      <c r="Y22" s="160"/>
      <c r="Z22" s="104"/>
      <c r="AA22" s="9"/>
      <c r="AB22" s="9"/>
    </row>
    <row r="23" spans="1:36" ht="13.5" thickBot="1" x14ac:dyDescent="0.35">
      <c r="A23" s="102" t="str">
        <f t="shared" ref="A23:A56" si="6">A22</f>
        <v>BSR130</v>
      </c>
      <c r="B23" s="93" t="str">
        <f t="shared" ref="B23:B54" si="7">+B22</f>
        <v>DX01</v>
      </c>
      <c r="C23" s="93" t="str">
        <f t="shared" ref="C23:C54" si="8">+C22</f>
        <v>DIO1</v>
      </c>
      <c r="D23" s="94">
        <f t="shared" si="5"/>
        <v>130</v>
      </c>
      <c r="E23" s="94">
        <v>2</v>
      </c>
      <c r="F23" s="94">
        <f t="shared" ref="F23:F54" si="9">+F22</f>
        <v>1</v>
      </c>
      <c r="G23" s="94">
        <v>0</v>
      </c>
      <c r="H23" s="113">
        <v>0</v>
      </c>
      <c r="I23" s="272" t="s">
        <v>456</v>
      </c>
      <c r="J23" s="273"/>
      <c r="K23" s="93" t="s">
        <v>455</v>
      </c>
      <c r="L23" s="121"/>
      <c r="M23" s="121"/>
      <c r="N23" s="176" t="s">
        <v>454</v>
      </c>
      <c r="O23" s="176"/>
      <c r="P23" s="176" t="s">
        <v>453</v>
      </c>
      <c r="Q23" s="176"/>
      <c r="R23" s="176" t="s">
        <v>452</v>
      </c>
      <c r="S23" s="104"/>
      <c r="T23" s="104"/>
      <c r="U23" s="104"/>
      <c r="V23" s="104"/>
      <c r="X23" s="104"/>
      <c r="Y23" s="160"/>
      <c r="Z23" s="104"/>
      <c r="AA23" s="9"/>
      <c r="AB23" s="9"/>
    </row>
    <row r="24" spans="1:36" ht="13.5" thickBot="1" x14ac:dyDescent="0.35">
      <c r="A24" s="102" t="str">
        <f t="shared" si="6"/>
        <v>BSR130</v>
      </c>
      <c r="B24" s="93" t="str">
        <f t="shared" si="7"/>
        <v>DX01</v>
      </c>
      <c r="C24" s="93" t="str">
        <f t="shared" si="8"/>
        <v>DIO1</v>
      </c>
      <c r="D24" s="94">
        <f t="shared" si="5"/>
        <v>130</v>
      </c>
      <c r="E24" s="94">
        <v>2</v>
      </c>
      <c r="F24" s="94">
        <f t="shared" si="9"/>
        <v>1</v>
      </c>
      <c r="G24" s="94">
        <v>0</v>
      </c>
      <c r="H24" s="113">
        <v>0</v>
      </c>
      <c r="I24" s="272" t="s">
        <v>451</v>
      </c>
      <c r="J24" s="274"/>
      <c r="K24" s="92" t="s">
        <v>450</v>
      </c>
      <c r="L24" s="107" t="s">
        <v>449</v>
      </c>
      <c r="M24" s="177"/>
      <c r="N24" s="176">
        <f>+COUNTA(L25:L248)</f>
        <v>208</v>
      </c>
      <c r="O24" s="176"/>
      <c r="P24" s="176">
        <f>N24-COUNTA(P25:P248)</f>
        <v>68</v>
      </c>
      <c r="Q24" s="176"/>
      <c r="R24" s="69">
        <f>+P24/N24</f>
        <v>0.32692307692307693</v>
      </c>
      <c r="S24" s="104"/>
      <c r="T24" s="175"/>
      <c r="U24" s="104"/>
      <c r="V24" s="104"/>
      <c r="W24" s="92" t="str">
        <f t="shared" ref="W24:W87" si="10">+CONCATENATE(E24,".",F24,"\",G24,".",H24,":",I24)</f>
        <v>2.1\0.0:Comms</v>
      </c>
      <c r="X24" s="104"/>
      <c r="Y24" s="160"/>
      <c r="Z24" s="104"/>
      <c r="AA24" s="104"/>
      <c r="AB24" s="104"/>
    </row>
    <row r="25" spans="1:36" x14ac:dyDescent="0.3">
      <c r="A25" s="102" t="str">
        <f t="shared" si="6"/>
        <v>BSR130</v>
      </c>
      <c r="B25" s="93" t="str">
        <f t="shared" si="7"/>
        <v>DX01</v>
      </c>
      <c r="C25" s="93" t="str">
        <f t="shared" si="8"/>
        <v>DIO1</v>
      </c>
      <c r="D25" s="94">
        <f t="shared" si="5"/>
        <v>130</v>
      </c>
      <c r="E25" s="94">
        <v>2</v>
      </c>
      <c r="F25" s="94">
        <f t="shared" si="9"/>
        <v>1</v>
      </c>
      <c r="G25" s="94">
        <v>0</v>
      </c>
      <c r="H25" s="173">
        <f>+H24+1</f>
        <v>1</v>
      </c>
      <c r="I25" s="165">
        <v>0</v>
      </c>
      <c r="J25" s="172" t="s">
        <v>316</v>
      </c>
      <c r="K25" s="93" t="s">
        <v>315</v>
      </c>
      <c r="L25" s="92" t="s">
        <v>21</v>
      </c>
      <c r="M25" s="92"/>
      <c r="N25" s="92">
        <v>4</v>
      </c>
      <c r="O25" s="93" t="s">
        <v>401</v>
      </c>
      <c r="P25" s="93" t="s">
        <v>350</v>
      </c>
      <c r="Q25" s="93"/>
      <c r="R25" s="93" t="s">
        <v>771</v>
      </c>
      <c r="S25" s="93" t="s">
        <v>18</v>
      </c>
      <c r="T25" s="93" t="s">
        <v>770</v>
      </c>
      <c r="U25" s="93" t="s">
        <v>401</v>
      </c>
      <c r="W25" s="92" t="str">
        <f t="shared" si="10"/>
        <v>2.1\0.1:0</v>
      </c>
      <c r="X25" s="92" t="s">
        <v>742</v>
      </c>
      <c r="Y25" s="94" t="s">
        <v>4</v>
      </c>
      <c r="Z25" s="276" t="s">
        <v>769</v>
      </c>
      <c r="AA25" s="104"/>
      <c r="AB25" s="104"/>
      <c r="AH25" s="94" t="s">
        <v>768</v>
      </c>
      <c r="AI25" s="168">
        <v>1</v>
      </c>
      <c r="AJ25" s="168">
        <v>2</v>
      </c>
    </row>
    <row r="26" spans="1:36" x14ac:dyDescent="0.3">
      <c r="A26" s="102" t="str">
        <f t="shared" si="6"/>
        <v>BSR130</v>
      </c>
      <c r="B26" s="93" t="str">
        <f t="shared" si="7"/>
        <v>DX01</v>
      </c>
      <c r="C26" s="93" t="str">
        <f t="shared" si="8"/>
        <v>DIO1</v>
      </c>
      <c r="D26" s="94">
        <f t="shared" si="5"/>
        <v>130</v>
      </c>
      <c r="E26" s="94">
        <v>2</v>
      </c>
      <c r="F26" s="94">
        <f t="shared" si="9"/>
        <v>1</v>
      </c>
      <c r="G26" s="94">
        <v>0</v>
      </c>
      <c r="H26" s="171">
        <f>H25</f>
        <v>1</v>
      </c>
      <c r="I26" s="163">
        <f t="shared" ref="I26:I56" si="11">+I25+1</f>
        <v>1</v>
      </c>
      <c r="J26" s="172"/>
      <c r="K26" s="92"/>
      <c r="L26" s="92" t="s">
        <v>21</v>
      </c>
      <c r="M26" s="92"/>
      <c r="N26" s="92">
        <v>4</v>
      </c>
      <c r="O26" s="93" t="s">
        <v>401</v>
      </c>
      <c r="P26" s="93" t="s">
        <v>439</v>
      </c>
      <c r="Q26" s="93"/>
      <c r="R26" s="92" t="s">
        <v>767</v>
      </c>
      <c r="S26" s="93" t="s">
        <v>24</v>
      </c>
      <c r="T26" s="93" t="s">
        <v>766</v>
      </c>
      <c r="U26" s="93" t="s">
        <v>401</v>
      </c>
      <c r="W26" s="92" t="str">
        <f t="shared" si="10"/>
        <v>2.1\0.1:1</v>
      </c>
      <c r="X26" s="92" t="s">
        <v>742</v>
      </c>
      <c r="Y26" s="94" t="s">
        <v>4</v>
      </c>
      <c r="Z26" s="276"/>
      <c r="AA26" s="104"/>
      <c r="AB26" s="104"/>
      <c r="AH26" s="94" t="str">
        <f t="shared" ref="AH26:AH56" si="12">+AH25</f>
        <v>F1</v>
      </c>
      <c r="AI26" s="168">
        <v>3</v>
      </c>
      <c r="AJ26" s="168">
        <v>4</v>
      </c>
    </row>
    <row r="27" spans="1:36" x14ac:dyDescent="0.3">
      <c r="A27" s="102" t="str">
        <f t="shared" si="6"/>
        <v>BSR130</v>
      </c>
      <c r="B27" s="93" t="str">
        <f t="shared" si="7"/>
        <v>DX01</v>
      </c>
      <c r="C27" s="93" t="str">
        <f t="shared" si="8"/>
        <v>DIO1</v>
      </c>
      <c r="D27" s="94">
        <f t="shared" si="5"/>
        <v>130</v>
      </c>
      <c r="E27" s="94">
        <v>2</v>
      </c>
      <c r="F27" s="94">
        <f t="shared" si="9"/>
        <v>1</v>
      </c>
      <c r="G27" s="94">
        <v>0</v>
      </c>
      <c r="H27" s="171">
        <f>H25</f>
        <v>1</v>
      </c>
      <c r="I27" s="163">
        <f t="shared" si="11"/>
        <v>2</v>
      </c>
      <c r="J27" s="172"/>
      <c r="K27" s="124"/>
      <c r="L27" s="92" t="s">
        <v>21</v>
      </c>
      <c r="M27" s="92"/>
      <c r="N27" s="92">
        <v>4</v>
      </c>
      <c r="O27" s="93" t="s">
        <v>401</v>
      </c>
      <c r="P27" s="93" t="s">
        <v>367</v>
      </c>
      <c r="Q27" s="93"/>
      <c r="R27" s="92" t="s">
        <v>765</v>
      </c>
      <c r="S27" s="93" t="s">
        <v>24</v>
      </c>
      <c r="T27" s="93" t="s">
        <v>764</v>
      </c>
      <c r="U27" s="93" t="s">
        <v>401</v>
      </c>
      <c r="W27" s="92" t="str">
        <f t="shared" si="10"/>
        <v>2.1\0.1:2</v>
      </c>
      <c r="X27" s="92" t="s">
        <v>742</v>
      </c>
      <c r="Y27" s="94" t="s">
        <v>4</v>
      </c>
      <c r="Z27" s="276"/>
      <c r="AA27" s="104"/>
      <c r="AB27" s="104"/>
      <c r="AH27" s="94" t="str">
        <f t="shared" si="12"/>
        <v>F1</v>
      </c>
      <c r="AI27" s="168">
        <v>5</v>
      </c>
      <c r="AJ27" s="168">
        <v>6</v>
      </c>
    </row>
    <row r="28" spans="1:36" x14ac:dyDescent="0.3">
      <c r="A28" s="102" t="str">
        <f t="shared" si="6"/>
        <v>BSR130</v>
      </c>
      <c r="B28" s="93" t="str">
        <f t="shared" si="7"/>
        <v>DX01</v>
      </c>
      <c r="C28" s="93" t="str">
        <f t="shared" si="8"/>
        <v>DIO1</v>
      </c>
      <c r="D28" s="94">
        <f t="shared" si="5"/>
        <v>130</v>
      </c>
      <c r="E28" s="94">
        <v>2</v>
      </c>
      <c r="F28" s="94">
        <f t="shared" si="9"/>
        <v>1</v>
      </c>
      <c r="G28" s="94">
        <v>0</v>
      </c>
      <c r="H28" s="171">
        <f t="shared" ref="H28:H39" si="13">H25</f>
        <v>1</v>
      </c>
      <c r="I28" s="163">
        <f t="shared" si="11"/>
        <v>3</v>
      </c>
      <c r="J28" s="172"/>
      <c r="K28" s="124"/>
      <c r="L28" s="92" t="s">
        <v>21</v>
      </c>
      <c r="M28" s="92"/>
      <c r="N28" s="92">
        <v>4</v>
      </c>
      <c r="O28" s="93" t="s">
        <v>401</v>
      </c>
      <c r="P28" s="93" t="s">
        <v>364</v>
      </c>
      <c r="Q28" s="93"/>
      <c r="R28" s="92" t="s">
        <v>763</v>
      </c>
      <c r="S28" s="93" t="s">
        <v>24</v>
      </c>
      <c r="T28" s="93" t="s">
        <v>762</v>
      </c>
      <c r="U28" s="93" t="s">
        <v>401</v>
      </c>
      <c r="W28" s="92" t="str">
        <f t="shared" si="10"/>
        <v>2.1\0.1:3</v>
      </c>
      <c r="X28" s="92" t="s">
        <v>742</v>
      </c>
      <c r="Y28" s="94" t="s">
        <v>4</v>
      </c>
      <c r="Z28" s="276"/>
      <c r="AA28" s="104"/>
      <c r="AB28" s="104"/>
      <c r="AH28" s="94" t="str">
        <f t="shared" si="12"/>
        <v>F1</v>
      </c>
      <c r="AI28" s="168">
        <v>7</v>
      </c>
      <c r="AJ28" s="168">
        <v>8</v>
      </c>
    </row>
    <row r="29" spans="1:36" x14ac:dyDescent="0.3">
      <c r="A29" s="102" t="str">
        <f t="shared" si="6"/>
        <v>BSR130</v>
      </c>
      <c r="B29" s="93" t="str">
        <f t="shared" si="7"/>
        <v>DX01</v>
      </c>
      <c r="C29" s="93" t="str">
        <f t="shared" si="8"/>
        <v>DIO1</v>
      </c>
      <c r="D29" s="94">
        <f t="shared" si="5"/>
        <v>130</v>
      </c>
      <c r="E29" s="94">
        <v>2</v>
      </c>
      <c r="F29" s="94">
        <f t="shared" si="9"/>
        <v>1</v>
      </c>
      <c r="G29" s="94">
        <v>0</v>
      </c>
      <c r="H29" s="171">
        <f t="shared" si="13"/>
        <v>1</v>
      </c>
      <c r="I29" s="163">
        <f t="shared" si="11"/>
        <v>4</v>
      </c>
      <c r="J29" s="172"/>
      <c r="K29" s="124"/>
      <c r="L29" s="92" t="s">
        <v>21</v>
      </c>
      <c r="M29" s="92"/>
      <c r="N29" s="92">
        <v>4</v>
      </c>
      <c r="O29" s="93" t="s">
        <v>401</v>
      </c>
      <c r="P29" s="93" t="s">
        <v>361</v>
      </c>
      <c r="Q29" s="93"/>
      <c r="R29" s="92" t="s">
        <v>761</v>
      </c>
      <c r="S29" s="93" t="s">
        <v>24</v>
      </c>
      <c r="T29" s="93" t="s">
        <v>760</v>
      </c>
      <c r="U29" s="93" t="s">
        <v>401</v>
      </c>
      <c r="W29" s="92" t="str">
        <f t="shared" si="10"/>
        <v>2.1\0.1:4</v>
      </c>
      <c r="X29" s="92" t="s">
        <v>742</v>
      </c>
      <c r="Y29" s="94" t="s">
        <v>4</v>
      </c>
      <c r="Z29" s="276"/>
      <c r="AA29" s="104"/>
      <c r="AB29" s="104"/>
      <c r="AH29" s="94" t="str">
        <f t="shared" si="12"/>
        <v>F1</v>
      </c>
      <c r="AI29" s="168">
        <v>9</v>
      </c>
      <c r="AJ29" s="168">
        <v>10</v>
      </c>
    </row>
    <row r="30" spans="1:36" x14ac:dyDescent="0.3">
      <c r="A30" s="102" t="str">
        <f t="shared" si="6"/>
        <v>BSR130</v>
      </c>
      <c r="B30" s="93" t="str">
        <f t="shared" si="7"/>
        <v>DX01</v>
      </c>
      <c r="C30" s="93" t="str">
        <f t="shared" si="8"/>
        <v>DIO1</v>
      </c>
      <c r="D30" s="94">
        <f t="shared" si="5"/>
        <v>130</v>
      </c>
      <c r="E30" s="94">
        <v>2</v>
      </c>
      <c r="F30" s="94">
        <f t="shared" si="9"/>
        <v>1</v>
      </c>
      <c r="G30" s="94">
        <v>0</v>
      </c>
      <c r="H30" s="171">
        <f t="shared" si="13"/>
        <v>1</v>
      </c>
      <c r="I30" s="163">
        <f t="shared" si="11"/>
        <v>5</v>
      </c>
      <c r="J30" s="172"/>
      <c r="K30" s="124"/>
      <c r="L30" s="92" t="s">
        <v>21</v>
      </c>
      <c r="M30" s="92"/>
      <c r="N30" s="92">
        <v>4</v>
      </c>
      <c r="O30" s="93" t="s">
        <v>401</v>
      </c>
      <c r="P30" s="93" t="s">
        <v>410</v>
      </c>
      <c r="Q30" s="93"/>
      <c r="R30" s="93" t="s">
        <v>759</v>
      </c>
      <c r="S30" s="93" t="s">
        <v>24</v>
      </c>
      <c r="T30" s="92" t="s">
        <v>758</v>
      </c>
      <c r="U30" s="93" t="s">
        <v>401</v>
      </c>
      <c r="V30" s="68"/>
      <c r="W30" s="92" t="str">
        <f t="shared" si="10"/>
        <v>2.1\0.1:5</v>
      </c>
      <c r="X30" s="92" t="s">
        <v>742</v>
      </c>
      <c r="Y30" s="94" t="s">
        <v>4</v>
      </c>
      <c r="Z30" s="276"/>
      <c r="AA30" s="104"/>
      <c r="AB30" s="104"/>
      <c r="AH30" s="94" t="str">
        <f t="shared" si="12"/>
        <v>F1</v>
      </c>
      <c r="AI30" s="168">
        <v>11</v>
      </c>
      <c r="AJ30" s="168">
        <v>12</v>
      </c>
    </row>
    <row r="31" spans="1:36" x14ac:dyDescent="0.3">
      <c r="A31" s="102" t="str">
        <f t="shared" si="6"/>
        <v>BSR130</v>
      </c>
      <c r="B31" s="93" t="str">
        <f t="shared" si="7"/>
        <v>DX01</v>
      </c>
      <c r="C31" s="93" t="str">
        <f t="shared" si="8"/>
        <v>DIO1</v>
      </c>
      <c r="D31" s="94">
        <f t="shared" si="5"/>
        <v>130</v>
      </c>
      <c r="E31" s="94">
        <v>2</v>
      </c>
      <c r="F31" s="94">
        <f t="shared" si="9"/>
        <v>1</v>
      </c>
      <c r="G31" s="94">
        <v>0</v>
      </c>
      <c r="H31" s="171">
        <f t="shared" si="13"/>
        <v>1</v>
      </c>
      <c r="I31" s="163">
        <f t="shared" si="11"/>
        <v>6</v>
      </c>
      <c r="J31" s="172"/>
      <c r="K31" s="124"/>
      <c r="L31" s="92" t="s">
        <v>21</v>
      </c>
      <c r="M31" s="92"/>
      <c r="N31" s="92">
        <v>4</v>
      </c>
      <c r="O31" s="93" t="s">
        <v>401</v>
      </c>
      <c r="P31" s="93" t="s">
        <v>358</v>
      </c>
      <c r="Q31" s="93"/>
      <c r="R31" s="93" t="s">
        <v>757</v>
      </c>
      <c r="S31" s="93" t="s">
        <v>24</v>
      </c>
      <c r="T31" s="93" t="s">
        <v>756</v>
      </c>
      <c r="U31" s="93" t="s">
        <v>401</v>
      </c>
      <c r="V31" s="68"/>
      <c r="W31" s="92" t="str">
        <f t="shared" si="10"/>
        <v>2.1\0.1:6</v>
      </c>
      <c r="X31" s="92" t="s">
        <v>742</v>
      </c>
      <c r="Y31" s="94" t="s">
        <v>4</v>
      </c>
      <c r="Z31" s="276"/>
      <c r="AA31" s="104"/>
      <c r="AB31" s="104"/>
      <c r="AH31" s="94" t="str">
        <f t="shared" si="12"/>
        <v>F1</v>
      </c>
      <c r="AI31" s="168">
        <v>13</v>
      </c>
      <c r="AJ31" s="168">
        <v>14</v>
      </c>
    </row>
    <row r="32" spans="1:36" x14ac:dyDescent="0.3">
      <c r="A32" s="102" t="str">
        <f t="shared" si="6"/>
        <v>BSR130</v>
      </c>
      <c r="B32" s="93" t="str">
        <f t="shared" si="7"/>
        <v>DX01</v>
      </c>
      <c r="C32" s="93" t="str">
        <f t="shared" si="8"/>
        <v>DIO1</v>
      </c>
      <c r="D32" s="94">
        <f t="shared" si="5"/>
        <v>130</v>
      </c>
      <c r="E32" s="94">
        <v>2</v>
      </c>
      <c r="F32" s="94">
        <f t="shared" si="9"/>
        <v>1</v>
      </c>
      <c r="G32" s="94">
        <v>0</v>
      </c>
      <c r="H32" s="171">
        <f t="shared" si="13"/>
        <v>1</v>
      </c>
      <c r="I32" s="163">
        <f t="shared" si="11"/>
        <v>7</v>
      </c>
      <c r="J32" s="172"/>
      <c r="K32" s="124"/>
      <c r="L32" s="92" t="s">
        <v>21</v>
      </c>
      <c r="M32" s="92"/>
      <c r="N32" s="92">
        <v>4</v>
      </c>
      <c r="O32" s="93" t="s">
        <v>401</v>
      </c>
      <c r="P32" s="93" t="s">
        <v>755</v>
      </c>
      <c r="Q32" s="93"/>
      <c r="R32" s="93" t="s">
        <v>754</v>
      </c>
      <c r="S32" s="93" t="s">
        <v>24</v>
      </c>
      <c r="T32" s="93" t="s">
        <v>753</v>
      </c>
      <c r="U32" s="93" t="s">
        <v>401</v>
      </c>
      <c r="V32" s="68"/>
      <c r="W32" s="92" t="str">
        <f t="shared" si="10"/>
        <v>2.1\0.1:7</v>
      </c>
      <c r="X32" s="92" t="s">
        <v>742</v>
      </c>
      <c r="Y32" s="94" t="s">
        <v>4</v>
      </c>
      <c r="Z32" s="276"/>
      <c r="AA32" s="104"/>
      <c r="AB32" s="104"/>
      <c r="AH32" s="94" t="str">
        <f t="shared" si="12"/>
        <v>F1</v>
      </c>
      <c r="AI32" s="168">
        <v>15</v>
      </c>
      <c r="AJ32" s="168">
        <v>16</v>
      </c>
    </row>
    <row r="33" spans="1:36" x14ac:dyDescent="0.3">
      <c r="A33" s="102" t="str">
        <f t="shared" si="6"/>
        <v>BSR130</v>
      </c>
      <c r="B33" s="93" t="str">
        <f t="shared" si="7"/>
        <v>DX01</v>
      </c>
      <c r="C33" s="93" t="str">
        <f t="shared" si="8"/>
        <v>DIO1</v>
      </c>
      <c r="D33" s="94">
        <f t="shared" si="5"/>
        <v>130</v>
      </c>
      <c r="E33" s="94">
        <v>2</v>
      </c>
      <c r="F33" s="94">
        <f t="shared" si="9"/>
        <v>1</v>
      </c>
      <c r="G33" s="94">
        <v>0</v>
      </c>
      <c r="H33" s="171">
        <f t="shared" si="13"/>
        <v>1</v>
      </c>
      <c r="I33" s="163">
        <f t="shared" si="11"/>
        <v>8</v>
      </c>
      <c r="J33" s="172"/>
      <c r="K33" s="124"/>
      <c r="L33" s="92" t="s">
        <v>21</v>
      </c>
      <c r="M33" s="92"/>
      <c r="N33" s="92">
        <v>4</v>
      </c>
      <c r="O33" s="93" t="s">
        <v>401</v>
      </c>
      <c r="P33" s="93" t="s">
        <v>752</v>
      </c>
      <c r="Q33" s="93"/>
      <c r="R33" s="93" t="s">
        <v>751</v>
      </c>
      <c r="S33" s="93" t="s">
        <v>24</v>
      </c>
      <c r="T33" s="93" t="s">
        <v>750</v>
      </c>
      <c r="U33" s="93" t="s">
        <v>401</v>
      </c>
      <c r="V33" s="68"/>
      <c r="W33" s="92" t="str">
        <f t="shared" si="10"/>
        <v>2.1\0.1:8</v>
      </c>
      <c r="X33" s="92" t="s">
        <v>742</v>
      </c>
      <c r="Y33" s="94" t="s">
        <v>4</v>
      </c>
      <c r="Z33" s="276"/>
      <c r="AA33" s="104"/>
      <c r="AB33" s="104"/>
      <c r="AH33" s="94" t="str">
        <f t="shared" si="12"/>
        <v>F1</v>
      </c>
      <c r="AI33" s="168">
        <v>17</v>
      </c>
      <c r="AJ33" s="168">
        <v>18</v>
      </c>
    </row>
    <row r="34" spans="1:36" x14ac:dyDescent="0.3">
      <c r="A34" s="102" t="str">
        <f t="shared" si="6"/>
        <v>BSR130</v>
      </c>
      <c r="B34" s="93" t="str">
        <f t="shared" si="7"/>
        <v>DX01</v>
      </c>
      <c r="C34" s="93" t="str">
        <f t="shared" si="8"/>
        <v>DIO1</v>
      </c>
      <c r="D34" s="94">
        <f t="shared" si="5"/>
        <v>130</v>
      </c>
      <c r="E34" s="94">
        <v>2</v>
      </c>
      <c r="F34" s="94">
        <f t="shared" si="9"/>
        <v>1</v>
      </c>
      <c r="G34" s="94">
        <v>0</v>
      </c>
      <c r="H34" s="171">
        <f t="shared" si="13"/>
        <v>1</v>
      </c>
      <c r="I34" s="163">
        <f t="shared" si="11"/>
        <v>9</v>
      </c>
      <c r="J34" s="172"/>
      <c r="K34" s="124"/>
      <c r="L34" s="92" t="s">
        <v>21</v>
      </c>
      <c r="M34" s="92"/>
      <c r="N34" s="92">
        <v>4</v>
      </c>
      <c r="O34" s="93" t="s">
        <v>401</v>
      </c>
      <c r="P34" s="93" t="s">
        <v>749</v>
      </c>
      <c r="Q34" s="93"/>
      <c r="R34" s="93" t="s">
        <v>744</v>
      </c>
      <c r="S34" s="93" t="s">
        <v>24</v>
      </c>
      <c r="T34" s="93" t="s">
        <v>748</v>
      </c>
      <c r="U34" s="93" t="s">
        <v>401</v>
      </c>
      <c r="V34" s="68"/>
      <c r="W34" s="92" t="str">
        <f t="shared" si="10"/>
        <v>2.1\0.1:9</v>
      </c>
      <c r="X34" s="92" t="s">
        <v>742</v>
      </c>
      <c r="Y34" s="94" t="s">
        <v>4</v>
      </c>
      <c r="Z34" s="276"/>
      <c r="AA34" s="104"/>
      <c r="AB34" s="104"/>
      <c r="AH34" s="94" t="str">
        <f t="shared" si="12"/>
        <v>F1</v>
      </c>
      <c r="AI34" s="168">
        <v>19</v>
      </c>
      <c r="AJ34" s="168">
        <v>20</v>
      </c>
    </row>
    <row r="35" spans="1:36" x14ac:dyDescent="0.3">
      <c r="A35" s="102" t="str">
        <f t="shared" si="6"/>
        <v>BSR130</v>
      </c>
      <c r="B35" s="93" t="str">
        <f t="shared" si="7"/>
        <v>DX01</v>
      </c>
      <c r="C35" s="93" t="str">
        <f t="shared" si="8"/>
        <v>DIO1</v>
      </c>
      <c r="D35" s="94">
        <f t="shared" si="5"/>
        <v>130</v>
      </c>
      <c r="E35" s="94">
        <v>2</v>
      </c>
      <c r="F35" s="94">
        <f t="shared" si="9"/>
        <v>1</v>
      </c>
      <c r="G35" s="94">
        <v>0</v>
      </c>
      <c r="H35" s="171">
        <f t="shared" si="13"/>
        <v>1</v>
      </c>
      <c r="I35" s="163">
        <f t="shared" si="11"/>
        <v>10</v>
      </c>
      <c r="J35" s="172"/>
      <c r="K35" s="124"/>
      <c r="L35" s="92" t="s">
        <v>21</v>
      </c>
      <c r="M35" s="92"/>
      <c r="N35" s="92">
        <v>4</v>
      </c>
      <c r="O35" s="93" t="s">
        <v>401</v>
      </c>
      <c r="P35" s="93" t="s">
        <v>747</v>
      </c>
      <c r="Q35" s="93"/>
      <c r="R35" s="93" t="s">
        <v>744</v>
      </c>
      <c r="S35" s="93" t="s">
        <v>24</v>
      </c>
      <c r="T35" s="93" t="s">
        <v>746</v>
      </c>
      <c r="U35" s="93" t="s">
        <v>401</v>
      </c>
      <c r="V35" s="104"/>
      <c r="W35" s="92" t="str">
        <f t="shared" si="10"/>
        <v>2.1\0.1:10</v>
      </c>
      <c r="X35" s="92" t="s">
        <v>742</v>
      </c>
      <c r="Y35" s="94" t="s">
        <v>4</v>
      </c>
      <c r="Z35" s="276"/>
      <c r="AA35" s="104"/>
      <c r="AB35" s="104"/>
      <c r="AH35" s="94" t="str">
        <f t="shared" si="12"/>
        <v>F1</v>
      </c>
      <c r="AI35" s="168">
        <v>21</v>
      </c>
      <c r="AJ35" s="168">
        <v>22</v>
      </c>
    </row>
    <row r="36" spans="1:36" x14ac:dyDescent="0.3">
      <c r="A36" s="102" t="str">
        <f t="shared" si="6"/>
        <v>BSR130</v>
      </c>
      <c r="B36" s="93" t="str">
        <f t="shared" si="7"/>
        <v>DX01</v>
      </c>
      <c r="C36" s="93" t="str">
        <f t="shared" si="8"/>
        <v>DIO1</v>
      </c>
      <c r="D36" s="94">
        <f t="shared" si="5"/>
        <v>130</v>
      </c>
      <c r="E36" s="94">
        <v>2</v>
      </c>
      <c r="F36" s="94">
        <f t="shared" si="9"/>
        <v>1</v>
      </c>
      <c r="G36" s="94">
        <v>0</v>
      </c>
      <c r="H36" s="171">
        <f t="shared" si="13"/>
        <v>1</v>
      </c>
      <c r="I36" s="163">
        <f t="shared" si="11"/>
        <v>11</v>
      </c>
      <c r="J36" s="172"/>
      <c r="K36" s="124"/>
      <c r="L36" s="92" t="s">
        <v>21</v>
      </c>
      <c r="M36" s="92"/>
      <c r="N36" s="92">
        <v>4</v>
      </c>
      <c r="O36" s="93" t="s">
        <v>401</v>
      </c>
      <c r="P36" s="93" t="s">
        <v>745</v>
      </c>
      <c r="Q36" s="93"/>
      <c r="R36" s="93" t="s">
        <v>744</v>
      </c>
      <c r="S36" s="93" t="s">
        <v>24</v>
      </c>
      <c r="T36" s="93" t="s">
        <v>743</v>
      </c>
      <c r="U36" s="93" t="s">
        <v>401</v>
      </c>
      <c r="V36" s="104"/>
      <c r="W36" s="92" t="str">
        <f t="shared" si="10"/>
        <v>2.1\0.1:11</v>
      </c>
      <c r="X36" s="92" t="s">
        <v>742</v>
      </c>
      <c r="Y36" s="94" t="s">
        <v>4</v>
      </c>
      <c r="Z36" s="276"/>
      <c r="AA36" s="104"/>
      <c r="AB36" s="104"/>
      <c r="AH36" s="94" t="str">
        <f t="shared" si="12"/>
        <v>F1</v>
      </c>
      <c r="AI36" s="168">
        <v>23</v>
      </c>
      <c r="AJ36" s="168">
        <v>24</v>
      </c>
    </row>
    <row r="37" spans="1:36" x14ac:dyDescent="0.3">
      <c r="A37" s="102" t="str">
        <f t="shared" si="6"/>
        <v>BSR130</v>
      </c>
      <c r="B37" s="93" t="str">
        <f t="shared" si="7"/>
        <v>DX01</v>
      </c>
      <c r="C37" s="93" t="str">
        <f t="shared" si="8"/>
        <v>DIO1</v>
      </c>
      <c r="D37" s="94">
        <f t="shared" si="5"/>
        <v>130</v>
      </c>
      <c r="E37" s="94">
        <v>2</v>
      </c>
      <c r="F37" s="94">
        <f t="shared" si="9"/>
        <v>1</v>
      </c>
      <c r="G37" s="94">
        <v>0</v>
      </c>
      <c r="H37" s="171">
        <f t="shared" si="13"/>
        <v>1</v>
      </c>
      <c r="I37" s="163">
        <f t="shared" si="11"/>
        <v>12</v>
      </c>
      <c r="J37" s="172"/>
      <c r="K37" s="124"/>
      <c r="L37" s="92" t="s">
        <v>21</v>
      </c>
      <c r="M37" s="92"/>
      <c r="N37" s="92"/>
      <c r="O37" s="139"/>
      <c r="P37" s="93"/>
      <c r="Q37" s="93"/>
      <c r="R37" s="12" t="s">
        <v>302</v>
      </c>
      <c r="S37" s="12" t="s">
        <v>302</v>
      </c>
      <c r="T37" s="12"/>
      <c r="U37" s="13"/>
      <c r="V37" s="93"/>
      <c r="W37" s="92" t="str">
        <f t="shared" si="10"/>
        <v>2.1\0.1:12</v>
      </c>
      <c r="X37" s="92"/>
      <c r="Y37" s="94"/>
      <c r="Z37" s="92"/>
      <c r="AA37" s="104"/>
      <c r="AB37" s="104"/>
      <c r="AH37" s="94" t="str">
        <f t="shared" si="12"/>
        <v>F1</v>
      </c>
      <c r="AI37" s="168">
        <v>25</v>
      </c>
      <c r="AJ37" s="168">
        <v>26</v>
      </c>
    </row>
    <row r="38" spans="1:36" x14ac:dyDescent="0.3">
      <c r="A38" s="102" t="str">
        <f t="shared" si="6"/>
        <v>BSR130</v>
      </c>
      <c r="B38" s="93" t="str">
        <f t="shared" si="7"/>
        <v>DX01</v>
      </c>
      <c r="C38" s="93" t="str">
        <f t="shared" si="8"/>
        <v>DIO1</v>
      </c>
      <c r="D38" s="94">
        <f t="shared" si="5"/>
        <v>130</v>
      </c>
      <c r="E38" s="94">
        <v>2</v>
      </c>
      <c r="F38" s="94">
        <f t="shared" si="9"/>
        <v>1</v>
      </c>
      <c r="G38" s="94">
        <v>0</v>
      </c>
      <c r="H38" s="171">
        <f t="shared" si="13"/>
        <v>1</v>
      </c>
      <c r="I38" s="163">
        <f t="shared" si="11"/>
        <v>13</v>
      </c>
      <c r="J38" s="172"/>
      <c r="K38" s="124"/>
      <c r="L38" s="92" t="s">
        <v>21</v>
      </c>
      <c r="M38" s="92"/>
      <c r="N38" s="92"/>
      <c r="O38" s="139"/>
      <c r="P38" s="12"/>
      <c r="Q38" s="12"/>
      <c r="R38" s="12" t="s">
        <v>302</v>
      </c>
      <c r="S38" s="12" t="s">
        <v>302</v>
      </c>
      <c r="T38" s="12"/>
      <c r="U38" s="13"/>
      <c r="V38" s="93"/>
      <c r="W38" s="92" t="str">
        <f t="shared" si="10"/>
        <v>2.1\0.1:13</v>
      </c>
      <c r="X38" s="92"/>
      <c r="Y38" s="94"/>
      <c r="Z38" s="92"/>
      <c r="AA38" s="104"/>
      <c r="AB38" s="104"/>
      <c r="AH38" s="94" t="str">
        <f t="shared" si="12"/>
        <v>F1</v>
      </c>
      <c r="AI38" s="168">
        <v>27</v>
      </c>
      <c r="AJ38" s="168">
        <v>28</v>
      </c>
    </row>
    <row r="39" spans="1:36" x14ac:dyDescent="0.3">
      <c r="A39" s="102" t="str">
        <f t="shared" si="6"/>
        <v>BSR130</v>
      </c>
      <c r="B39" s="93" t="str">
        <f t="shared" si="7"/>
        <v>DX01</v>
      </c>
      <c r="C39" s="93" t="str">
        <f t="shared" si="8"/>
        <v>DIO1</v>
      </c>
      <c r="D39" s="94">
        <f t="shared" si="5"/>
        <v>130</v>
      </c>
      <c r="E39" s="94">
        <v>2</v>
      </c>
      <c r="F39" s="94">
        <f t="shared" si="9"/>
        <v>1</v>
      </c>
      <c r="G39" s="94">
        <v>0</v>
      </c>
      <c r="H39" s="171">
        <f t="shared" si="13"/>
        <v>1</v>
      </c>
      <c r="I39" s="163">
        <f t="shared" si="11"/>
        <v>14</v>
      </c>
      <c r="J39" s="172"/>
      <c r="K39" s="124"/>
      <c r="L39" s="92" t="s">
        <v>21</v>
      </c>
      <c r="M39" s="92"/>
      <c r="N39" s="92"/>
      <c r="O39" s="139"/>
      <c r="P39" s="93"/>
      <c r="Q39" s="93"/>
      <c r="R39" s="92" t="s">
        <v>302</v>
      </c>
      <c r="S39" s="92" t="s">
        <v>302</v>
      </c>
      <c r="U39" s="93"/>
      <c r="V39" s="93"/>
      <c r="W39" s="92" t="str">
        <f t="shared" si="10"/>
        <v>2.1\0.1:14</v>
      </c>
      <c r="X39" s="92"/>
      <c r="Z39" s="92"/>
      <c r="AA39" s="104"/>
      <c r="AB39" s="104"/>
      <c r="AH39" s="94" t="str">
        <f t="shared" si="12"/>
        <v>F1</v>
      </c>
      <c r="AI39" s="168">
        <v>29</v>
      </c>
      <c r="AJ39" s="168">
        <v>30</v>
      </c>
    </row>
    <row r="40" spans="1:36" x14ac:dyDescent="0.3">
      <c r="A40" s="102" t="str">
        <f t="shared" si="6"/>
        <v>BSR130</v>
      </c>
      <c r="B40" s="93" t="str">
        <f t="shared" si="7"/>
        <v>DX01</v>
      </c>
      <c r="C40" s="93" t="str">
        <f t="shared" si="8"/>
        <v>DIO1</v>
      </c>
      <c r="D40" s="94">
        <f t="shared" si="5"/>
        <v>130</v>
      </c>
      <c r="E40" s="94">
        <v>2</v>
      </c>
      <c r="F40" s="94">
        <f t="shared" si="9"/>
        <v>1</v>
      </c>
      <c r="G40" s="94">
        <v>0</v>
      </c>
      <c r="H40" s="171">
        <f t="shared" ref="H40:H56" si="14">H36</f>
        <v>1</v>
      </c>
      <c r="I40" s="163">
        <f t="shared" si="11"/>
        <v>15</v>
      </c>
      <c r="J40" s="172"/>
      <c r="K40" s="124"/>
      <c r="L40" s="92" t="s">
        <v>21</v>
      </c>
      <c r="M40" s="92"/>
      <c r="N40" s="92"/>
      <c r="O40" s="139"/>
      <c r="R40" s="92" t="s">
        <v>302</v>
      </c>
      <c r="S40" s="92" t="s">
        <v>302</v>
      </c>
      <c r="U40" s="93"/>
      <c r="V40" s="104"/>
      <c r="W40" s="92" t="str">
        <f t="shared" si="10"/>
        <v>2.1\0.1:15</v>
      </c>
      <c r="X40" s="92"/>
      <c r="Z40" s="92"/>
      <c r="AA40" s="104"/>
      <c r="AB40" s="104"/>
      <c r="AH40" s="94" t="str">
        <f t="shared" si="12"/>
        <v>F1</v>
      </c>
      <c r="AI40" s="168">
        <v>31</v>
      </c>
      <c r="AJ40" s="168">
        <v>32</v>
      </c>
    </row>
    <row r="41" spans="1:36" x14ac:dyDescent="0.3">
      <c r="A41" s="102" t="str">
        <f t="shared" si="6"/>
        <v>BSR130</v>
      </c>
      <c r="B41" s="93" t="str">
        <f t="shared" si="7"/>
        <v>DX01</v>
      </c>
      <c r="C41" s="93" t="str">
        <f t="shared" si="8"/>
        <v>DIO1</v>
      </c>
      <c r="D41" s="94">
        <f t="shared" si="5"/>
        <v>130</v>
      </c>
      <c r="E41" s="94">
        <v>2</v>
      </c>
      <c r="F41" s="94">
        <f t="shared" si="9"/>
        <v>1</v>
      </c>
      <c r="G41" s="94">
        <v>0</v>
      </c>
      <c r="H41" s="171">
        <f t="shared" si="14"/>
        <v>1</v>
      </c>
      <c r="I41" s="163">
        <f t="shared" si="11"/>
        <v>16</v>
      </c>
      <c r="J41" s="172"/>
      <c r="K41" s="93"/>
      <c r="L41" s="92" t="s">
        <v>21</v>
      </c>
      <c r="M41" s="92"/>
      <c r="N41" s="92"/>
      <c r="O41" s="139"/>
      <c r="P41" s="7"/>
      <c r="Q41" s="7"/>
      <c r="R41" s="92" t="s">
        <v>302</v>
      </c>
      <c r="S41" s="92" t="s">
        <v>302</v>
      </c>
      <c r="U41" s="93"/>
      <c r="V41" s="104"/>
      <c r="W41" s="92" t="str">
        <f t="shared" si="10"/>
        <v>2.1\0.1:16</v>
      </c>
      <c r="X41" s="92"/>
      <c r="Z41" s="92"/>
      <c r="AA41" s="104"/>
      <c r="AB41" s="104"/>
      <c r="AH41" s="94" t="str">
        <f t="shared" si="12"/>
        <v>F1</v>
      </c>
      <c r="AI41" s="168">
        <v>33</v>
      </c>
      <c r="AJ41" s="168">
        <v>34</v>
      </c>
    </row>
    <row r="42" spans="1:36" x14ac:dyDescent="0.3">
      <c r="A42" s="102" t="str">
        <f t="shared" si="6"/>
        <v>BSR130</v>
      </c>
      <c r="B42" s="93" t="str">
        <f t="shared" si="7"/>
        <v>DX01</v>
      </c>
      <c r="C42" s="93" t="str">
        <f t="shared" si="8"/>
        <v>DIO1</v>
      </c>
      <c r="D42" s="94">
        <f t="shared" si="5"/>
        <v>130</v>
      </c>
      <c r="E42" s="94">
        <v>2</v>
      </c>
      <c r="F42" s="94">
        <f t="shared" si="9"/>
        <v>1</v>
      </c>
      <c r="G42" s="94">
        <v>0</v>
      </c>
      <c r="H42" s="171">
        <f t="shared" si="14"/>
        <v>1</v>
      </c>
      <c r="I42" s="163">
        <f t="shared" si="11"/>
        <v>17</v>
      </c>
      <c r="J42" s="172"/>
      <c r="K42" s="124"/>
      <c r="L42" s="92" t="s">
        <v>21</v>
      </c>
      <c r="M42" s="92"/>
      <c r="N42" s="92"/>
      <c r="O42" s="139"/>
      <c r="R42" s="92" t="s">
        <v>302</v>
      </c>
      <c r="S42" s="92" t="s">
        <v>302</v>
      </c>
      <c r="W42" s="92" t="str">
        <f t="shared" si="10"/>
        <v>2.1\0.1:17</v>
      </c>
      <c r="X42" s="92"/>
      <c r="Z42" s="92"/>
      <c r="AA42" s="104"/>
      <c r="AB42" s="104"/>
      <c r="AH42" s="94" t="str">
        <f t="shared" si="12"/>
        <v>F1</v>
      </c>
      <c r="AI42" s="168">
        <v>35</v>
      </c>
      <c r="AJ42" s="168">
        <v>36</v>
      </c>
    </row>
    <row r="43" spans="1:36" x14ac:dyDescent="0.3">
      <c r="A43" s="102" t="str">
        <f t="shared" si="6"/>
        <v>BSR130</v>
      </c>
      <c r="B43" s="93" t="str">
        <f t="shared" si="7"/>
        <v>DX01</v>
      </c>
      <c r="C43" s="93" t="str">
        <f t="shared" si="8"/>
        <v>DIO1</v>
      </c>
      <c r="D43" s="94">
        <f t="shared" si="5"/>
        <v>130</v>
      </c>
      <c r="E43" s="94">
        <v>2</v>
      </c>
      <c r="F43" s="94">
        <f t="shared" si="9"/>
        <v>1</v>
      </c>
      <c r="G43" s="94">
        <v>0</v>
      </c>
      <c r="H43" s="171">
        <f t="shared" si="14"/>
        <v>1</v>
      </c>
      <c r="I43" s="163">
        <f t="shared" si="11"/>
        <v>18</v>
      </c>
      <c r="J43" s="172"/>
      <c r="K43" s="124"/>
      <c r="L43" s="92" t="s">
        <v>21</v>
      </c>
      <c r="M43" s="92"/>
      <c r="N43" s="92"/>
      <c r="O43" s="139"/>
      <c r="R43" s="92" t="s">
        <v>302</v>
      </c>
      <c r="S43" s="92" t="s">
        <v>302</v>
      </c>
      <c r="W43" s="92" t="str">
        <f t="shared" si="10"/>
        <v>2.1\0.1:18</v>
      </c>
      <c r="X43" s="92"/>
      <c r="Z43" s="92"/>
      <c r="AA43" s="104"/>
      <c r="AB43" s="104"/>
      <c r="AH43" s="94" t="str">
        <f t="shared" si="12"/>
        <v>F1</v>
      </c>
      <c r="AI43" s="168">
        <v>37</v>
      </c>
      <c r="AJ43" s="168">
        <v>38</v>
      </c>
    </row>
    <row r="44" spans="1:36" x14ac:dyDescent="0.3">
      <c r="A44" s="102" t="str">
        <f t="shared" si="6"/>
        <v>BSR130</v>
      </c>
      <c r="B44" s="93" t="str">
        <f t="shared" si="7"/>
        <v>DX01</v>
      </c>
      <c r="C44" s="93" t="str">
        <f t="shared" si="8"/>
        <v>DIO1</v>
      </c>
      <c r="D44" s="94">
        <f t="shared" si="5"/>
        <v>130</v>
      </c>
      <c r="E44" s="94">
        <v>2</v>
      </c>
      <c r="F44" s="94">
        <f t="shared" si="9"/>
        <v>1</v>
      </c>
      <c r="G44" s="94">
        <v>0</v>
      </c>
      <c r="H44" s="171">
        <f t="shared" si="14"/>
        <v>1</v>
      </c>
      <c r="I44" s="163">
        <f t="shared" si="11"/>
        <v>19</v>
      </c>
      <c r="J44" s="172"/>
      <c r="K44" s="124"/>
      <c r="L44" s="92" t="s">
        <v>21</v>
      </c>
      <c r="M44" s="92"/>
      <c r="N44" s="92"/>
      <c r="O44" s="139"/>
      <c r="R44" s="92" t="s">
        <v>302</v>
      </c>
      <c r="S44" s="92" t="s">
        <v>302</v>
      </c>
      <c r="W44" s="92" t="str">
        <f t="shared" si="10"/>
        <v>2.1\0.1:19</v>
      </c>
      <c r="X44" s="92"/>
      <c r="Z44" s="92"/>
      <c r="AA44" s="104"/>
      <c r="AB44" s="104"/>
      <c r="AH44" s="94" t="str">
        <f t="shared" si="12"/>
        <v>F1</v>
      </c>
      <c r="AI44" s="168">
        <v>39</v>
      </c>
      <c r="AJ44" s="168">
        <v>40</v>
      </c>
    </row>
    <row r="45" spans="1:36" ht="14.5" x14ac:dyDescent="0.35">
      <c r="A45" s="102" t="str">
        <f t="shared" si="6"/>
        <v>BSR130</v>
      </c>
      <c r="B45" s="93" t="str">
        <f t="shared" si="7"/>
        <v>DX01</v>
      </c>
      <c r="C45" s="93" t="str">
        <f t="shared" si="8"/>
        <v>DIO1</v>
      </c>
      <c r="D45" s="94">
        <f t="shared" si="5"/>
        <v>130</v>
      </c>
      <c r="E45" s="94">
        <v>2</v>
      </c>
      <c r="F45" s="94">
        <f t="shared" si="9"/>
        <v>1</v>
      </c>
      <c r="G45" s="94">
        <v>0</v>
      </c>
      <c r="H45" s="171">
        <f t="shared" si="14"/>
        <v>1</v>
      </c>
      <c r="I45" s="163">
        <f t="shared" si="11"/>
        <v>20</v>
      </c>
      <c r="J45" s="172"/>
      <c r="K45" s="124"/>
      <c r="L45" s="92" t="s">
        <v>21</v>
      </c>
      <c r="M45" s="92"/>
      <c r="N45" s="92">
        <v>4</v>
      </c>
      <c r="O45" s="93" t="s">
        <v>737</v>
      </c>
      <c r="P45" s="92" t="s">
        <v>448</v>
      </c>
      <c r="R45" s="92" t="s">
        <v>741</v>
      </c>
      <c r="S45" s="92" t="s">
        <v>18</v>
      </c>
      <c r="U45" s="93" t="s">
        <v>395</v>
      </c>
      <c r="W45" s="92" t="str">
        <f t="shared" si="10"/>
        <v>2.1\0.1:20</v>
      </c>
      <c r="X45" s="92" t="s">
        <v>733</v>
      </c>
      <c r="Y45" s="97" t="s">
        <v>4</v>
      </c>
      <c r="Z45" s="193" t="s">
        <v>740</v>
      </c>
      <c r="AA45" s="104"/>
      <c r="AB45" s="104"/>
      <c r="AH45" s="94" t="str">
        <f t="shared" si="12"/>
        <v>F1</v>
      </c>
      <c r="AI45" s="168">
        <v>41</v>
      </c>
      <c r="AJ45" s="168">
        <v>42</v>
      </c>
    </row>
    <row r="46" spans="1:36" x14ac:dyDescent="0.3">
      <c r="A46" s="102" t="str">
        <f t="shared" si="6"/>
        <v>BSR130</v>
      </c>
      <c r="B46" s="93" t="str">
        <f t="shared" si="7"/>
        <v>DX01</v>
      </c>
      <c r="C46" s="93" t="str">
        <f t="shared" si="8"/>
        <v>DIO1</v>
      </c>
      <c r="D46" s="94">
        <f t="shared" si="5"/>
        <v>130</v>
      </c>
      <c r="E46" s="94">
        <v>2</v>
      </c>
      <c r="F46" s="94">
        <f t="shared" si="9"/>
        <v>1</v>
      </c>
      <c r="G46" s="94">
        <v>0</v>
      </c>
      <c r="H46" s="171">
        <f t="shared" si="14"/>
        <v>1</v>
      </c>
      <c r="I46" s="163">
        <f t="shared" si="11"/>
        <v>21</v>
      </c>
      <c r="J46" s="172"/>
      <c r="K46" s="124"/>
      <c r="L46" s="92" t="s">
        <v>21</v>
      </c>
      <c r="M46" s="92"/>
      <c r="N46" s="92">
        <v>4</v>
      </c>
      <c r="O46" s="93" t="s">
        <v>395</v>
      </c>
      <c r="P46" s="92" t="s">
        <v>56</v>
      </c>
      <c r="R46" s="192" t="s">
        <v>739</v>
      </c>
      <c r="S46" s="192" t="s">
        <v>734</v>
      </c>
      <c r="T46" s="93"/>
      <c r="U46" s="93" t="s">
        <v>395</v>
      </c>
      <c r="W46" s="92" t="str">
        <f t="shared" si="10"/>
        <v>2.1\0.1:21</v>
      </c>
      <c r="X46" s="92" t="s">
        <v>733</v>
      </c>
      <c r="Y46" s="97" t="s">
        <v>4</v>
      </c>
      <c r="Z46" s="277" t="s">
        <v>738</v>
      </c>
      <c r="AA46" s="104"/>
      <c r="AB46" s="104"/>
      <c r="AH46" s="94" t="str">
        <f t="shared" si="12"/>
        <v>F1</v>
      </c>
      <c r="AI46" s="168">
        <v>43</v>
      </c>
      <c r="AJ46" s="168">
        <v>44</v>
      </c>
    </row>
    <row r="47" spans="1:36" x14ac:dyDescent="0.3">
      <c r="A47" s="102" t="str">
        <f t="shared" si="6"/>
        <v>BSR130</v>
      </c>
      <c r="B47" s="93" t="str">
        <f t="shared" si="7"/>
        <v>DX01</v>
      </c>
      <c r="C47" s="93" t="str">
        <f t="shared" si="8"/>
        <v>DIO1</v>
      </c>
      <c r="D47" s="94">
        <f t="shared" si="5"/>
        <v>130</v>
      </c>
      <c r="E47" s="94">
        <v>2</v>
      </c>
      <c r="F47" s="94">
        <f t="shared" si="9"/>
        <v>1</v>
      </c>
      <c r="G47" s="94">
        <v>0</v>
      </c>
      <c r="H47" s="171">
        <f t="shared" si="14"/>
        <v>1</v>
      </c>
      <c r="I47" s="163">
        <f t="shared" si="11"/>
        <v>22</v>
      </c>
      <c r="J47" s="172"/>
      <c r="K47" s="124"/>
      <c r="L47" s="92" t="s">
        <v>21</v>
      </c>
      <c r="M47" s="92"/>
      <c r="N47" s="92"/>
      <c r="O47" s="93"/>
      <c r="P47" s="93"/>
      <c r="Q47" s="93"/>
      <c r="R47" s="192"/>
      <c r="S47" s="192"/>
      <c r="T47" s="93"/>
      <c r="U47" s="93"/>
      <c r="W47" s="92" t="str">
        <f t="shared" si="10"/>
        <v>2.1\0.1:22</v>
      </c>
      <c r="X47" s="92"/>
      <c r="Y47" s="97" t="s">
        <v>4</v>
      </c>
      <c r="Z47" s="276"/>
      <c r="AA47" s="104"/>
      <c r="AB47" s="104"/>
      <c r="AH47" s="94" t="str">
        <f t="shared" si="12"/>
        <v>F1</v>
      </c>
      <c r="AI47" s="168">
        <v>45</v>
      </c>
      <c r="AJ47" s="168">
        <v>46</v>
      </c>
    </row>
    <row r="48" spans="1:36" x14ac:dyDescent="0.3">
      <c r="A48" s="102" t="str">
        <f t="shared" si="6"/>
        <v>BSR130</v>
      </c>
      <c r="B48" s="93" t="str">
        <f t="shared" si="7"/>
        <v>DX01</v>
      </c>
      <c r="C48" s="93" t="str">
        <f t="shared" si="8"/>
        <v>DIO1</v>
      </c>
      <c r="D48" s="94">
        <f t="shared" si="5"/>
        <v>130</v>
      </c>
      <c r="E48" s="94">
        <v>2</v>
      </c>
      <c r="F48" s="94">
        <f t="shared" si="9"/>
        <v>1</v>
      </c>
      <c r="G48" s="94">
        <v>0</v>
      </c>
      <c r="H48" s="171">
        <f t="shared" si="14"/>
        <v>1</v>
      </c>
      <c r="I48" s="163">
        <f t="shared" si="11"/>
        <v>23</v>
      </c>
      <c r="J48" s="172"/>
      <c r="K48" s="124"/>
      <c r="L48" s="92" t="s">
        <v>21</v>
      </c>
      <c r="M48" s="92"/>
      <c r="N48" s="92">
        <v>4</v>
      </c>
      <c r="O48" s="93" t="s">
        <v>737</v>
      </c>
      <c r="P48" s="93" t="s">
        <v>736</v>
      </c>
      <c r="Q48" s="93"/>
      <c r="R48" s="192" t="s">
        <v>735</v>
      </c>
      <c r="S48" s="192" t="s">
        <v>734</v>
      </c>
      <c r="T48" s="93"/>
      <c r="U48" s="93" t="s">
        <v>395</v>
      </c>
      <c r="W48" s="92" t="str">
        <f t="shared" si="10"/>
        <v>2.1\0.1:23</v>
      </c>
      <c r="X48" s="92" t="s">
        <v>733</v>
      </c>
      <c r="Y48" s="97" t="s">
        <v>4</v>
      </c>
      <c r="Z48" s="276"/>
      <c r="AA48" s="104"/>
      <c r="AB48" s="104"/>
      <c r="AH48" s="94" t="str">
        <f t="shared" si="12"/>
        <v>F1</v>
      </c>
      <c r="AI48" s="168">
        <v>47</v>
      </c>
      <c r="AJ48" s="168">
        <v>48</v>
      </c>
    </row>
    <row r="49" spans="1:36" x14ac:dyDescent="0.3">
      <c r="A49" s="102" t="str">
        <f t="shared" si="6"/>
        <v>BSR130</v>
      </c>
      <c r="B49" s="93" t="str">
        <f t="shared" si="7"/>
        <v>DX01</v>
      </c>
      <c r="C49" s="93" t="str">
        <f t="shared" si="8"/>
        <v>DIO1</v>
      </c>
      <c r="D49" s="94">
        <f t="shared" si="5"/>
        <v>130</v>
      </c>
      <c r="E49" s="94">
        <v>2</v>
      </c>
      <c r="F49" s="94">
        <f t="shared" si="9"/>
        <v>1</v>
      </c>
      <c r="G49" s="94">
        <v>0</v>
      </c>
      <c r="H49" s="171">
        <f t="shared" si="14"/>
        <v>1</v>
      </c>
      <c r="I49" s="163">
        <f t="shared" si="11"/>
        <v>24</v>
      </c>
      <c r="J49" s="172"/>
      <c r="K49" s="124"/>
      <c r="L49" s="92" t="s">
        <v>21</v>
      </c>
      <c r="M49" s="92"/>
      <c r="N49" s="92"/>
      <c r="O49" s="93"/>
      <c r="P49" s="93"/>
      <c r="Q49" s="93"/>
      <c r="R49" s="93"/>
      <c r="S49" s="93"/>
      <c r="T49" s="66"/>
      <c r="U49" s="93"/>
      <c r="V49" s="93"/>
      <c r="W49" s="92" t="str">
        <f t="shared" si="10"/>
        <v>2.1\0.1:24</v>
      </c>
      <c r="X49" s="92"/>
      <c r="Y49" s="97" t="s">
        <v>4</v>
      </c>
      <c r="Z49" s="276"/>
      <c r="AA49" s="104"/>
      <c r="AB49" s="104"/>
      <c r="AH49" s="94" t="str">
        <f t="shared" si="12"/>
        <v>F1</v>
      </c>
      <c r="AI49" s="168">
        <v>49</v>
      </c>
      <c r="AJ49" s="168">
        <v>50</v>
      </c>
    </row>
    <row r="50" spans="1:36" x14ac:dyDescent="0.3">
      <c r="A50" s="102" t="str">
        <f t="shared" si="6"/>
        <v>BSR130</v>
      </c>
      <c r="B50" s="93" t="str">
        <f t="shared" si="7"/>
        <v>DX01</v>
      </c>
      <c r="C50" s="93" t="str">
        <f t="shared" si="8"/>
        <v>DIO1</v>
      </c>
      <c r="D50" s="94">
        <f t="shared" si="5"/>
        <v>130</v>
      </c>
      <c r="E50" s="94">
        <v>2</v>
      </c>
      <c r="F50" s="94">
        <f t="shared" si="9"/>
        <v>1</v>
      </c>
      <c r="G50" s="94">
        <v>0</v>
      </c>
      <c r="H50" s="171">
        <f t="shared" si="14"/>
        <v>1</v>
      </c>
      <c r="I50" s="163">
        <f t="shared" si="11"/>
        <v>25</v>
      </c>
      <c r="J50" s="172"/>
      <c r="K50" s="124"/>
      <c r="L50" s="92" t="s">
        <v>21</v>
      </c>
      <c r="M50" s="92"/>
      <c r="N50" s="93"/>
      <c r="O50" s="93"/>
      <c r="P50" s="93"/>
      <c r="Q50" s="93"/>
      <c r="R50" s="93" t="s">
        <v>302</v>
      </c>
      <c r="S50" s="93" t="s">
        <v>302</v>
      </c>
      <c r="T50" s="93"/>
      <c r="U50" s="93"/>
      <c r="V50" s="93"/>
      <c r="W50" s="92" t="str">
        <f t="shared" si="10"/>
        <v>2.1\0.1:25</v>
      </c>
      <c r="X50" s="92"/>
      <c r="Z50" s="92"/>
      <c r="AA50" s="9"/>
      <c r="AB50" s="9"/>
      <c r="AH50" s="94" t="str">
        <f t="shared" si="12"/>
        <v>F1</v>
      </c>
      <c r="AI50" s="168">
        <v>51</v>
      </c>
      <c r="AJ50" s="168">
        <v>52</v>
      </c>
    </row>
    <row r="51" spans="1:36" x14ac:dyDescent="0.3">
      <c r="A51" s="102" t="str">
        <f t="shared" si="6"/>
        <v>BSR130</v>
      </c>
      <c r="B51" s="93" t="str">
        <f t="shared" si="7"/>
        <v>DX01</v>
      </c>
      <c r="C51" s="93" t="str">
        <f t="shared" si="8"/>
        <v>DIO1</v>
      </c>
      <c r="D51" s="94">
        <f t="shared" si="5"/>
        <v>130</v>
      </c>
      <c r="E51" s="94">
        <v>2</v>
      </c>
      <c r="F51" s="94">
        <f t="shared" si="9"/>
        <v>1</v>
      </c>
      <c r="G51" s="94">
        <v>0</v>
      </c>
      <c r="H51" s="171">
        <f t="shared" si="14"/>
        <v>1</v>
      </c>
      <c r="I51" s="163">
        <f t="shared" si="11"/>
        <v>26</v>
      </c>
      <c r="J51" s="172"/>
      <c r="K51" s="124"/>
      <c r="L51" s="92" t="s">
        <v>21</v>
      </c>
      <c r="M51" s="92"/>
      <c r="N51" s="93"/>
      <c r="O51" s="93"/>
      <c r="P51" s="93"/>
      <c r="Q51" s="93"/>
      <c r="R51" s="93" t="s">
        <v>302</v>
      </c>
      <c r="S51" s="93" t="s">
        <v>302</v>
      </c>
      <c r="T51" s="93"/>
      <c r="U51" s="93"/>
      <c r="V51" s="93"/>
      <c r="W51" s="92" t="str">
        <f t="shared" si="10"/>
        <v>2.1\0.1:26</v>
      </c>
      <c r="X51" s="92"/>
      <c r="Z51" s="92"/>
      <c r="AA51" s="9"/>
      <c r="AB51" s="7"/>
      <c r="AH51" s="94" t="str">
        <f t="shared" si="12"/>
        <v>F1</v>
      </c>
      <c r="AI51" s="168">
        <v>53</v>
      </c>
      <c r="AJ51" s="168">
        <v>54</v>
      </c>
    </row>
    <row r="52" spans="1:36" x14ac:dyDescent="0.3">
      <c r="A52" s="102" t="str">
        <f t="shared" si="6"/>
        <v>BSR130</v>
      </c>
      <c r="B52" s="93" t="str">
        <f t="shared" si="7"/>
        <v>DX01</v>
      </c>
      <c r="C52" s="93" t="str">
        <f t="shared" si="8"/>
        <v>DIO1</v>
      </c>
      <c r="D52" s="94">
        <f t="shared" si="5"/>
        <v>130</v>
      </c>
      <c r="E52" s="94">
        <v>2</v>
      </c>
      <c r="F52" s="94">
        <f t="shared" si="9"/>
        <v>1</v>
      </c>
      <c r="G52" s="94">
        <v>0</v>
      </c>
      <c r="H52" s="171">
        <f t="shared" si="14"/>
        <v>1</v>
      </c>
      <c r="I52" s="163">
        <f t="shared" si="11"/>
        <v>27</v>
      </c>
      <c r="J52" s="172"/>
      <c r="K52" s="124"/>
      <c r="L52" s="92" t="s">
        <v>21</v>
      </c>
      <c r="M52" s="92"/>
      <c r="N52" s="93"/>
      <c r="O52" s="93"/>
      <c r="P52" s="93"/>
      <c r="Q52" s="93"/>
      <c r="R52" s="93" t="s">
        <v>302</v>
      </c>
      <c r="S52" s="93" t="s">
        <v>302</v>
      </c>
      <c r="T52" s="93"/>
      <c r="U52" s="93"/>
      <c r="V52" s="93"/>
      <c r="W52" s="92" t="str">
        <f t="shared" si="10"/>
        <v>2.1\0.1:27</v>
      </c>
      <c r="X52" s="92"/>
      <c r="Z52" s="92"/>
      <c r="AA52" s="9"/>
      <c r="AB52" s="7"/>
      <c r="AH52" s="94" t="str">
        <f t="shared" si="12"/>
        <v>F1</v>
      </c>
      <c r="AI52" s="168">
        <v>55</v>
      </c>
      <c r="AJ52" s="168">
        <v>56</v>
      </c>
    </row>
    <row r="53" spans="1:36" x14ac:dyDescent="0.3">
      <c r="A53" s="102" t="str">
        <f t="shared" si="6"/>
        <v>BSR130</v>
      </c>
      <c r="B53" s="93" t="str">
        <f t="shared" si="7"/>
        <v>DX01</v>
      </c>
      <c r="C53" s="93" t="str">
        <f t="shared" si="8"/>
        <v>DIO1</v>
      </c>
      <c r="D53" s="94">
        <f t="shared" si="5"/>
        <v>130</v>
      </c>
      <c r="E53" s="94">
        <v>2</v>
      </c>
      <c r="F53" s="94">
        <f t="shared" si="9"/>
        <v>1</v>
      </c>
      <c r="G53" s="94">
        <v>0</v>
      </c>
      <c r="H53" s="171">
        <f t="shared" si="14"/>
        <v>1</v>
      </c>
      <c r="I53" s="163">
        <f t="shared" si="11"/>
        <v>28</v>
      </c>
      <c r="J53" s="172"/>
      <c r="K53" s="124"/>
      <c r="L53" s="92" t="s">
        <v>21</v>
      </c>
      <c r="M53" s="92"/>
      <c r="N53" s="93"/>
      <c r="O53" s="93"/>
      <c r="P53" s="93"/>
      <c r="Q53" s="93"/>
      <c r="R53" s="93" t="s">
        <v>302</v>
      </c>
      <c r="S53" s="93" t="s">
        <v>302</v>
      </c>
      <c r="T53" s="93"/>
      <c r="U53" s="93"/>
      <c r="V53" s="93"/>
      <c r="W53" s="92" t="str">
        <f t="shared" si="10"/>
        <v>2.1\0.1:28</v>
      </c>
      <c r="X53" s="92"/>
      <c r="Z53" s="92"/>
      <c r="AA53" s="9"/>
      <c r="AB53" s="7"/>
      <c r="AH53" s="94" t="str">
        <f t="shared" si="12"/>
        <v>F1</v>
      </c>
      <c r="AI53" s="168">
        <v>57</v>
      </c>
      <c r="AJ53" s="168">
        <v>58</v>
      </c>
    </row>
    <row r="54" spans="1:36" x14ac:dyDescent="0.3">
      <c r="A54" s="102" t="str">
        <f t="shared" si="6"/>
        <v>BSR130</v>
      </c>
      <c r="B54" s="93" t="str">
        <f t="shared" si="7"/>
        <v>DX01</v>
      </c>
      <c r="C54" s="93" t="str">
        <f t="shared" si="8"/>
        <v>DIO1</v>
      </c>
      <c r="D54" s="94">
        <f t="shared" si="5"/>
        <v>130</v>
      </c>
      <c r="E54" s="94">
        <v>2</v>
      </c>
      <c r="F54" s="94">
        <f t="shared" si="9"/>
        <v>1</v>
      </c>
      <c r="G54" s="94">
        <v>0</v>
      </c>
      <c r="H54" s="171">
        <f t="shared" si="14"/>
        <v>1</v>
      </c>
      <c r="I54" s="163">
        <f t="shared" si="11"/>
        <v>29</v>
      </c>
      <c r="J54" s="172"/>
      <c r="K54" s="124"/>
      <c r="L54" s="92" t="s">
        <v>21</v>
      </c>
      <c r="M54" s="92"/>
      <c r="N54" s="93"/>
      <c r="O54" s="93"/>
      <c r="P54" s="93"/>
      <c r="Q54" s="93"/>
      <c r="R54" s="93" t="s">
        <v>302</v>
      </c>
      <c r="S54" s="93" t="s">
        <v>302</v>
      </c>
      <c r="T54" s="93"/>
      <c r="U54" s="93"/>
      <c r="V54" s="93"/>
      <c r="W54" s="92" t="str">
        <f t="shared" si="10"/>
        <v>2.1\0.1:29</v>
      </c>
      <c r="X54" s="92"/>
      <c r="Z54" s="92"/>
      <c r="AA54" s="9"/>
      <c r="AB54" s="7"/>
      <c r="AH54" s="94" t="str">
        <f t="shared" si="12"/>
        <v>F1</v>
      </c>
      <c r="AI54" s="168">
        <v>59</v>
      </c>
      <c r="AJ54" s="168">
        <v>60</v>
      </c>
    </row>
    <row r="55" spans="1:36" x14ac:dyDescent="0.3">
      <c r="A55" s="102" t="str">
        <f t="shared" si="6"/>
        <v>BSR130</v>
      </c>
      <c r="B55" s="93" t="str">
        <f t="shared" ref="B55:B86" si="15">+B54</f>
        <v>DX01</v>
      </c>
      <c r="C55" s="93" t="str">
        <f t="shared" ref="C55:C86" si="16">+C54</f>
        <v>DIO1</v>
      </c>
      <c r="D55" s="94">
        <f t="shared" si="5"/>
        <v>130</v>
      </c>
      <c r="E55" s="94">
        <v>2</v>
      </c>
      <c r="F55" s="94">
        <f t="shared" ref="F55:F86" si="17">+F54</f>
        <v>1</v>
      </c>
      <c r="G55" s="94">
        <v>0</v>
      </c>
      <c r="H55" s="171">
        <f t="shared" si="14"/>
        <v>1</v>
      </c>
      <c r="I55" s="163">
        <f t="shared" si="11"/>
        <v>30</v>
      </c>
      <c r="J55" s="172"/>
      <c r="K55" s="124"/>
      <c r="L55" s="92" t="s">
        <v>21</v>
      </c>
      <c r="M55" s="92"/>
      <c r="N55" s="93"/>
      <c r="O55" s="93"/>
      <c r="P55" s="93"/>
      <c r="Q55" s="93"/>
      <c r="R55" s="93" t="s">
        <v>302</v>
      </c>
      <c r="S55" s="93" t="s">
        <v>302</v>
      </c>
      <c r="T55" s="93"/>
      <c r="U55" s="93"/>
      <c r="V55" s="104"/>
      <c r="W55" s="92" t="str">
        <f t="shared" si="10"/>
        <v>2.1\0.1:30</v>
      </c>
      <c r="X55" s="92"/>
      <c r="Z55" s="92"/>
      <c r="AA55" s="9"/>
      <c r="AB55" s="7"/>
      <c r="AH55" s="94" t="str">
        <f t="shared" si="12"/>
        <v>F1</v>
      </c>
      <c r="AI55" s="168">
        <v>61</v>
      </c>
      <c r="AJ55" s="168">
        <v>62</v>
      </c>
    </row>
    <row r="56" spans="1:36" ht="13.5" thickBot="1" x14ac:dyDescent="0.35">
      <c r="A56" s="102" t="str">
        <f t="shared" si="6"/>
        <v>BSR130</v>
      </c>
      <c r="B56" s="93" t="str">
        <f t="shared" si="15"/>
        <v>DX01</v>
      </c>
      <c r="C56" s="93" t="str">
        <f t="shared" si="16"/>
        <v>DIO1</v>
      </c>
      <c r="D56" s="94">
        <f t="shared" si="5"/>
        <v>130</v>
      </c>
      <c r="E56" s="94">
        <v>2</v>
      </c>
      <c r="F56" s="94">
        <f t="shared" si="17"/>
        <v>1</v>
      </c>
      <c r="G56" s="94">
        <v>0</v>
      </c>
      <c r="H56" s="171">
        <f t="shared" si="14"/>
        <v>1</v>
      </c>
      <c r="I56" s="170">
        <f t="shared" si="11"/>
        <v>31</v>
      </c>
      <c r="J56" s="169"/>
      <c r="K56" s="124"/>
      <c r="L56" s="92" t="s">
        <v>21</v>
      </c>
      <c r="M56" s="92"/>
      <c r="N56" s="93"/>
      <c r="O56" s="93"/>
      <c r="P56" s="93"/>
      <c r="Q56" s="93"/>
      <c r="R56" s="93" t="s">
        <v>302</v>
      </c>
      <c r="S56" s="93" t="s">
        <v>302</v>
      </c>
      <c r="T56" s="93"/>
      <c r="U56" s="93"/>
      <c r="V56" s="104"/>
      <c r="W56" s="92" t="str">
        <f t="shared" si="10"/>
        <v>2.1\0.1:31</v>
      </c>
      <c r="X56" s="92"/>
      <c r="Z56" s="92"/>
      <c r="AA56" s="9"/>
      <c r="AB56" s="7"/>
      <c r="AH56" s="94" t="str">
        <f t="shared" si="12"/>
        <v>F1</v>
      </c>
      <c r="AI56" s="168">
        <v>63</v>
      </c>
      <c r="AJ56" s="168">
        <v>64</v>
      </c>
    </row>
    <row r="57" spans="1:36" x14ac:dyDescent="0.3">
      <c r="A57" s="158" t="s">
        <v>291</v>
      </c>
      <c r="B57" s="93" t="str">
        <f t="shared" si="15"/>
        <v>DX01</v>
      </c>
      <c r="C57" s="93" t="str">
        <f t="shared" si="16"/>
        <v>DIO1</v>
      </c>
      <c r="D57" s="94">
        <f t="shared" si="5"/>
        <v>130</v>
      </c>
      <c r="E57" s="94">
        <v>2</v>
      </c>
      <c r="F57" s="94">
        <f t="shared" si="17"/>
        <v>1</v>
      </c>
      <c r="G57" s="94">
        <v>0</v>
      </c>
      <c r="H57" s="166">
        <f>+H56+1</f>
        <v>2</v>
      </c>
      <c r="I57" s="165">
        <v>0</v>
      </c>
      <c r="J57" s="172" t="s">
        <v>316</v>
      </c>
      <c r="K57" s="93" t="s">
        <v>315</v>
      </c>
      <c r="L57" s="92" t="s">
        <v>21</v>
      </c>
      <c r="M57" s="92"/>
      <c r="N57" s="92"/>
      <c r="O57" s="92"/>
      <c r="R57" s="12" t="s">
        <v>302</v>
      </c>
      <c r="S57" s="92" t="s">
        <v>302</v>
      </c>
      <c r="V57" s="93"/>
      <c r="W57" s="92" t="str">
        <f t="shared" si="10"/>
        <v>2.1\0.2:0</v>
      </c>
      <c r="X57" s="92"/>
      <c r="Z57" s="92"/>
      <c r="AA57" s="9"/>
      <c r="AB57" s="7"/>
      <c r="AH57" s="94" t="s">
        <v>732</v>
      </c>
      <c r="AI57" s="168">
        <v>1</v>
      </c>
      <c r="AJ57" s="168">
        <v>2</v>
      </c>
    </row>
    <row r="58" spans="1:36" x14ac:dyDescent="0.3">
      <c r="A58" s="102" t="str">
        <f t="shared" ref="A58:A88" si="18">A57</f>
        <v>BSR130</v>
      </c>
      <c r="B58" s="93" t="str">
        <f t="shared" si="15"/>
        <v>DX01</v>
      </c>
      <c r="C58" s="93" t="str">
        <f t="shared" si="16"/>
        <v>DIO1</v>
      </c>
      <c r="D58" s="94">
        <f t="shared" si="5"/>
        <v>130</v>
      </c>
      <c r="E58" s="94">
        <v>2</v>
      </c>
      <c r="F58" s="94">
        <f t="shared" si="17"/>
        <v>1</v>
      </c>
      <c r="G58" s="94">
        <v>0</v>
      </c>
      <c r="H58" s="171">
        <f>H57</f>
        <v>2</v>
      </c>
      <c r="I58" s="163">
        <f t="shared" ref="I58:I88" si="19">+I57+1</f>
        <v>1</v>
      </c>
      <c r="J58" s="172"/>
      <c r="K58" s="92"/>
      <c r="L58" s="92" t="s">
        <v>21</v>
      </c>
      <c r="M58" s="92"/>
      <c r="N58" s="92">
        <v>4</v>
      </c>
      <c r="O58" s="92" t="s">
        <v>616</v>
      </c>
      <c r="P58" s="12" t="s">
        <v>730</v>
      </c>
      <c r="Q58" s="12"/>
      <c r="R58" s="12" t="s">
        <v>731</v>
      </c>
      <c r="S58" s="12" t="s">
        <v>24</v>
      </c>
      <c r="T58" s="92" t="s">
        <v>730</v>
      </c>
      <c r="U58" s="92" t="s">
        <v>616</v>
      </c>
      <c r="V58" s="93"/>
      <c r="W58" s="92" t="str">
        <f t="shared" si="10"/>
        <v>2.1\0.2:1</v>
      </c>
      <c r="X58" s="92" t="s">
        <v>615</v>
      </c>
      <c r="Y58" s="97" t="s">
        <v>4</v>
      </c>
      <c r="Z58" s="277" t="s">
        <v>729</v>
      </c>
      <c r="AA58" s="9"/>
      <c r="AB58" s="7"/>
      <c r="AH58" s="94" t="str">
        <f t="shared" ref="AH58:AH88" si="20">+AH57</f>
        <v>F2</v>
      </c>
      <c r="AI58" s="168">
        <v>3</v>
      </c>
      <c r="AJ58" s="168">
        <v>4</v>
      </c>
    </row>
    <row r="59" spans="1:36" x14ac:dyDescent="0.3">
      <c r="A59" s="102" t="str">
        <f t="shared" si="18"/>
        <v>BSR130</v>
      </c>
      <c r="B59" s="93" t="str">
        <f t="shared" si="15"/>
        <v>DX01</v>
      </c>
      <c r="C59" s="93" t="str">
        <f t="shared" si="16"/>
        <v>DIO1</v>
      </c>
      <c r="D59" s="94">
        <f t="shared" si="5"/>
        <v>130</v>
      </c>
      <c r="E59" s="94">
        <v>2</v>
      </c>
      <c r="F59" s="94">
        <f t="shared" si="17"/>
        <v>1</v>
      </c>
      <c r="G59" s="94">
        <v>0</v>
      </c>
      <c r="H59" s="171">
        <f>H57</f>
        <v>2</v>
      </c>
      <c r="I59" s="163">
        <f t="shared" si="19"/>
        <v>2</v>
      </c>
      <c r="J59" s="172"/>
      <c r="K59" s="124"/>
      <c r="L59" s="92" t="s">
        <v>21</v>
      </c>
      <c r="M59" s="92"/>
      <c r="N59" s="92">
        <v>4</v>
      </c>
      <c r="O59" s="92" t="s">
        <v>616</v>
      </c>
      <c r="P59" s="12" t="s">
        <v>727</v>
      </c>
      <c r="Q59" s="12"/>
      <c r="R59" s="7" t="s">
        <v>728</v>
      </c>
      <c r="S59" s="7" t="s">
        <v>24</v>
      </c>
      <c r="T59" s="92" t="s">
        <v>727</v>
      </c>
      <c r="U59" s="92" t="s">
        <v>616</v>
      </c>
      <c r="V59" s="93"/>
      <c r="W59" s="92" t="str">
        <f t="shared" si="10"/>
        <v>2.1\0.2:2</v>
      </c>
      <c r="X59" s="92" t="s">
        <v>615</v>
      </c>
      <c r="Y59" s="97" t="s">
        <v>4</v>
      </c>
      <c r="Z59" s="277"/>
      <c r="AA59" s="9"/>
      <c r="AB59" s="7"/>
      <c r="AH59" s="94" t="str">
        <f t="shared" si="20"/>
        <v>F2</v>
      </c>
      <c r="AI59" s="168">
        <v>5</v>
      </c>
      <c r="AJ59" s="168">
        <v>6</v>
      </c>
    </row>
    <row r="60" spans="1:36" x14ac:dyDescent="0.3">
      <c r="A60" s="102" t="str">
        <f t="shared" si="18"/>
        <v>BSR130</v>
      </c>
      <c r="B60" s="93" t="str">
        <f t="shared" si="15"/>
        <v>DX01</v>
      </c>
      <c r="C60" s="93" t="str">
        <f t="shared" si="16"/>
        <v>DIO1</v>
      </c>
      <c r="D60" s="94">
        <f t="shared" si="5"/>
        <v>130</v>
      </c>
      <c r="E60" s="94">
        <v>2</v>
      </c>
      <c r="F60" s="94">
        <f t="shared" si="17"/>
        <v>1</v>
      </c>
      <c r="G60" s="94">
        <v>0</v>
      </c>
      <c r="H60" s="171">
        <f t="shared" ref="H60:H71" si="21">H57</f>
        <v>2</v>
      </c>
      <c r="I60" s="163">
        <f t="shared" si="19"/>
        <v>3</v>
      </c>
      <c r="J60" s="172"/>
      <c r="K60" s="124"/>
      <c r="L60" s="92" t="s">
        <v>21</v>
      </c>
      <c r="M60" s="92"/>
      <c r="N60" s="92">
        <v>4</v>
      </c>
      <c r="O60" s="92" t="s">
        <v>616</v>
      </c>
      <c r="P60" s="12" t="s">
        <v>725</v>
      </c>
      <c r="Q60" s="12"/>
      <c r="R60" s="7" t="s">
        <v>726</v>
      </c>
      <c r="S60" s="12" t="s">
        <v>24</v>
      </c>
      <c r="T60" s="92" t="s">
        <v>725</v>
      </c>
      <c r="U60" s="92" t="s">
        <v>616</v>
      </c>
      <c r="V60" s="93"/>
      <c r="W60" s="92" t="str">
        <f t="shared" si="10"/>
        <v>2.1\0.2:3</v>
      </c>
      <c r="X60" s="92" t="s">
        <v>615</v>
      </c>
      <c r="Y60" s="97" t="s">
        <v>4</v>
      </c>
      <c r="Z60" s="277"/>
      <c r="AA60" s="9"/>
      <c r="AB60" s="7"/>
      <c r="AH60" s="94" t="str">
        <f t="shared" si="20"/>
        <v>F2</v>
      </c>
      <c r="AI60" s="168">
        <v>7</v>
      </c>
      <c r="AJ60" s="168">
        <v>8</v>
      </c>
    </row>
    <row r="61" spans="1:36" x14ac:dyDescent="0.3">
      <c r="A61" s="102" t="str">
        <f t="shared" si="18"/>
        <v>BSR130</v>
      </c>
      <c r="B61" s="93" t="str">
        <f t="shared" si="15"/>
        <v>DX01</v>
      </c>
      <c r="C61" s="93" t="str">
        <f t="shared" si="16"/>
        <v>DIO1</v>
      </c>
      <c r="D61" s="94">
        <f t="shared" si="5"/>
        <v>130</v>
      </c>
      <c r="E61" s="94">
        <v>2</v>
      </c>
      <c r="F61" s="94">
        <f t="shared" si="17"/>
        <v>1</v>
      </c>
      <c r="G61" s="94">
        <v>0</v>
      </c>
      <c r="H61" s="171">
        <f t="shared" si="21"/>
        <v>2</v>
      </c>
      <c r="I61" s="163">
        <f t="shared" si="19"/>
        <v>4</v>
      </c>
      <c r="J61" s="172"/>
      <c r="K61" s="124"/>
      <c r="L61" s="92" t="s">
        <v>21</v>
      </c>
      <c r="M61" s="92"/>
      <c r="N61" s="92">
        <v>4</v>
      </c>
      <c r="O61" s="92" t="s">
        <v>616</v>
      </c>
      <c r="P61" s="12" t="s">
        <v>723</v>
      </c>
      <c r="Q61" s="12"/>
      <c r="R61" s="12" t="s">
        <v>724</v>
      </c>
      <c r="S61" s="7" t="s">
        <v>24</v>
      </c>
      <c r="T61" s="92" t="s">
        <v>723</v>
      </c>
      <c r="U61" s="92" t="s">
        <v>616</v>
      </c>
      <c r="V61" s="93"/>
      <c r="W61" s="92" t="str">
        <f t="shared" si="10"/>
        <v>2.1\0.2:4</v>
      </c>
      <c r="X61" s="92" t="s">
        <v>615</v>
      </c>
      <c r="Y61" s="97" t="s">
        <v>4</v>
      </c>
      <c r="Z61" s="277"/>
      <c r="AA61" s="9"/>
      <c r="AB61" s="7"/>
      <c r="AH61" s="94" t="str">
        <f t="shared" si="20"/>
        <v>F2</v>
      </c>
      <c r="AI61" s="168">
        <v>9</v>
      </c>
      <c r="AJ61" s="168">
        <v>10</v>
      </c>
    </row>
    <row r="62" spans="1:36" x14ac:dyDescent="0.3">
      <c r="A62" s="102" t="str">
        <f t="shared" si="18"/>
        <v>BSR130</v>
      </c>
      <c r="B62" s="93" t="str">
        <f t="shared" si="15"/>
        <v>DX01</v>
      </c>
      <c r="C62" s="93" t="str">
        <f t="shared" si="16"/>
        <v>DIO1</v>
      </c>
      <c r="D62" s="94">
        <f t="shared" si="5"/>
        <v>130</v>
      </c>
      <c r="E62" s="94">
        <v>2</v>
      </c>
      <c r="F62" s="94">
        <f t="shared" si="17"/>
        <v>1</v>
      </c>
      <c r="G62" s="94">
        <v>0</v>
      </c>
      <c r="H62" s="171">
        <f t="shared" si="21"/>
        <v>2</v>
      </c>
      <c r="I62" s="163">
        <f t="shared" si="19"/>
        <v>5</v>
      </c>
      <c r="J62" s="172"/>
      <c r="K62" s="124"/>
      <c r="L62" s="92" t="s">
        <v>21</v>
      </c>
      <c r="M62" s="92"/>
      <c r="N62" s="92">
        <v>4</v>
      </c>
      <c r="O62" s="92" t="s">
        <v>616</v>
      </c>
      <c r="P62" s="12" t="s">
        <v>721</v>
      </c>
      <c r="Q62" s="12"/>
      <c r="R62" s="12" t="s">
        <v>722</v>
      </c>
      <c r="S62" s="12" t="s">
        <v>24</v>
      </c>
      <c r="T62" s="92" t="s">
        <v>721</v>
      </c>
      <c r="U62" s="92" t="s">
        <v>616</v>
      </c>
      <c r="V62" s="93"/>
      <c r="W62" s="92" t="str">
        <f t="shared" si="10"/>
        <v>2.1\0.2:5</v>
      </c>
      <c r="X62" s="92" t="s">
        <v>615</v>
      </c>
      <c r="Y62" s="97" t="s">
        <v>4</v>
      </c>
      <c r="Z62" s="277"/>
      <c r="AA62" s="9"/>
      <c r="AB62" s="7"/>
      <c r="AH62" s="94" t="str">
        <f t="shared" si="20"/>
        <v>F2</v>
      </c>
      <c r="AI62" s="168">
        <v>11</v>
      </c>
      <c r="AJ62" s="168">
        <v>12</v>
      </c>
    </row>
    <row r="63" spans="1:36" x14ac:dyDescent="0.3">
      <c r="A63" s="102" t="str">
        <f t="shared" si="18"/>
        <v>BSR130</v>
      </c>
      <c r="B63" s="93" t="str">
        <f t="shared" si="15"/>
        <v>DX01</v>
      </c>
      <c r="C63" s="93" t="str">
        <f t="shared" si="16"/>
        <v>DIO1</v>
      </c>
      <c r="D63" s="94">
        <f t="shared" si="5"/>
        <v>130</v>
      </c>
      <c r="E63" s="94">
        <v>2</v>
      </c>
      <c r="F63" s="94">
        <f t="shared" si="17"/>
        <v>1</v>
      </c>
      <c r="G63" s="94">
        <v>0</v>
      </c>
      <c r="H63" s="171">
        <f t="shared" si="21"/>
        <v>2</v>
      </c>
      <c r="I63" s="163">
        <f t="shared" si="19"/>
        <v>6</v>
      </c>
      <c r="J63" s="172"/>
      <c r="K63" s="124"/>
      <c r="L63" s="92" t="s">
        <v>21</v>
      </c>
      <c r="M63" s="92"/>
      <c r="N63" s="92">
        <v>4</v>
      </c>
      <c r="O63" s="92" t="s">
        <v>616</v>
      </c>
      <c r="P63" s="12" t="s">
        <v>719</v>
      </c>
      <c r="Q63" s="12"/>
      <c r="R63" s="12" t="s">
        <v>720</v>
      </c>
      <c r="S63" s="7" t="s">
        <v>24</v>
      </c>
      <c r="T63" s="92" t="s">
        <v>719</v>
      </c>
      <c r="U63" s="92" t="s">
        <v>616</v>
      </c>
      <c r="V63" s="93"/>
      <c r="W63" s="92" t="str">
        <f t="shared" si="10"/>
        <v>2.1\0.2:6</v>
      </c>
      <c r="X63" s="92" t="s">
        <v>615</v>
      </c>
      <c r="Y63" s="97" t="s">
        <v>4</v>
      </c>
      <c r="Z63" s="277"/>
      <c r="AA63" s="9"/>
      <c r="AB63" s="7"/>
      <c r="AH63" s="94" t="str">
        <f t="shared" si="20"/>
        <v>F2</v>
      </c>
      <c r="AI63" s="168">
        <v>13</v>
      </c>
      <c r="AJ63" s="168">
        <v>14</v>
      </c>
    </row>
    <row r="64" spans="1:36" x14ac:dyDescent="0.3">
      <c r="A64" s="102" t="str">
        <f t="shared" si="18"/>
        <v>BSR130</v>
      </c>
      <c r="B64" s="93" t="str">
        <f t="shared" si="15"/>
        <v>DX01</v>
      </c>
      <c r="C64" s="93" t="str">
        <f t="shared" si="16"/>
        <v>DIO1</v>
      </c>
      <c r="D64" s="94">
        <f t="shared" si="5"/>
        <v>130</v>
      </c>
      <c r="E64" s="94">
        <v>2</v>
      </c>
      <c r="F64" s="94">
        <f t="shared" si="17"/>
        <v>1</v>
      </c>
      <c r="G64" s="94">
        <v>0</v>
      </c>
      <c r="H64" s="171">
        <f t="shared" si="21"/>
        <v>2</v>
      </c>
      <c r="I64" s="163">
        <f t="shared" si="19"/>
        <v>7</v>
      </c>
      <c r="J64" s="172"/>
      <c r="K64" s="124"/>
      <c r="L64" s="92" t="s">
        <v>21</v>
      </c>
      <c r="M64" s="92"/>
      <c r="N64" s="92">
        <v>4</v>
      </c>
      <c r="O64" s="92" t="s">
        <v>616</v>
      </c>
      <c r="P64" s="12" t="s">
        <v>717</v>
      </c>
      <c r="Q64" s="12"/>
      <c r="R64" s="12" t="s">
        <v>718</v>
      </c>
      <c r="S64" s="12" t="s">
        <v>24</v>
      </c>
      <c r="T64" s="92" t="s">
        <v>717</v>
      </c>
      <c r="U64" s="92" t="s">
        <v>616</v>
      </c>
      <c r="V64" s="93"/>
      <c r="W64" s="92" t="str">
        <f t="shared" si="10"/>
        <v>2.1\0.2:7</v>
      </c>
      <c r="X64" s="92" t="s">
        <v>615</v>
      </c>
      <c r="Y64" s="97" t="s">
        <v>4</v>
      </c>
      <c r="Z64" s="277"/>
      <c r="AA64" s="9"/>
      <c r="AB64" s="7"/>
      <c r="AH64" s="94" t="str">
        <f t="shared" si="20"/>
        <v>F2</v>
      </c>
      <c r="AI64" s="168">
        <v>15</v>
      </c>
      <c r="AJ64" s="168">
        <v>16</v>
      </c>
    </row>
    <row r="65" spans="1:36" x14ac:dyDescent="0.3">
      <c r="A65" s="102" t="str">
        <f t="shared" si="18"/>
        <v>BSR130</v>
      </c>
      <c r="B65" s="93" t="str">
        <f t="shared" si="15"/>
        <v>DX01</v>
      </c>
      <c r="C65" s="93" t="str">
        <f t="shared" si="16"/>
        <v>DIO1</v>
      </c>
      <c r="D65" s="94">
        <f t="shared" si="5"/>
        <v>130</v>
      </c>
      <c r="E65" s="94">
        <v>2</v>
      </c>
      <c r="F65" s="94">
        <f t="shared" si="17"/>
        <v>1</v>
      </c>
      <c r="G65" s="94">
        <v>0</v>
      </c>
      <c r="H65" s="171">
        <f t="shared" si="21"/>
        <v>2</v>
      </c>
      <c r="I65" s="163">
        <f t="shared" si="19"/>
        <v>8</v>
      </c>
      <c r="J65" s="172"/>
      <c r="K65" s="124"/>
      <c r="L65" s="92" t="s">
        <v>21</v>
      </c>
      <c r="M65" s="92"/>
      <c r="N65" s="92">
        <v>4</v>
      </c>
      <c r="O65" s="92" t="s">
        <v>616</v>
      </c>
      <c r="P65" s="12" t="s">
        <v>715</v>
      </c>
      <c r="Q65" s="12"/>
      <c r="R65" s="12" t="s">
        <v>716</v>
      </c>
      <c r="S65" s="7" t="s">
        <v>24</v>
      </c>
      <c r="T65" s="92" t="s">
        <v>715</v>
      </c>
      <c r="U65" s="92" t="s">
        <v>616</v>
      </c>
      <c r="V65" s="93"/>
      <c r="W65" s="92" t="str">
        <f t="shared" si="10"/>
        <v>2.1\0.2:8</v>
      </c>
      <c r="X65" s="92" t="s">
        <v>615</v>
      </c>
      <c r="Y65" s="97" t="s">
        <v>4</v>
      </c>
      <c r="Z65" s="277"/>
      <c r="AA65" s="9"/>
      <c r="AB65" s="7"/>
      <c r="AH65" s="94" t="str">
        <f t="shared" si="20"/>
        <v>F2</v>
      </c>
      <c r="AI65" s="168">
        <v>17</v>
      </c>
      <c r="AJ65" s="168">
        <v>18</v>
      </c>
    </row>
    <row r="66" spans="1:36" x14ac:dyDescent="0.3">
      <c r="A66" s="102" t="str">
        <f t="shared" si="18"/>
        <v>BSR130</v>
      </c>
      <c r="B66" s="93" t="str">
        <f t="shared" si="15"/>
        <v>DX01</v>
      </c>
      <c r="C66" s="93" t="str">
        <f t="shared" si="16"/>
        <v>DIO1</v>
      </c>
      <c r="D66" s="94">
        <f t="shared" si="5"/>
        <v>130</v>
      </c>
      <c r="E66" s="94">
        <v>2</v>
      </c>
      <c r="F66" s="94">
        <f t="shared" si="17"/>
        <v>1</v>
      </c>
      <c r="G66" s="94">
        <v>0</v>
      </c>
      <c r="H66" s="171">
        <f t="shared" si="21"/>
        <v>2</v>
      </c>
      <c r="I66" s="163">
        <f t="shared" si="19"/>
        <v>9</v>
      </c>
      <c r="J66" s="172"/>
      <c r="K66" s="124"/>
      <c r="L66" s="92" t="s">
        <v>21</v>
      </c>
      <c r="M66" s="92"/>
      <c r="N66" s="92">
        <v>4</v>
      </c>
      <c r="O66" s="92" t="s">
        <v>616</v>
      </c>
      <c r="P66" s="12" t="s">
        <v>713</v>
      </c>
      <c r="Q66" s="12"/>
      <c r="R66" s="12" t="s">
        <v>714</v>
      </c>
      <c r="S66" s="12" t="s">
        <v>24</v>
      </c>
      <c r="T66" s="92" t="s">
        <v>713</v>
      </c>
      <c r="U66" s="92" t="s">
        <v>616</v>
      </c>
      <c r="V66" s="93"/>
      <c r="W66" s="92" t="str">
        <f t="shared" si="10"/>
        <v>2.1\0.2:9</v>
      </c>
      <c r="X66" s="92" t="s">
        <v>615</v>
      </c>
      <c r="Y66" s="97" t="s">
        <v>4</v>
      </c>
      <c r="Z66" s="277"/>
      <c r="AA66" s="9"/>
      <c r="AB66" s="7"/>
      <c r="AH66" s="94" t="str">
        <f t="shared" si="20"/>
        <v>F2</v>
      </c>
      <c r="AI66" s="168">
        <v>19</v>
      </c>
      <c r="AJ66" s="168">
        <v>20</v>
      </c>
    </row>
    <row r="67" spans="1:36" x14ac:dyDescent="0.3">
      <c r="A67" s="102" t="str">
        <f t="shared" si="18"/>
        <v>BSR130</v>
      </c>
      <c r="B67" s="93" t="str">
        <f t="shared" si="15"/>
        <v>DX01</v>
      </c>
      <c r="C67" s="93" t="str">
        <f t="shared" si="16"/>
        <v>DIO1</v>
      </c>
      <c r="D67" s="94">
        <f t="shared" si="5"/>
        <v>130</v>
      </c>
      <c r="E67" s="94">
        <v>2</v>
      </c>
      <c r="F67" s="94">
        <f t="shared" si="17"/>
        <v>1</v>
      </c>
      <c r="G67" s="94">
        <v>0</v>
      </c>
      <c r="H67" s="171">
        <f t="shared" si="21"/>
        <v>2</v>
      </c>
      <c r="I67" s="163">
        <f t="shared" si="19"/>
        <v>10</v>
      </c>
      <c r="J67" s="172"/>
      <c r="K67" s="124"/>
      <c r="L67" s="92" t="s">
        <v>21</v>
      </c>
      <c r="M67" s="92"/>
      <c r="N67" s="92">
        <v>4</v>
      </c>
      <c r="O67" s="92" t="s">
        <v>616</v>
      </c>
      <c r="P67" s="12" t="s">
        <v>711</v>
      </c>
      <c r="Q67" s="12"/>
      <c r="R67" s="12" t="s">
        <v>712</v>
      </c>
      <c r="S67" s="7" t="s">
        <v>24</v>
      </c>
      <c r="T67" s="92" t="s">
        <v>711</v>
      </c>
      <c r="U67" s="92" t="s">
        <v>616</v>
      </c>
      <c r="V67" s="93"/>
      <c r="W67" s="92" t="str">
        <f t="shared" si="10"/>
        <v>2.1\0.2:10</v>
      </c>
      <c r="X67" s="92" t="s">
        <v>615</v>
      </c>
      <c r="Y67" s="97" t="s">
        <v>4</v>
      </c>
      <c r="Z67" s="277"/>
      <c r="AA67" s="9"/>
      <c r="AB67" s="7"/>
      <c r="AH67" s="94" t="str">
        <f t="shared" si="20"/>
        <v>F2</v>
      </c>
      <c r="AI67" s="168">
        <v>21</v>
      </c>
      <c r="AJ67" s="168">
        <v>22</v>
      </c>
    </row>
    <row r="68" spans="1:36" x14ac:dyDescent="0.3">
      <c r="A68" s="102" t="str">
        <f t="shared" si="18"/>
        <v>BSR130</v>
      </c>
      <c r="B68" s="93" t="str">
        <f t="shared" si="15"/>
        <v>DX01</v>
      </c>
      <c r="C68" s="93" t="str">
        <f t="shared" si="16"/>
        <v>DIO1</v>
      </c>
      <c r="D68" s="94">
        <f t="shared" si="5"/>
        <v>130</v>
      </c>
      <c r="E68" s="94">
        <v>2</v>
      </c>
      <c r="F68" s="94">
        <f t="shared" si="17"/>
        <v>1</v>
      </c>
      <c r="G68" s="94">
        <v>0</v>
      </c>
      <c r="H68" s="171">
        <f t="shared" si="21"/>
        <v>2</v>
      </c>
      <c r="I68" s="163">
        <f t="shared" si="19"/>
        <v>11</v>
      </c>
      <c r="J68" s="172"/>
      <c r="K68" s="124"/>
      <c r="L68" s="92" t="s">
        <v>21</v>
      </c>
      <c r="M68" s="92"/>
      <c r="N68" s="92">
        <v>4</v>
      </c>
      <c r="O68" s="92" t="s">
        <v>616</v>
      </c>
      <c r="P68" s="12" t="s">
        <v>709</v>
      </c>
      <c r="Q68" s="12"/>
      <c r="R68" s="12" t="s">
        <v>710</v>
      </c>
      <c r="S68" s="12" t="s">
        <v>24</v>
      </c>
      <c r="T68" s="92" t="s">
        <v>709</v>
      </c>
      <c r="U68" s="92" t="s">
        <v>616</v>
      </c>
      <c r="V68" s="93"/>
      <c r="W68" s="92" t="str">
        <f t="shared" si="10"/>
        <v>2.1\0.2:11</v>
      </c>
      <c r="X68" s="92" t="s">
        <v>615</v>
      </c>
      <c r="Y68" s="97" t="s">
        <v>4</v>
      </c>
      <c r="Z68" s="277"/>
      <c r="AA68" s="9"/>
      <c r="AB68" s="7"/>
      <c r="AH68" s="94" t="str">
        <f t="shared" si="20"/>
        <v>F2</v>
      </c>
      <c r="AI68" s="168">
        <v>23</v>
      </c>
      <c r="AJ68" s="168">
        <v>24</v>
      </c>
    </row>
    <row r="69" spans="1:36" x14ac:dyDescent="0.3">
      <c r="A69" s="102" t="str">
        <f t="shared" si="18"/>
        <v>BSR130</v>
      </c>
      <c r="B69" s="93" t="str">
        <f t="shared" si="15"/>
        <v>DX01</v>
      </c>
      <c r="C69" s="93" t="str">
        <f t="shared" si="16"/>
        <v>DIO1</v>
      </c>
      <c r="D69" s="94">
        <f t="shared" si="5"/>
        <v>130</v>
      </c>
      <c r="E69" s="94">
        <v>2</v>
      </c>
      <c r="F69" s="94">
        <f t="shared" si="17"/>
        <v>1</v>
      </c>
      <c r="G69" s="94">
        <v>0</v>
      </c>
      <c r="H69" s="171">
        <f t="shared" si="21"/>
        <v>2</v>
      </c>
      <c r="I69" s="163">
        <f t="shared" si="19"/>
        <v>12</v>
      </c>
      <c r="J69" s="172"/>
      <c r="K69" s="124"/>
      <c r="L69" s="92" t="s">
        <v>21</v>
      </c>
      <c r="M69" s="92"/>
      <c r="N69" s="92">
        <v>4</v>
      </c>
      <c r="O69" s="92" t="s">
        <v>616</v>
      </c>
      <c r="P69" s="12" t="s">
        <v>707</v>
      </c>
      <c r="Q69" s="12"/>
      <c r="R69" s="65" t="s">
        <v>708</v>
      </c>
      <c r="S69" s="7" t="s">
        <v>24</v>
      </c>
      <c r="T69" s="92" t="s">
        <v>707</v>
      </c>
      <c r="U69" s="92" t="s">
        <v>616</v>
      </c>
      <c r="V69" s="93"/>
      <c r="W69" s="92" t="str">
        <f t="shared" si="10"/>
        <v>2.1\0.2:12</v>
      </c>
      <c r="X69" s="92" t="s">
        <v>615</v>
      </c>
      <c r="Y69" s="97" t="s">
        <v>4</v>
      </c>
      <c r="Z69" s="277"/>
      <c r="AA69" s="9"/>
      <c r="AB69" s="7"/>
      <c r="AH69" s="94" t="str">
        <f t="shared" si="20"/>
        <v>F2</v>
      </c>
      <c r="AI69" s="168">
        <v>25</v>
      </c>
      <c r="AJ69" s="168">
        <v>26</v>
      </c>
    </row>
    <row r="70" spans="1:36" x14ac:dyDescent="0.3">
      <c r="A70" s="102" t="str">
        <f t="shared" si="18"/>
        <v>BSR130</v>
      </c>
      <c r="B70" s="93" t="str">
        <f t="shared" si="15"/>
        <v>DX01</v>
      </c>
      <c r="C70" s="93" t="str">
        <f t="shared" si="16"/>
        <v>DIO1</v>
      </c>
      <c r="D70" s="94">
        <f t="shared" si="5"/>
        <v>130</v>
      </c>
      <c r="E70" s="94">
        <v>2</v>
      </c>
      <c r="F70" s="94">
        <f t="shared" si="17"/>
        <v>1</v>
      </c>
      <c r="G70" s="94">
        <v>0</v>
      </c>
      <c r="H70" s="171">
        <f t="shared" si="21"/>
        <v>2</v>
      </c>
      <c r="I70" s="163">
        <f t="shared" si="19"/>
        <v>13</v>
      </c>
      <c r="J70" s="172"/>
      <c r="K70" s="124"/>
      <c r="L70" s="92" t="s">
        <v>21</v>
      </c>
      <c r="M70" s="92"/>
      <c r="N70" s="92">
        <v>4</v>
      </c>
      <c r="O70" s="92" t="s">
        <v>616</v>
      </c>
      <c r="P70" s="12" t="s">
        <v>705</v>
      </c>
      <c r="Q70" s="12"/>
      <c r="R70" s="12" t="s">
        <v>706</v>
      </c>
      <c r="S70" s="12" t="s">
        <v>24</v>
      </c>
      <c r="T70" s="92" t="s">
        <v>705</v>
      </c>
      <c r="U70" s="92" t="s">
        <v>616</v>
      </c>
      <c r="V70" s="93"/>
      <c r="W70" s="92" t="str">
        <f t="shared" si="10"/>
        <v>2.1\0.2:13</v>
      </c>
      <c r="X70" s="92" t="s">
        <v>615</v>
      </c>
      <c r="Y70" s="97" t="s">
        <v>4</v>
      </c>
      <c r="Z70" s="277"/>
      <c r="AA70" s="9"/>
      <c r="AB70" s="7"/>
      <c r="AH70" s="94" t="str">
        <f t="shared" si="20"/>
        <v>F2</v>
      </c>
      <c r="AI70" s="168">
        <v>27</v>
      </c>
      <c r="AJ70" s="168">
        <v>28</v>
      </c>
    </row>
    <row r="71" spans="1:36" x14ac:dyDescent="0.3">
      <c r="A71" s="102" t="str">
        <f t="shared" si="18"/>
        <v>BSR130</v>
      </c>
      <c r="B71" s="93" t="str">
        <f t="shared" si="15"/>
        <v>DX01</v>
      </c>
      <c r="C71" s="93" t="str">
        <f t="shared" si="16"/>
        <v>DIO1</v>
      </c>
      <c r="D71" s="94">
        <f t="shared" si="5"/>
        <v>130</v>
      </c>
      <c r="E71" s="94">
        <v>2</v>
      </c>
      <c r="F71" s="94">
        <f t="shared" si="17"/>
        <v>1</v>
      </c>
      <c r="G71" s="94">
        <v>0</v>
      </c>
      <c r="H71" s="171">
        <f t="shared" si="21"/>
        <v>2</v>
      </c>
      <c r="I71" s="163">
        <f t="shared" si="19"/>
        <v>14</v>
      </c>
      <c r="J71" s="172"/>
      <c r="K71" s="124"/>
      <c r="L71" s="92" t="s">
        <v>21</v>
      </c>
      <c r="M71" s="92"/>
      <c r="N71" s="92">
        <v>4</v>
      </c>
      <c r="O71" s="92" t="s">
        <v>616</v>
      </c>
      <c r="P71" s="12" t="s">
        <v>703</v>
      </c>
      <c r="Q71" s="12"/>
      <c r="R71" s="12" t="s">
        <v>704</v>
      </c>
      <c r="S71" s="7" t="s">
        <v>24</v>
      </c>
      <c r="T71" s="92" t="s">
        <v>703</v>
      </c>
      <c r="U71" s="92" t="s">
        <v>616</v>
      </c>
      <c r="V71" s="93"/>
      <c r="W71" s="92" t="str">
        <f t="shared" si="10"/>
        <v>2.1\0.2:14</v>
      </c>
      <c r="X71" s="92" t="s">
        <v>615</v>
      </c>
      <c r="Y71" s="97" t="s">
        <v>4</v>
      </c>
      <c r="Z71" s="277"/>
      <c r="AA71" s="9"/>
      <c r="AB71" s="7"/>
      <c r="AH71" s="94" t="str">
        <f t="shared" si="20"/>
        <v>F2</v>
      </c>
      <c r="AI71" s="168">
        <v>29</v>
      </c>
      <c r="AJ71" s="168">
        <v>30</v>
      </c>
    </row>
    <row r="72" spans="1:36" x14ac:dyDescent="0.3">
      <c r="A72" s="102" t="str">
        <f t="shared" si="18"/>
        <v>BSR130</v>
      </c>
      <c r="B72" s="93" t="str">
        <f t="shared" si="15"/>
        <v>DX01</v>
      </c>
      <c r="C72" s="93" t="str">
        <f t="shared" si="16"/>
        <v>DIO1</v>
      </c>
      <c r="D72" s="94">
        <f t="shared" si="5"/>
        <v>130</v>
      </c>
      <c r="E72" s="94">
        <v>2</v>
      </c>
      <c r="F72" s="94">
        <f t="shared" si="17"/>
        <v>1</v>
      </c>
      <c r="G72" s="94">
        <v>0</v>
      </c>
      <c r="H72" s="171">
        <f t="shared" ref="H72:H88" si="22">H68</f>
        <v>2</v>
      </c>
      <c r="I72" s="163">
        <f t="shared" si="19"/>
        <v>15</v>
      </c>
      <c r="J72" s="172"/>
      <c r="K72" s="124"/>
      <c r="L72" s="92" t="s">
        <v>21</v>
      </c>
      <c r="M72" s="92"/>
      <c r="N72" s="92">
        <v>4</v>
      </c>
      <c r="O72" s="92" t="s">
        <v>616</v>
      </c>
      <c r="P72" s="12" t="s">
        <v>701</v>
      </c>
      <c r="Q72" s="12"/>
      <c r="R72" s="12" t="s">
        <v>702</v>
      </c>
      <c r="S72" s="12" t="s">
        <v>24</v>
      </c>
      <c r="T72" s="92" t="s">
        <v>701</v>
      </c>
      <c r="U72" s="92" t="s">
        <v>616</v>
      </c>
      <c r="W72" s="92" t="str">
        <f t="shared" si="10"/>
        <v>2.1\0.2:15</v>
      </c>
      <c r="X72" s="92" t="s">
        <v>615</v>
      </c>
      <c r="Y72" s="97" t="s">
        <v>4</v>
      </c>
      <c r="Z72" s="277"/>
      <c r="AA72" s="9"/>
      <c r="AB72" s="7"/>
      <c r="AH72" s="94" t="str">
        <f t="shared" si="20"/>
        <v>F2</v>
      </c>
      <c r="AI72" s="168">
        <v>31</v>
      </c>
      <c r="AJ72" s="168">
        <v>32</v>
      </c>
    </row>
    <row r="73" spans="1:36" x14ac:dyDescent="0.3">
      <c r="A73" s="102" t="str">
        <f t="shared" si="18"/>
        <v>BSR130</v>
      </c>
      <c r="B73" s="93" t="str">
        <f t="shared" si="15"/>
        <v>DX01</v>
      </c>
      <c r="C73" s="93" t="str">
        <f t="shared" si="16"/>
        <v>DIO1</v>
      </c>
      <c r="D73" s="94">
        <f t="shared" si="5"/>
        <v>130</v>
      </c>
      <c r="E73" s="94">
        <v>2</v>
      </c>
      <c r="F73" s="94">
        <f t="shared" si="17"/>
        <v>1</v>
      </c>
      <c r="G73" s="94">
        <v>0</v>
      </c>
      <c r="H73" s="171">
        <f t="shared" si="22"/>
        <v>2</v>
      </c>
      <c r="I73" s="163">
        <f t="shared" si="19"/>
        <v>16</v>
      </c>
      <c r="J73" s="172"/>
      <c r="K73" s="93"/>
      <c r="L73" s="92" t="s">
        <v>21</v>
      </c>
      <c r="M73" s="92"/>
      <c r="N73" s="92">
        <v>4</v>
      </c>
      <c r="O73" s="92" t="s">
        <v>616</v>
      </c>
      <c r="P73" s="12" t="s">
        <v>699</v>
      </c>
      <c r="Q73" s="12"/>
      <c r="R73" s="12" t="s">
        <v>700</v>
      </c>
      <c r="S73" s="7" t="s">
        <v>24</v>
      </c>
      <c r="T73" s="92" t="s">
        <v>699</v>
      </c>
      <c r="U73" s="92" t="s">
        <v>616</v>
      </c>
      <c r="W73" s="92" t="str">
        <f t="shared" si="10"/>
        <v>2.1\0.2:16</v>
      </c>
      <c r="X73" s="92" t="s">
        <v>615</v>
      </c>
      <c r="Y73" s="97" t="s">
        <v>4</v>
      </c>
      <c r="Z73" s="277"/>
      <c r="AA73" s="9"/>
      <c r="AB73" s="7"/>
      <c r="AH73" s="94" t="str">
        <f t="shared" si="20"/>
        <v>F2</v>
      </c>
      <c r="AI73" s="168">
        <v>33</v>
      </c>
      <c r="AJ73" s="168">
        <v>34</v>
      </c>
    </row>
    <row r="74" spans="1:36" x14ac:dyDescent="0.3">
      <c r="A74" s="102" t="str">
        <f t="shared" si="18"/>
        <v>BSR130</v>
      </c>
      <c r="B74" s="93" t="str">
        <f t="shared" si="15"/>
        <v>DX01</v>
      </c>
      <c r="C74" s="93" t="str">
        <f t="shared" si="16"/>
        <v>DIO1</v>
      </c>
      <c r="D74" s="94">
        <f t="shared" si="5"/>
        <v>130</v>
      </c>
      <c r="E74" s="94">
        <v>2</v>
      </c>
      <c r="F74" s="94">
        <f t="shared" si="17"/>
        <v>1</v>
      </c>
      <c r="G74" s="94">
        <v>0</v>
      </c>
      <c r="H74" s="171">
        <f t="shared" si="22"/>
        <v>2</v>
      </c>
      <c r="I74" s="163">
        <f t="shared" si="19"/>
        <v>17</v>
      </c>
      <c r="J74" s="172"/>
      <c r="K74" s="124"/>
      <c r="L74" s="92" t="s">
        <v>21</v>
      </c>
      <c r="M74" s="92"/>
      <c r="N74" s="92">
        <v>4</v>
      </c>
      <c r="O74" s="92" t="s">
        <v>616</v>
      </c>
      <c r="P74" s="12" t="s">
        <v>697</v>
      </c>
      <c r="Q74" s="12"/>
      <c r="R74" s="92" t="s">
        <v>698</v>
      </c>
      <c r="S74" s="12" t="s">
        <v>24</v>
      </c>
      <c r="T74" s="92" t="s">
        <v>697</v>
      </c>
      <c r="U74" s="92" t="s">
        <v>616</v>
      </c>
      <c r="W74" s="92" t="str">
        <f t="shared" si="10"/>
        <v>2.1\0.2:17</v>
      </c>
      <c r="X74" s="92" t="s">
        <v>615</v>
      </c>
      <c r="Y74" s="97" t="s">
        <v>4</v>
      </c>
      <c r="Z74" s="277"/>
      <c r="AA74" s="9"/>
      <c r="AB74" s="7"/>
      <c r="AH74" s="94" t="str">
        <f t="shared" si="20"/>
        <v>F2</v>
      </c>
      <c r="AI74" s="168">
        <v>35</v>
      </c>
      <c r="AJ74" s="168">
        <v>36</v>
      </c>
    </row>
    <row r="75" spans="1:36" x14ac:dyDescent="0.3">
      <c r="A75" s="102" t="str">
        <f t="shared" si="18"/>
        <v>BSR130</v>
      </c>
      <c r="B75" s="93" t="str">
        <f t="shared" si="15"/>
        <v>DX01</v>
      </c>
      <c r="C75" s="93" t="str">
        <f t="shared" si="16"/>
        <v>DIO1</v>
      </c>
      <c r="D75" s="94">
        <f t="shared" si="5"/>
        <v>130</v>
      </c>
      <c r="E75" s="94">
        <v>2</v>
      </c>
      <c r="F75" s="94">
        <f t="shared" si="17"/>
        <v>1</v>
      </c>
      <c r="G75" s="94">
        <v>0</v>
      </c>
      <c r="H75" s="171">
        <f t="shared" si="22"/>
        <v>2</v>
      </c>
      <c r="I75" s="163">
        <f t="shared" si="19"/>
        <v>18</v>
      </c>
      <c r="J75" s="172"/>
      <c r="K75" s="124"/>
      <c r="L75" s="92" t="s">
        <v>21</v>
      </c>
      <c r="M75" s="92"/>
      <c r="N75" s="92">
        <v>4</v>
      </c>
      <c r="O75" s="92" t="s">
        <v>616</v>
      </c>
      <c r="P75" s="12" t="s">
        <v>695</v>
      </c>
      <c r="Q75" s="12"/>
      <c r="R75" s="12" t="s">
        <v>696</v>
      </c>
      <c r="S75" s="7" t="s">
        <v>24</v>
      </c>
      <c r="T75" s="92" t="s">
        <v>695</v>
      </c>
      <c r="U75" s="92" t="s">
        <v>616</v>
      </c>
      <c r="W75" s="92" t="str">
        <f t="shared" si="10"/>
        <v>2.1\0.2:18</v>
      </c>
      <c r="X75" s="92" t="s">
        <v>615</v>
      </c>
      <c r="Y75" s="97" t="s">
        <v>4</v>
      </c>
      <c r="Z75" s="277"/>
      <c r="AA75" s="9"/>
      <c r="AB75" s="7"/>
      <c r="AH75" s="94" t="str">
        <f t="shared" si="20"/>
        <v>F2</v>
      </c>
      <c r="AI75" s="168">
        <v>37</v>
      </c>
      <c r="AJ75" s="168">
        <v>38</v>
      </c>
    </row>
    <row r="76" spans="1:36" x14ac:dyDescent="0.3">
      <c r="A76" s="102" t="str">
        <f t="shared" si="18"/>
        <v>BSR130</v>
      </c>
      <c r="B76" s="93" t="str">
        <f t="shared" si="15"/>
        <v>DX01</v>
      </c>
      <c r="C76" s="93" t="str">
        <f t="shared" si="16"/>
        <v>DIO1</v>
      </c>
      <c r="D76" s="94">
        <f t="shared" si="5"/>
        <v>130</v>
      </c>
      <c r="E76" s="94">
        <v>2</v>
      </c>
      <c r="F76" s="94">
        <f t="shared" si="17"/>
        <v>1</v>
      </c>
      <c r="G76" s="94">
        <v>0</v>
      </c>
      <c r="H76" s="171">
        <f t="shared" si="22"/>
        <v>2</v>
      </c>
      <c r="I76" s="163">
        <f t="shared" si="19"/>
        <v>19</v>
      </c>
      <c r="J76" s="172"/>
      <c r="K76" s="124"/>
      <c r="L76" s="92" t="s">
        <v>21</v>
      </c>
      <c r="M76" s="92"/>
      <c r="N76" s="92">
        <v>4</v>
      </c>
      <c r="O76" s="92" t="s">
        <v>616</v>
      </c>
      <c r="P76" s="12" t="s">
        <v>693</v>
      </c>
      <c r="Q76" s="12"/>
      <c r="R76" s="65" t="s">
        <v>694</v>
      </c>
      <c r="S76" s="12" t="s">
        <v>24</v>
      </c>
      <c r="T76" s="92" t="s">
        <v>693</v>
      </c>
      <c r="U76" s="92" t="s">
        <v>616</v>
      </c>
      <c r="W76" s="92" t="str">
        <f t="shared" si="10"/>
        <v>2.1\0.2:19</v>
      </c>
      <c r="X76" s="92" t="s">
        <v>615</v>
      </c>
      <c r="Y76" s="97" t="s">
        <v>4</v>
      </c>
      <c r="Z76" s="277"/>
      <c r="AA76" s="9"/>
      <c r="AB76" s="7"/>
      <c r="AH76" s="94" t="str">
        <f t="shared" si="20"/>
        <v>F2</v>
      </c>
      <c r="AI76" s="168">
        <v>39</v>
      </c>
      <c r="AJ76" s="168">
        <v>40</v>
      </c>
    </row>
    <row r="77" spans="1:36" x14ac:dyDescent="0.3">
      <c r="A77" s="102" t="str">
        <f t="shared" si="18"/>
        <v>BSR130</v>
      </c>
      <c r="B77" s="93" t="str">
        <f t="shared" si="15"/>
        <v>DX01</v>
      </c>
      <c r="C77" s="93" t="str">
        <f t="shared" si="16"/>
        <v>DIO1</v>
      </c>
      <c r="D77" s="94">
        <f t="shared" si="5"/>
        <v>130</v>
      </c>
      <c r="E77" s="94">
        <v>2</v>
      </c>
      <c r="F77" s="94">
        <f t="shared" si="17"/>
        <v>1</v>
      </c>
      <c r="G77" s="94">
        <v>0</v>
      </c>
      <c r="H77" s="171">
        <f t="shared" si="22"/>
        <v>2</v>
      </c>
      <c r="I77" s="163">
        <f t="shared" si="19"/>
        <v>20</v>
      </c>
      <c r="J77" s="172"/>
      <c r="K77" s="124"/>
      <c r="L77" s="92" t="s">
        <v>21</v>
      </c>
      <c r="M77" s="92"/>
      <c r="N77" s="92">
        <v>4</v>
      </c>
      <c r="O77" s="92" t="s">
        <v>616</v>
      </c>
      <c r="P77" s="93" t="s">
        <v>692</v>
      </c>
      <c r="Q77" s="93"/>
      <c r="R77" s="93" t="s">
        <v>325</v>
      </c>
      <c r="S77" s="7" t="s">
        <v>24</v>
      </c>
      <c r="T77" s="92" t="s">
        <v>692</v>
      </c>
      <c r="U77" s="93" t="s">
        <v>616</v>
      </c>
      <c r="V77" s="93"/>
      <c r="W77" s="92" t="str">
        <f t="shared" si="10"/>
        <v>2.1\0.2:20</v>
      </c>
      <c r="X77" s="92" t="s">
        <v>615</v>
      </c>
      <c r="Y77" s="97" t="s">
        <v>4</v>
      </c>
      <c r="Z77" s="277"/>
      <c r="AA77" s="9"/>
      <c r="AB77" s="7"/>
      <c r="AH77" s="94" t="str">
        <f t="shared" si="20"/>
        <v>F2</v>
      </c>
      <c r="AI77" s="168">
        <v>41</v>
      </c>
      <c r="AJ77" s="168">
        <v>42</v>
      </c>
    </row>
    <row r="78" spans="1:36" x14ac:dyDescent="0.3">
      <c r="A78" s="102" t="str">
        <f t="shared" si="18"/>
        <v>BSR130</v>
      </c>
      <c r="B78" s="93" t="str">
        <f t="shared" si="15"/>
        <v>DX01</v>
      </c>
      <c r="C78" s="93" t="str">
        <f t="shared" si="16"/>
        <v>DIO1</v>
      </c>
      <c r="D78" s="94">
        <f t="shared" si="5"/>
        <v>130</v>
      </c>
      <c r="E78" s="94">
        <v>2</v>
      </c>
      <c r="F78" s="94">
        <f t="shared" si="17"/>
        <v>1</v>
      </c>
      <c r="G78" s="94">
        <v>0</v>
      </c>
      <c r="H78" s="171">
        <f t="shared" si="22"/>
        <v>2</v>
      </c>
      <c r="I78" s="163">
        <f t="shared" si="19"/>
        <v>21</v>
      </c>
      <c r="J78" s="172"/>
      <c r="K78" s="124"/>
      <c r="L78" s="92" t="s">
        <v>21</v>
      </c>
      <c r="M78" s="92"/>
      <c r="N78" s="92">
        <v>4</v>
      </c>
      <c r="O78" s="92" t="s">
        <v>616</v>
      </c>
      <c r="P78" s="93" t="s">
        <v>690</v>
      </c>
      <c r="Q78" s="93"/>
      <c r="R78" s="93" t="s">
        <v>691</v>
      </c>
      <c r="S78" s="12" t="s">
        <v>24</v>
      </c>
      <c r="T78" s="92" t="s">
        <v>690</v>
      </c>
      <c r="U78" s="93" t="s">
        <v>616</v>
      </c>
      <c r="W78" s="92" t="str">
        <f t="shared" si="10"/>
        <v>2.1\0.2:21</v>
      </c>
      <c r="X78" s="92" t="s">
        <v>615</v>
      </c>
      <c r="Y78" s="97" t="s">
        <v>4</v>
      </c>
      <c r="Z78" s="277"/>
      <c r="AA78" s="9"/>
      <c r="AB78" s="7"/>
      <c r="AH78" s="94" t="str">
        <f t="shared" si="20"/>
        <v>F2</v>
      </c>
      <c r="AI78" s="168">
        <v>43</v>
      </c>
      <c r="AJ78" s="168">
        <v>44</v>
      </c>
    </row>
    <row r="79" spans="1:36" x14ac:dyDescent="0.3">
      <c r="A79" s="102" t="str">
        <f t="shared" si="18"/>
        <v>BSR130</v>
      </c>
      <c r="B79" s="93" t="str">
        <f t="shared" si="15"/>
        <v>DX01</v>
      </c>
      <c r="C79" s="93" t="str">
        <f t="shared" si="16"/>
        <v>DIO1</v>
      </c>
      <c r="D79" s="94">
        <f t="shared" si="5"/>
        <v>130</v>
      </c>
      <c r="E79" s="94">
        <v>2</v>
      </c>
      <c r="F79" s="94">
        <f t="shared" si="17"/>
        <v>1</v>
      </c>
      <c r="G79" s="94">
        <v>0</v>
      </c>
      <c r="H79" s="171">
        <f t="shared" si="22"/>
        <v>2</v>
      </c>
      <c r="I79" s="163">
        <f t="shared" si="19"/>
        <v>22</v>
      </c>
      <c r="J79" s="172"/>
      <c r="K79" s="124"/>
      <c r="L79" s="92" t="s">
        <v>21</v>
      </c>
      <c r="M79" s="92"/>
      <c r="N79" s="92">
        <v>4</v>
      </c>
      <c r="O79" s="92" t="s">
        <v>616</v>
      </c>
      <c r="P79" s="93" t="s">
        <v>688</v>
      </c>
      <c r="Q79" s="93"/>
      <c r="R79" s="93" t="s">
        <v>689</v>
      </c>
      <c r="S79" s="7" t="s">
        <v>24</v>
      </c>
      <c r="T79" s="92" t="s">
        <v>688</v>
      </c>
      <c r="U79" s="93" t="s">
        <v>616</v>
      </c>
      <c r="V79" s="93"/>
      <c r="W79" s="92" t="str">
        <f t="shared" si="10"/>
        <v>2.1\0.2:22</v>
      </c>
      <c r="X79" s="92" t="s">
        <v>615</v>
      </c>
      <c r="Y79" s="97" t="s">
        <v>4</v>
      </c>
      <c r="Z79" s="277"/>
      <c r="AA79" s="9"/>
      <c r="AB79" s="7"/>
      <c r="AH79" s="94" t="str">
        <f t="shared" si="20"/>
        <v>F2</v>
      </c>
      <c r="AI79" s="168">
        <v>45</v>
      </c>
      <c r="AJ79" s="168">
        <v>46</v>
      </c>
    </row>
    <row r="80" spans="1:36" x14ac:dyDescent="0.3">
      <c r="A80" s="102" t="str">
        <f t="shared" si="18"/>
        <v>BSR130</v>
      </c>
      <c r="B80" s="93" t="str">
        <f t="shared" si="15"/>
        <v>DX01</v>
      </c>
      <c r="C80" s="93" t="str">
        <f t="shared" si="16"/>
        <v>DIO1</v>
      </c>
      <c r="D80" s="94">
        <f t="shared" si="5"/>
        <v>130</v>
      </c>
      <c r="E80" s="94">
        <v>2</v>
      </c>
      <c r="F80" s="94">
        <f t="shared" si="17"/>
        <v>1</v>
      </c>
      <c r="G80" s="94">
        <v>0</v>
      </c>
      <c r="H80" s="171">
        <f t="shared" si="22"/>
        <v>2</v>
      </c>
      <c r="I80" s="163">
        <f t="shared" si="19"/>
        <v>23</v>
      </c>
      <c r="J80" s="172"/>
      <c r="K80" s="124"/>
      <c r="L80" s="92" t="s">
        <v>21</v>
      </c>
      <c r="M80" s="92"/>
      <c r="N80" s="92">
        <v>4</v>
      </c>
      <c r="O80" s="92" t="s">
        <v>616</v>
      </c>
      <c r="P80" s="93" t="s">
        <v>686</v>
      </c>
      <c r="Q80" s="93"/>
      <c r="R80" s="93" t="s">
        <v>687</v>
      </c>
      <c r="S80" s="12" t="s">
        <v>24</v>
      </c>
      <c r="T80" s="92" t="s">
        <v>686</v>
      </c>
      <c r="U80" s="93" t="s">
        <v>616</v>
      </c>
      <c r="V80" s="93"/>
      <c r="W80" s="92" t="str">
        <f t="shared" si="10"/>
        <v>2.1\0.2:23</v>
      </c>
      <c r="X80" s="92" t="s">
        <v>615</v>
      </c>
      <c r="Y80" s="97" t="s">
        <v>4</v>
      </c>
      <c r="Z80" s="277"/>
      <c r="AA80" s="9"/>
      <c r="AB80" s="7"/>
      <c r="AH80" s="94" t="str">
        <f t="shared" si="20"/>
        <v>F2</v>
      </c>
      <c r="AI80" s="168">
        <v>47</v>
      </c>
      <c r="AJ80" s="168">
        <v>48</v>
      </c>
    </row>
    <row r="81" spans="1:36" x14ac:dyDescent="0.3">
      <c r="A81" s="102" t="str">
        <f t="shared" si="18"/>
        <v>BSR130</v>
      </c>
      <c r="B81" s="93" t="str">
        <f t="shared" si="15"/>
        <v>DX01</v>
      </c>
      <c r="C81" s="93" t="str">
        <f t="shared" si="16"/>
        <v>DIO1</v>
      </c>
      <c r="D81" s="94">
        <f t="shared" si="5"/>
        <v>130</v>
      </c>
      <c r="E81" s="94">
        <v>2</v>
      </c>
      <c r="F81" s="94">
        <f t="shared" si="17"/>
        <v>1</v>
      </c>
      <c r="G81" s="94">
        <v>0</v>
      </c>
      <c r="H81" s="171">
        <f t="shared" si="22"/>
        <v>2</v>
      </c>
      <c r="I81" s="163">
        <f t="shared" si="19"/>
        <v>24</v>
      </c>
      <c r="J81" s="172"/>
      <c r="K81" s="124"/>
      <c r="L81" s="92" t="s">
        <v>21</v>
      </c>
      <c r="M81" s="92"/>
      <c r="N81" s="92">
        <v>4</v>
      </c>
      <c r="O81" s="92" t="s">
        <v>616</v>
      </c>
      <c r="P81" s="93" t="s">
        <v>684</v>
      </c>
      <c r="Q81" s="93"/>
      <c r="R81" s="93" t="s">
        <v>685</v>
      </c>
      <c r="S81" s="7" t="s">
        <v>24</v>
      </c>
      <c r="T81" s="92" t="s">
        <v>684</v>
      </c>
      <c r="U81" s="93" t="s">
        <v>616</v>
      </c>
      <c r="V81" s="93"/>
      <c r="W81" s="92" t="str">
        <f t="shared" si="10"/>
        <v>2.1\0.2:24</v>
      </c>
      <c r="X81" s="92" t="s">
        <v>615</v>
      </c>
      <c r="Y81" s="97" t="s">
        <v>4</v>
      </c>
      <c r="Z81" s="277"/>
      <c r="AA81" s="9"/>
      <c r="AB81" s="7"/>
      <c r="AH81" s="94" t="str">
        <f t="shared" si="20"/>
        <v>F2</v>
      </c>
      <c r="AI81" s="168">
        <v>49</v>
      </c>
      <c r="AJ81" s="168">
        <v>50</v>
      </c>
    </row>
    <row r="82" spans="1:36" x14ac:dyDescent="0.3">
      <c r="A82" s="102" t="str">
        <f t="shared" si="18"/>
        <v>BSR130</v>
      </c>
      <c r="B82" s="93" t="str">
        <f t="shared" si="15"/>
        <v>DX01</v>
      </c>
      <c r="C82" s="93" t="str">
        <f t="shared" si="16"/>
        <v>DIO1</v>
      </c>
      <c r="D82" s="94">
        <f t="shared" si="5"/>
        <v>130</v>
      </c>
      <c r="E82" s="94">
        <v>2</v>
      </c>
      <c r="F82" s="94">
        <f t="shared" si="17"/>
        <v>1</v>
      </c>
      <c r="G82" s="94">
        <v>0</v>
      </c>
      <c r="H82" s="171">
        <f t="shared" si="22"/>
        <v>2</v>
      </c>
      <c r="I82" s="163">
        <f t="shared" si="19"/>
        <v>25</v>
      </c>
      <c r="J82" s="172"/>
      <c r="K82" s="124"/>
      <c r="L82" s="92" t="s">
        <v>21</v>
      </c>
      <c r="M82" s="92"/>
      <c r="N82" s="92">
        <v>4</v>
      </c>
      <c r="O82" s="92" t="s">
        <v>616</v>
      </c>
      <c r="P82" s="93" t="s">
        <v>682</v>
      </c>
      <c r="Q82" s="93"/>
      <c r="R82" s="93" t="s">
        <v>683</v>
      </c>
      <c r="S82" s="12" t="s">
        <v>24</v>
      </c>
      <c r="T82" s="92" t="s">
        <v>682</v>
      </c>
      <c r="U82" s="93" t="s">
        <v>616</v>
      </c>
      <c r="V82" s="93"/>
      <c r="W82" s="92" t="str">
        <f t="shared" si="10"/>
        <v>2.1\0.2:25</v>
      </c>
      <c r="X82" s="92" t="s">
        <v>615</v>
      </c>
      <c r="Y82" s="97" t="s">
        <v>4</v>
      </c>
      <c r="Z82" s="277"/>
      <c r="AA82" s="9"/>
      <c r="AB82" s="7"/>
      <c r="AH82" s="94" t="str">
        <f t="shared" si="20"/>
        <v>F2</v>
      </c>
      <c r="AI82" s="168">
        <v>51</v>
      </c>
      <c r="AJ82" s="168">
        <v>52</v>
      </c>
    </row>
    <row r="83" spans="1:36" x14ac:dyDescent="0.3">
      <c r="A83" s="102" t="str">
        <f t="shared" si="18"/>
        <v>BSR130</v>
      </c>
      <c r="B83" s="93" t="str">
        <f t="shared" si="15"/>
        <v>DX01</v>
      </c>
      <c r="C83" s="93" t="str">
        <f t="shared" si="16"/>
        <v>DIO1</v>
      </c>
      <c r="D83" s="94">
        <f t="shared" si="5"/>
        <v>130</v>
      </c>
      <c r="E83" s="94">
        <v>2</v>
      </c>
      <c r="F83" s="94">
        <f t="shared" si="17"/>
        <v>1</v>
      </c>
      <c r="G83" s="94">
        <v>0</v>
      </c>
      <c r="H83" s="171">
        <f t="shared" si="22"/>
        <v>2</v>
      </c>
      <c r="I83" s="163">
        <f t="shared" si="19"/>
        <v>26</v>
      </c>
      <c r="J83" s="172"/>
      <c r="K83" s="124"/>
      <c r="L83" s="92" t="s">
        <v>21</v>
      </c>
      <c r="M83" s="92"/>
      <c r="N83" s="92">
        <v>4</v>
      </c>
      <c r="O83" s="92" t="s">
        <v>616</v>
      </c>
      <c r="P83" s="93" t="s">
        <v>680</v>
      </c>
      <c r="Q83" s="93"/>
      <c r="R83" s="93" t="s">
        <v>681</v>
      </c>
      <c r="S83" s="7" t="s">
        <v>24</v>
      </c>
      <c r="T83" s="92" t="s">
        <v>680</v>
      </c>
      <c r="U83" s="93" t="s">
        <v>616</v>
      </c>
      <c r="V83" s="93"/>
      <c r="W83" s="92" t="str">
        <f t="shared" si="10"/>
        <v>2.1\0.2:26</v>
      </c>
      <c r="X83" s="92" t="s">
        <v>615</v>
      </c>
      <c r="Y83" s="97" t="s">
        <v>4</v>
      </c>
      <c r="Z83" s="277"/>
      <c r="AA83" s="9"/>
      <c r="AB83" s="7"/>
      <c r="AH83" s="94" t="str">
        <f t="shared" si="20"/>
        <v>F2</v>
      </c>
      <c r="AI83" s="168">
        <v>53</v>
      </c>
      <c r="AJ83" s="168">
        <v>54</v>
      </c>
    </row>
    <row r="84" spans="1:36" x14ac:dyDescent="0.3">
      <c r="A84" s="102" t="str">
        <f t="shared" si="18"/>
        <v>BSR130</v>
      </c>
      <c r="B84" s="93" t="str">
        <f t="shared" si="15"/>
        <v>DX01</v>
      </c>
      <c r="C84" s="93" t="str">
        <f t="shared" si="16"/>
        <v>DIO1</v>
      </c>
      <c r="D84" s="94">
        <f t="shared" si="5"/>
        <v>130</v>
      </c>
      <c r="E84" s="94">
        <v>2</v>
      </c>
      <c r="F84" s="94">
        <f t="shared" si="17"/>
        <v>1</v>
      </c>
      <c r="G84" s="94">
        <v>0</v>
      </c>
      <c r="H84" s="171">
        <f t="shared" si="22"/>
        <v>2</v>
      </c>
      <c r="I84" s="163">
        <f t="shared" si="19"/>
        <v>27</v>
      </c>
      <c r="J84" s="172"/>
      <c r="K84" s="124"/>
      <c r="L84" s="92" t="s">
        <v>21</v>
      </c>
      <c r="M84" s="92"/>
      <c r="N84" s="92">
        <v>4</v>
      </c>
      <c r="O84" s="92" t="s">
        <v>616</v>
      </c>
      <c r="P84" s="93" t="s">
        <v>678</v>
      </c>
      <c r="Q84" s="93"/>
      <c r="R84" s="93" t="s">
        <v>679</v>
      </c>
      <c r="S84" s="12" t="s">
        <v>24</v>
      </c>
      <c r="T84" s="92" t="s">
        <v>678</v>
      </c>
      <c r="U84" s="93" t="s">
        <v>616</v>
      </c>
      <c r="V84" s="93"/>
      <c r="W84" s="92" t="str">
        <f t="shared" si="10"/>
        <v>2.1\0.2:27</v>
      </c>
      <c r="X84" s="92" t="s">
        <v>615</v>
      </c>
      <c r="Y84" s="97" t="s">
        <v>4</v>
      </c>
      <c r="Z84" s="277"/>
      <c r="AA84" s="9"/>
      <c r="AB84" s="7"/>
      <c r="AH84" s="94" t="str">
        <f t="shared" si="20"/>
        <v>F2</v>
      </c>
      <c r="AI84" s="168">
        <v>55</v>
      </c>
      <c r="AJ84" s="168">
        <v>56</v>
      </c>
    </row>
    <row r="85" spans="1:36" x14ac:dyDescent="0.3">
      <c r="A85" s="102" t="str">
        <f t="shared" si="18"/>
        <v>BSR130</v>
      </c>
      <c r="B85" s="93" t="str">
        <f t="shared" si="15"/>
        <v>DX01</v>
      </c>
      <c r="C85" s="93" t="str">
        <f t="shared" si="16"/>
        <v>DIO1</v>
      </c>
      <c r="D85" s="94">
        <f t="shared" si="5"/>
        <v>130</v>
      </c>
      <c r="E85" s="94">
        <v>2</v>
      </c>
      <c r="F85" s="94">
        <f t="shared" si="17"/>
        <v>1</v>
      </c>
      <c r="G85" s="94">
        <v>0</v>
      </c>
      <c r="H85" s="171">
        <f t="shared" si="22"/>
        <v>2</v>
      </c>
      <c r="I85" s="163">
        <f t="shared" si="19"/>
        <v>28</v>
      </c>
      <c r="J85" s="172"/>
      <c r="K85" s="124"/>
      <c r="L85" s="92" t="s">
        <v>21</v>
      </c>
      <c r="M85" s="92"/>
      <c r="N85" s="92">
        <v>4</v>
      </c>
      <c r="O85" s="92" t="s">
        <v>616</v>
      </c>
      <c r="P85" s="92" t="s">
        <v>676</v>
      </c>
      <c r="R85" s="92" t="s">
        <v>677</v>
      </c>
      <c r="S85" s="7" t="s">
        <v>24</v>
      </c>
      <c r="T85" s="92" t="s">
        <v>676</v>
      </c>
      <c r="U85" s="12" t="s">
        <v>616</v>
      </c>
      <c r="V85" s="93"/>
      <c r="W85" s="92" t="str">
        <f t="shared" si="10"/>
        <v>2.1\0.2:28</v>
      </c>
      <c r="X85" s="92" t="s">
        <v>615</v>
      </c>
      <c r="Y85" s="97" t="s">
        <v>4</v>
      </c>
      <c r="Z85" s="277"/>
      <c r="AA85" s="9"/>
      <c r="AB85" s="7"/>
      <c r="AH85" s="94" t="str">
        <f t="shared" si="20"/>
        <v>F2</v>
      </c>
      <c r="AI85" s="168">
        <v>57</v>
      </c>
      <c r="AJ85" s="168">
        <v>58</v>
      </c>
    </row>
    <row r="86" spans="1:36" x14ac:dyDescent="0.3">
      <c r="A86" s="102" t="str">
        <f t="shared" si="18"/>
        <v>BSR130</v>
      </c>
      <c r="B86" s="93" t="str">
        <f t="shared" si="15"/>
        <v>DX01</v>
      </c>
      <c r="C86" s="93" t="str">
        <f t="shared" si="16"/>
        <v>DIO1</v>
      </c>
      <c r="D86" s="94">
        <f t="shared" ref="D86:D149" si="23">$D$5</f>
        <v>130</v>
      </c>
      <c r="E86" s="94">
        <v>2</v>
      </c>
      <c r="F86" s="94">
        <f t="shared" si="17"/>
        <v>1</v>
      </c>
      <c r="G86" s="94">
        <v>0</v>
      </c>
      <c r="H86" s="171">
        <f t="shared" si="22"/>
        <v>2</v>
      </c>
      <c r="I86" s="163">
        <f t="shared" si="19"/>
        <v>29</v>
      </c>
      <c r="J86" s="172"/>
      <c r="K86" s="124"/>
      <c r="L86" s="92" t="s">
        <v>21</v>
      </c>
      <c r="M86" s="92"/>
      <c r="N86" s="92">
        <v>4</v>
      </c>
      <c r="O86" s="92" t="s">
        <v>616</v>
      </c>
      <c r="P86" s="12" t="s">
        <v>675</v>
      </c>
      <c r="Q86" s="12"/>
      <c r="R86" s="13" t="s">
        <v>325</v>
      </c>
      <c r="S86" s="12" t="s">
        <v>24</v>
      </c>
      <c r="T86" s="92" t="s">
        <v>675</v>
      </c>
      <c r="U86" s="12" t="s">
        <v>616</v>
      </c>
      <c r="V86" s="93"/>
      <c r="W86" s="92" t="str">
        <f t="shared" si="10"/>
        <v>2.1\0.2:29</v>
      </c>
      <c r="X86" s="92"/>
      <c r="Z86" s="277"/>
      <c r="AA86" s="9"/>
      <c r="AB86" s="7"/>
      <c r="AH86" s="94" t="str">
        <f t="shared" si="20"/>
        <v>F2</v>
      </c>
      <c r="AI86" s="168">
        <v>59</v>
      </c>
      <c r="AJ86" s="168">
        <v>60</v>
      </c>
    </row>
    <row r="87" spans="1:36" x14ac:dyDescent="0.3">
      <c r="A87" s="102" t="str">
        <f t="shared" si="18"/>
        <v>BSR130</v>
      </c>
      <c r="B87" s="93" t="str">
        <f t="shared" ref="B87:B118" si="24">+B86</f>
        <v>DX01</v>
      </c>
      <c r="C87" s="93" t="str">
        <f t="shared" ref="C87:C118" si="25">+C86</f>
        <v>DIO1</v>
      </c>
      <c r="D87" s="94">
        <f t="shared" si="23"/>
        <v>130</v>
      </c>
      <c r="E87" s="94">
        <v>2</v>
      </c>
      <c r="F87" s="94">
        <f t="shared" ref="F87:F118" si="26">+F86</f>
        <v>1</v>
      </c>
      <c r="G87" s="94">
        <v>0</v>
      </c>
      <c r="H87" s="171">
        <f t="shared" si="22"/>
        <v>2</v>
      </c>
      <c r="I87" s="163">
        <f t="shared" si="19"/>
        <v>30</v>
      </c>
      <c r="J87" s="172"/>
      <c r="K87" s="124"/>
      <c r="L87" s="92" t="s">
        <v>21</v>
      </c>
      <c r="M87" s="92"/>
      <c r="N87" s="92">
        <v>4</v>
      </c>
      <c r="O87" s="92" t="s">
        <v>616</v>
      </c>
      <c r="P87" s="12" t="s">
        <v>673</v>
      </c>
      <c r="Q87" s="12"/>
      <c r="R87" s="92" t="s">
        <v>674</v>
      </c>
      <c r="S87" s="7" t="s">
        <v>24</v>
      </c>
      <c r="T87" s="92" t="s">
        <v>673</v>
      </c>
      <c r="U87" s="12" t="s">
        <v>616</v>
      </c>
      <c r="W87" s="92" t="str">
        <f t="shared" si="10"/>
        <v>2.1\0.2:30</v>
      </c>
      <c r="X87" s="92" t="s">
        <v>615</v>
      </c>
      <c r="Y87" s="97" t="s">
        <v>4</v>
      </c>
      <c r="Z87" s="277"/>
      <c r="AA87" s="9"/>
      <c r="AB87" s="7"/>
      <c r="AH87" s="94" t="str">
        <f t="shared" si="20"/>
        <v>F2</v>
      </c>
      <c r="AI87" s="168">
        <v>61</v>
      </c>
      <c r="AJ87" s="168">
        <v>62</v>
      </c>
    </row>
    <row r="88" spans="1:36" ht="13.5" thickBot="1" x14ac:dyDescent="0.35">
      <c r="A88" s="102" t="str">
        <f t="shared" si="18"/>
        <v>BSR130</v>
      </c>
      <c r="B88" s="93" t="str">
        <f t="shared" si="24"/>
        <v>DX01</v>
      </c>
      <c r="C88" s="93" t="str">
        <f t="shared" si="25"/>
        <v>DIO1</v>
      </c>
      <c r="D88" s="94">
        <f t="shared" si="23"/>
        <v>130</v>
      </c>
      <c r="E88" s="94">
        <v>2</v>
      </c>
      <c r="F88" s="94">
        <f t="shared" si="26"/>
        <v>1</v>
      </c>
      <c r="G88" s="94">
        <v>0</v>
      </c>
      <c r="H88" s="171">
        <f t="shared" si="22"/>
        <v>2</v>
      </c>
      <c r="I88" s="170">
        <f t="shared" si="19"/>
        <v>31</v>
      </c>
      <c r="J88" s="169"/>
      <c r="K88" s="124"/>
      <c r="L88" s="92" t="s">
        <v>21</v>
      </c>
      <c r="M88" s="92"/>
      <c r="R88" s="92" t="s">
        <v>302</v>
      </c>
      <c r="S88" s="92" t="s">
        <v>302</v>
      </c>
      <c r="W88" s="92" t="str">
        <f t="shared" ref="W88:W151" si="27">+CONCATENATE(E88,".",F88,"\",G88,".",H88,":",I88)</f>
        <v>2.1\0.2:31</v>
      </c>
      <c r="X88" s="92"/>
      <c r="Y88" s="94"/>
      <c r="Z88" s="92"/>
      <c r="AA88" s="9"/>
      <c r="AB88" s="7"/>
      <c r="AH88" s="94" t="str">
        <f t="shared" si="20"/>
        <v>F2</v>
      </c>
      <c r="AI88" s="168">
        <v>63</v>
      </c>
      <c r="AJ88" s="168">
        <v>64</v>
      </c>
    </row>
    <row r="89" spans="1:36" ht="14.5" x14ac:dyDescent="0.35">
      <c r="A89" s="158" t="s">
        <v>291</v>
      </c>
      <c r="B89" s="93" t="str">
        <f t="shared" si="24"/>
        <v>DX01</v>
      </c>
      <c r="C89" s="93" t="str">
        <f t="shared" si="25"/>
        <v>DIO1</v>
      </c>
      <c r="D89" s="94">
        <f t="shared" si="23"/>
        <v>130</v>
      </c>
      <c r="E89" s="94">
        <v>2</v>
      </c>
      <c r="F89" s="94">
        <f t="shared" si="26"/>
        <v>1</v>
      </c>
      <c r="G89" s="94">
        <v>0</v>
      </c>
      <c r="H89" s="173">
        <f>+H88+1</f>
        <v>3</v>
      </c>
      <c r="I89" s="165">
        <v>0</v>
      </c>
      <c r="J89" s="172" t="s">
        <v>316</v>
      </c>
      <c r="K89" s="93" t="s">
        <v>315</v>
      </c>
      <c r="L89" s="92" t="s">
        <v>21</v>
      </c>
      <c r="M89" s="92"/>
      <c r="N89" s="92">
        <v>4</v>
      </c>
      <c r="O89" s="92" t="s">
        <v>291</v>
      </c>
      <c r="P89" s="12" t="s">
        <v>672</v>
      </c>
      <c r="Q89" s="12"/>
      <c r="R89" s="12" t="s">
        <v>671</v>
      </c>
      <c r="S89" s="12" t="s">
        <v>18</v>
      </c>
      <c r="T89" s="92" t="s">
        <v>670</v>
      </c>
      <c r="U89" s="12" t="s">
        <v>291</v>
      </c>
      <c r="W89" s="92" t="str">
        <f t="shared" si="27"/>
        <v>2.1\0.3:0</v>
      </c>
      <c r="X89" s="92" t="s">
        <v>442</v>
      </c>
      <c r="Y89" s="97" t="s">
        <v>4</v>
      </c>
      <c r="Z89" s="193" t="s">
        <v>669</v>
      </c>
      <c r="AA89" s="9"/>
      <c r="AB89" s="7"/>
      <c r="AH89" s="94" t="s">
        <v>668</v>
      </c>
      <c r="AI89" s="168" t="s">
        <v>225</v>
      </c>
      <c r="AJ89" s="168" t="s">
        <v>224</v>
      </c>
    </row>
    <row r="90" spans="1:36" ht="14.5" x14ac:dyDescent="0.35">
      <c r="A90" s="102" t="str">
        <f t="shared" ref="A90:A120" si="28">A89</f>
        <v>BSR130</v>
      </c>
      <c r="B90" s="93" t="str">
        <f t="shared" si="24"/>
        <v>DX01</v>
      </c>
      <c r="C90" s="93" t="str">
        <f t="shared" si="25"/>
        <v>DIO1</v>
      </c>
      <c r="D90" s="94">
        <f t="shared" si="23"/>
        <v>130</v>
      </c>
      <c r="E90" s="94">
        <v>2</v>
      </c>
      <c r="F90" s="94">
        <f t="shared" si="26"/>
        <v>1</v>
      </c>
      <c r="G90" s="94">
        <v>0</v>
      </c>
      <c r="H90" s="171">
        <f>H89</f>
        <v>3</v>
      </c>
      <c r="I90" s="163">
        <f t="shared" ref="I90:I120" si="29">+I89+1</f>
        <v>1</v>
      </c>
      <c r="J90" s="172"/>
      <c r="K90" s="92"/>
      <c r="L90" s="92" t="s">
        <v>21</v>
      </c>
      <c r="M90" s="92"/>
      <c r="N90" s="92">
        <v>4</v>
      </c>
      <c r="O90" s="92" t="s">
        <v>576</v>
      </c>
      <c r="P90" s="12" t="s">
        <v>448</v>
      </c>
      <c r="Q90" s="12"/>
      <c r="R90" s="12" t="s">
        <v>667</v>
      </c>
      <c r="S90" s="12" t="s">
        <v>18</v>
      </c>
      <c r="T90" s="12" t="s">
        <v>446</v>
      </c>
      <c r="U90" s="12" t="s">
        <v>576</v>
      </c>
      <c r="V90" s="111"/>
      <c r="W90" s="92" t="str">
        <f t="shared" si="27"/>
        <v>2.1\0.3:1</v>
      </c>
      <c r="X90" s="92" t="s">
        <v>442</v>
      </c>
      <c r="Y90" s="97" t="s">
        <v>4</v>
      </c>
      <c r="Z90" s="193" t="s">
        <v>445</v>
      </c>
      <c r="AA90" s="9"/>
      <c r="AB90" s="7"/>
      <c r="AH90" s="94" t="str">
        <f t="shared" ref="AH90:AH120" si="30">+AH89</f>
        <v>F3</v>
      </c>
      <c r="AI90" s="168" t="s">
        <v>223</v>
      </c>
      <c r="AJ90" s="168" t="s">
        <v>536</v>
      </c>
    </row>
    <row r="91" spans="1:36" ht="14.5" x14ac:dyDescent="0.35">
      <c r="A91" s="102" t="str">
        <f t="shared" si="28"/>
        <v>BSR130</v>
      </c>
      <c r="B91" s="93" t="str">
        <f t="shared" si="24"/>
        <v>DX01</v>
      </c>
      <c r="C91" s="93" t="str">
        <f t="shared" si="25"/>
        <v>DIO1</v>
      </c>
      <c r="D91" s="94">
        <f t="shared" si="23"/>
        <v>130</v>
      </c>
      <c r="E91" s="94">
        <v>2</v>
      </c>
      <c r="F91" s="94">
        <f t="shared" si="26"/>
        <v>1</v>
      </c>
      <c r="G91" s="94">
        <v>0</v>
      </c>
      <c r="H91" s="171">
        <f>H89</f>
        <v>3</v>
      </c>
      <c r="I91" s="163">
        <f t="shared" si="29"/>
        <v>2</v>
      </c>
      <c r="J91" s="172"/>
      <c r="K91" s="124"/>
      <c r="L91" s="92" t="s">
        <v>21</v>
      </c>
      <c r="M91" s="92"/>
      <c r="N91" s="92">
        <v>4</v>
      </c>
      <c r="O91" s="92" t="s">
        <v>576</v>
      </c>
      <c r="P91" s="12" t="s">
        <v>435</v>
      </c>
      <c r="Q91" s="12"/>
      <c r="R91" s="12" t="s">
        <v>666</v>
      </c>
      <c r="S91" s="12" t="s">
        <v>18</v>
      </c>
      <c r="T91" s="12" t="s">
        <v>443</v>
      </c>
      <c r="U91" s="12" t="s">
        <v>576</v>
      </c>
      <c r="W91" s="92" t="str">
        <f t="shared" si="27"/>
        <v>2.1\0.3:2</v>
      </c>
      <c r="X91" s="92" t="s">
        <v>442</v>
      </c>
      <c r="Y91" s="97" t="s">
        <v>4</v>
      </c>
      <c r="Z91" s="193" t="s">
        <v>445</v>
      </c>
      <c r="AA91" s="9"/>
      <c r="AB91" s="7"/>
      <c r="AH91" s="94" t="str">
        <f t="shared" si="30"/>
        <v>F3</v>
      </c>
      <c r="AI91" s="168" t="s">
        <v>533</v>
      </c>
      <c r="AJ91" s="168" t="s">
        <v>532</v>
      </c>
    </row>
    <row r="92" spans="1:36" x14ac:dyDescent="0.3">
      <c r="A92" s="102" t="str">
        <f t="shared" si="28"/>
        <v>BSR130</v>
      </c>
      <c r="B92" s="93" t="str">
        <f t="shared" si="24"/>
        <v>DX01</v>
      </c>
      <c r="C92" s="93" t="str">
        <f t="shared" si="25"/>
        <v>DIO1</v>
      </c>
      <c r="D92" s="94">
        <f t="shared" si="23"/>
        <v>130</v>
      </c>
      <c r="E92" s="94">
        <v>2</v>
      </c>
      <c r="F92" s="94">
        <f t="shared" si="26"/>
        <v>1</v>
      </c>
      <c r="G92" s="94">
        <v>0</v>
      </c>
      <c r="H92" s="171">
        <f t="shared" ref="H92:H103" si="31">H89</f>
        <v>3</v>
      </c>
      <c r="I92" s="163">
        <f t="shared" si="29"/>
        <v>3</v>
      </c>
      <c r="J92" s="172"/>
      <c r="K92" s="124"/>
      <c r="L92" s="92" t="s">
        <v>21</v>
      </c>
      <c r="M92" s="92"/>
      <c r="N92" s="92">
        <v>4</v>
      </c>
      <c r="O92" s="92" t="s">
        <v>660</v>
      </c>
      <c r="P92" s="12" t="s">
        <v>72</v>
      </c>
      <c r="Q92" s="12"/>
      <c r="R92" s="41" t="s">
        <v>665</v>
      </c>
      <c r="S92" s="83" t="s">
        <v>18</v>
      </c>
      <c r="T92" s="12" t="s">
        <v>664</v>
      </c>
      <c r="U92" s="12" t="s">
        <v>660</v>
      </c>
      <c r="W92" s="92" t="str">
        <f t="shared" si="27"/>
        <v>2.1\0.3:3</v>
      </c>
      <c r="X92" s="92" t="s">
        <v>442</v>
      </c>
      <c r="Y92" s="97" t="s">
        <v>4</v>
      </c>
      <c r="Z92" s="278" t="s">
        <v>663</v>
      </c>
      <c r="AA92" s="9"/>
      <c r="AB92" s="7"/>
      <c r="AH92" s="94" t="str">
        <f t="shared" si="30"/>
        <v>F3</v>
      </c>
      <c r="AI92" s="168" t="s">
        <v>531</v>
      </c>
      <c r="AJ92" s="168" t="s">
        <v>530</v>
      </c>
    </row>
    <row r="93" spans="1:36" x14ac:dyDescent="0.3">
      <c r="A93" s="102" t="str">
        <f t="shared" si="28"/>
        <v>BSR130</v>
      </c>
      <c r="B93" s="93" t="str">
        <f t="shared" si="24"/>
        <v>DX01</v>
      </c>
      <c r="C93" s="93" t="str">
        <f t="shared" si="25"/>
        <v>DIO1</v>
      </c>
      <c r="D93" s="94">
        <f t="shared" si="23"/>
        <v>130</v>
      </c>
      <c r="E93" s="94">
        <v>2</v>
      </c>
      <c r="F93" s="94">
        <f t="shared" si="26"/>
        <v>1</v>
      </c>
      <c r="G93" s="94">
        <v>0</v>
      </c>
      <c r="H93" s="171">
        <f t="shared" si="31"/>
        <v>3</v>
      </c>
      <c r="I93" s="163">
        <f t="shared" si="29"/>
        <v>4</v>
      </c>
      <c r="J93" s="172"/>
      <c r="K93" s="124"/>
      <c r="L93" s="92" t="s">
        <v>21</v>
      </c>
      <c r="M93" s="92"/>
      <c r="N93" s="92">
        <v>4</v>
      </c>
      <c r="O93" s="92" t="s">
        <v>660</v>
      </c>
      <c r="P93" s="12" t="s">
        <v>439</v>
      </c>
      <c r="Q93" s="12"/>
      <c r="R93" s="41" t="s">
        <v>662</v>
      </c>
      <c r="S93" s="83" t="s">
        <v>18</v>
      </c>
      <c r="T93" s="41" t="s">
        <v>661</v>
      </c>
      <c r="U93" s="12" t="s">
        <v>660</v>
      </c>
      <c r="W93" s="92" t="str">
        <f t="shared" si="27"/>
        <v>2.1\0.3:4</v>
      </c>
      <c r="X93" s="92" t="s">
        <v>442</v>
      </c>
      <c r="Y93" s="97" t="s">
        <v>4</v>
      </c>
      <c r="Z93" s="279"/>
      <c r="AA93" s="9"/>
      <c r="AB93" s="7"/>
      <c r="AH93" s="94" t="str">
        <f t="shared" si="30"/>
        <v>F3</v>
      </c>
      <c r="AI93" s="168" t="s">
        <v>215</v>
      </c>
      <c r="AJ93" s="168" t="s">
        <v>214</v>
      </c>
    </row>
    <row r="94" spans="1:36" x14ac:dyDescent="0.3">
      <c r="A94" s="102" t="str">
        <f t="shared" si="28"/>
        <v>BSR130</v>
      </c>
      <c r="B94" s="93" t="str">
        <f t="shared" si="24"/>
        <v>DX01</v>
      </c>
      <c r="C94" s="93" t="str">
        <f t="shared" si="25"/>
        <v>DIO1</v>
      </c>
      <c r="D94" s="94">
        <f t="shared" si="23"/>
        <v>130</v>
      </c>
      <c r="E94" s="94">
        <v>2</v>
      </c>
      <c r="F94" s="94">
        <f t="shared" si="26"/>
        <v>1</v>
      </c>
      <c r="G94" s="94">
        <v>0</v>
      </c>
      <c r="H94" s="171">
        <f t="shared" si="31"/>
        <v>3</v>
      </c>
      <c r="I94" s="163">
        <f t="shared" si="29"/>
        <v>5</v>
      </c>
      <c r="J94" s="172"/>
      <c r="K94" s="124"/>
      <c r="L94" s="92" t="s">
        <v>21</v>
      </c>
      <c r="M94" s="92"/>
      <c r="N94" s="92">
        <v>4</v>
      </c>
      <c r="O94" s="92" t="s">
        <v>627</v>
      </c>
      <c r="P94" s="12" t="s">
        <v>448</v>
      </c>
      <c r="Q94" s="12"/>
      <c r="R94" s="41" t="s">
        <v>659</v>
      </c>
      <c r="S94" s="12" t="s">
        <v>18</v>
      </c>
      <c r="T94" s="41"/>
      <c r="U94" s="12" t="s">
        <v>627</v>
      </c>
      <c r="W94" s="92" t="str">
        <f t="shared" si="27"/>
        <v>2.1\0.3:5</v>
      </c>
      <c r="X94" s="92" t="s">
        <v>442</v>
      </c>
      <c r="Y94" s="97" t="s">
        <v>4</v>
      </c>
      <c r="Z94" s="277" t="s">
        <v>658</v>
      </c>
      <c r="AA94" s="9"/>
      <c r="AB94" s="7"/>
      <c r="AH94" s="94" t="str">
        <f t="shared" si="30"/>
        <v>F3</v>
      </c>
      <c r="AI94" s="168" t="s">
        <v>213</v>
      </c>
      <c r="AJ94" s="168" t="s">
        <v>528</v>
      </c>
    </row>
    <row r="95" spans="1:36" x14ac:dyDescent="0.3">
      <c r="A95" s="102" t="str">
        <f t="shared" si="28"/>
        <v>BSR130</v>
      </c>
      <c r="B95" s="93" t="str">
        <f t="shared" si="24"/>
        <v>DX01</v>
      </c>
      <c r="C95" s="93" t="str">
        <f t="shared" si="25"/>
        <v>DIO1</v>
      </c>
      <c r="D95" s="94">
        <f t="shared" si="23"/>
        <v>130</v>
      </c>
      <c r="E95" s="94">
        <v>2</v>
      </c>
      <c r="F95" s="94">
        <f t="shared" si="26"/>
        <v>1</v>
      </c>
      <c r="G95" s="94">
        <v>0</v>
      </c>
      <c r="H95" s="171">
        <f t="shared" si="31"/>
        <v>3</v>
      </c>
      <c r="I95" s="163">
        <f t="shared" si="29"/>
        <v>6</v>
      </c>
      <c r="J95" s="172"/>
      <c r="K95" s="124"/>
      <c r="L95" s="92" t="s">
        <v>21</v>
      </c>
      <c r="M95" s="92"/>
      <c r="N95" s="92">
        <v>4</v>
      </c>
      <c r="O95" s="92" t="s">
        <v>627</v>
      </c>
      <c r="P95" s="12" t="s">
        <v>26</v>
      </c>
      <c r="Q95" s="12"/>
      <c r="R95" s="41" t="s">
        <v>657</v>
      </c>
      <c r="S95" s="12" t="s">
        <v>18</v>
      </c>
      <c r="T95" s="41"/>
      <c r="U95" s="12" t="s">
        <v>627</v>
      </c>
      <c r="W95" s="92" t="str">
        <f t="shared" si="27"/>
        <v>2.1\0.3:6</v>
      </c>
      <c r="X95" s="92" t="s">
        <v>442</v>
      </c>
      <c r="Y95" s="97" t="s">
        <v>4</v>
      </c>
      <c r="Z95" s="276"/>
      <c r="AA95" s="9"/>
      <c r="AB95" s="7"/>
      <c r="AH95" s="94" t="str">
        <f t="shared" si="30"/>
        <v>F3</v>
      </c>
      <c r="AI95" s="168" t="s">
        <v>211</v>
      </c>
      <c r="AJ95" s="168" t="s">
        <v>210</v>
      </c>
    </row>
    <row r="96" spans="1:36" x14ac:dyDescent="0.3">
      <c r="A96" s="102" t="str">
        <f t="shared" si="28"/>
        <v>BSR130</v>
      </c>
      <c r="B96" s="93" t="str">
        <f t="shared" si="24"/>
        <v>DX01</v>
      </c>
      <c r="C96" s="93" t="str">
        <f t="shared" si="25"/>
        <v>DIO1</v>
      </c>
      <c r="D96" s="94">
        <f t="shared" si="23"/>
        <v>130</v>
      </c>
      <c r="E96" s="94">
        <v>2</v>
      </c>
      <c r="F96" s="94">
        <f t="shared" si="26"/>
        <v>1</v>
      </c>
      <c r="G96" s="94">
        <v>0</v>
      </c>
      <c r="H96" s="171">
        <f t="shared" si="31"/>
        <v>3</v>
      </c>
      <c r="I96" s="163">
        <f t="shared" si="29"/>
        <v>7</v>
      </c>
      <c r="J96" s="172"/>
      <c r="K96" s="124"/>
      <c r="L96" s="92" t="s">
        <v>21</v>
      </c>
      <c r="M96" s="92"/>
      <c r="N96" s="92">
        <v>4</v>
      </c>
      <c r="O96" s="92" t="s">
        <v>627</v>
      </c>
      <c r="P96" s="12" t="s">
        <v>435</v>
      </c>
      <c r="Q96" s="12"/>
      <c r="R96" s="41" t="s">
        <v>656</v>
      </c>
      <c r="S96" s="12" t="s">
        <v>18</v>
      </c>
      <c r="T96" s="41"/>
      <c r="U96" s="12" t="s">
        <v>627</v>
      </c>
      <c r="W96" s="92" t="str">
        <f t="shared" si="27"/>
        <v>2.1\0.3:7</v>
      </c>
      <c r="X96" s="92" t="s">
        <v>442</v>
      </c>
      <c r="Y96" s="97" t="s">
        <v>4</v>
      </c>
      <c r="Z96" s="276"/>
      <c r="AA96" s="9"/>
      <c r="AB96" s="7"/>
      <c r="AH96" s="94" t="str">
        <f t="shared" si="30"/>
        <v>F3</v>
      </c>
      <c r="AI96" s="168" t="s">
        <v>209</v>
      </c>
      <c r="AJ96" s="168" t="s">
        <v>208</v>
      </c>
    </row>
    <row r="97" spans="1:36" x14ac:dyDescent="0.3">
      <c r="A97" s="102" t="str">
        <f t="shared" si="28"/>
        <v>BSR130</v>
      </c>
      <c r="B97" s="93" t="str">
        <f t="shared" si="24"/>
        <v>DX01</v>
      </c>
      <c r="C97" s="93" t="str">
        <f t="shared" si="25"/>
        <v>DIO1</v>
      </c>
      <c r="D97" s="94">
        <f t="shared" si="23"/>
        <v>130</v>
      </c>
      <c r="E97" s="94">
        <v>2</v>
      </c>
      <c r="F97" s="94">
        <f t="shared" si="26"/>
        <v>1</v>
      </c>
      <c r="G97" s="94">
        <v>0</v>
      </c>
      <c r="H97" s="171">
        <f t="shared" si="31"/>
        <v>3</v>
      </c>
      <c r="I97" s="163">
        <f t="shared" si="29"/>
        <v>8</v>
      </c>
      <c r="J97" s="172"/>
      <c r="K97" s="124"/>
      <c r="L97" s="92" t="s">
        <v>21</v>
      </c>
      <c r="M97" s="92"/>
      <c r="N97" s="92">
        <v>4</v>
      </c>
      <c r="O97" s="92" t="s">
        <v>635</v>
      </c>
      <c r="P97" s="12" t="s">
        <v>655</v>
      </c>
      <c r="Q97" s="12"/>
      <c r="R97" s="84" t="s">
        <v>654</v>
      </c>
      <c r="S97" s="12" t="s">
        <v>646</v>
      </c>
      <c r="T97" s="12"/>
      <c r="U97" s="12" t="s">
        <v>635</v>
      </c>
      <c r="V97" s="13"/>
      <c r="W97" s="92" t="str">
        <f t="shared" si="27"/>
        <v>2.1\0.3:8</v>
      </c>
      <c r="X97" s="92" t="s">
        <v>442</v>
      </c>
      <c r="Y97" s="97" t="s">
        <v>4</v>
      </c>
      <c r="Z97" s="277" t="s">
        <v>653</v>
      </c>
      <c r="AA97" s="9"/>
      <c r="AH97" s="94" t="str">
        <f t="shared" si="30"/>
        <v>F3</v>
      </c>
      <c r="AI97" s="168" t="s">
        <v>206</v>
      </c>
      <c r="AJ97" s="168" t="s">
        <v>205</v>
      </c>
    </row>
    <row r="98" spans="1:36" x14ac:dyDescent="0.3">
      <c r="A98" s="102" t="str">
        <f t="shared" si="28"/>
        <v>BSR130</v>
      </c>
      <c r="B98" s="93" t="str">
        <f t="shared" si="24"/>
        <v>DX01</v>
      </c>
      <c r="C98" s="93" t="str">
        <f t="shared" si="25"/>
        <v>DIO1</v>
      </c>
      <c r="D98" s="94">
        <f t="shared" si="23"/>
        <v>130</v>
      </c>
      <c r="E98" s="94">
        <v>2</v>
      </c>
      <c r="F98" s="94">
        <f t="shared" si="26"/>
        <v>1</v>
      </c>
      <c r="G98" s="94">
        <v>0</v>
      </c>
      <c r="H98" s="171">
        <f t="shared" si="31"/>
        <v>3</v>
      </c>
      <c r="I98" s="163">
        <f t="shared" si="29"/>
        <v>9</v>
      </c>
      <c r="J98" s="172"/>
      <c r="K98" s="124"/>
      <c r="L98" s="92" t="s">
        <v>21</v>
      </c>
      <c r="M98" s="92"/>
      <c r="N98" s="92">
        <v>4</v>
      </c>
      <c r="O98" s="92" t="s">
        <v>635</v>
      </c>
      <c r="P98" s="12" t="s">
        <v>652</v>
      </c>
      <c r="Q98" s="12"/>
      <c r="R98" s="83" t="s">
        <v>651</v>
      </c>
      <c r="S98" s="12" t="s">
        <v>646</v>
      </c>
      <c r="T98" s="12"/>
      <c r="U98" s="13" t="s">
        <v>635</v>
      </c>
      <c r="V98" s="93"/>
      <c r="W98" s="92" t="str">
        <f t="shared" si="27"/>
        <v>2.1\0.3:9</v>
      </c>
      <c r="X98" s="92" t="s">
        <v>442</v>
      </c>
      <c r="Y98" s="97" t="s">
        <v>4</v>
      </c>
      <c r="Z98" s="276"/>
      <c r="AA98" s="9"/>
      <c r="AH98" s="94" t="str">
        <f t="shared" si="30"/>
        <v>F3</v>
      </c>
      <c r="AI98" s="168" t="s">
        <v>204</v>
      </c>
      <c r="AJ98" s="168" t="s">
        <v>203</v>
      </c>
    </row>
    <row r="99" spans="1:36" x14ac:dyDescent="0.3">
      <c r="A99" s="102" t="str">
        <f t="shared" si="28"/>
        <v>BSR130</v>
      </c>
      <c r="B99" s="93" t="str">
        <f t="shared" si="24"/>
        <v>DX01</v>
      </c>
      <c r="C99" s="93" t="str">
        <f t="shared" si="25"/>
        <v>DIO1</v>
      </c>
      <c r="D99" s="94">
        <f t="shared" si="23"/>
        <v>130</v>
      </c>
      <c r="E99" s="94">
        <v>2</v>
      </c>
      <c r="F99" s="94">
        <f t="shared" si="26"/>
        <v>1</v>
      </c>
      <c r="G99" s="94">
        <v>0</v>
      </c>
      <c r="H99" s="171">
        <f t="shared" si="31"/>
        <v>3</v>
      </c>
      <c r="I99" s="163">
        <f t="shared" si="29"/>
        <v>10</v>
      </c>
      <c r="J99" s="172"/>
      <c r="K99" s="124"/>
      <c r="L99" s="92" t="s">
        <v>21</v>
      </c>
      <c r="M99" s="92"/>
      <c r="N99" s="92">
        <v>4</v>
      </c>
      <c r="O99" s="92" t="s">
        <v>635</v>
      </c>
      <c r="P99" s="12" t="s">
        <v>650</v>
      </c>
      <c r="Q99" s="12"/>
      <c r="R99" s="12" t="s">
        <v>649</v>
      </c>
      <c r="S99" s="12" t="s">
        <v>646</v>
      </c>
      <c r="T99" s="12"/>
      <c r="U99" s="13" t="s">
        <v>635</v>
      </c>
      <c r="V99" s="93"/>
      <c r="W99" s="92" t="str">
        <f t="shared" si="27"/>
        <v>2.1\0.3:10</v>
      </c>
      <c r="X99" s="92" t="s">
        <v>442</v>
      </c>
      <c r="Y99" s="97" t="s">
        <v>4</v>
      </c>
      <c r="Z99" s="276"/>
      <c r="AA99" s="9"/>
      <c r="AB99" s="7"/>
      <c r="AH99" s="94" t="str">
        <f t="shared" si="30"/>
        <v>F3</v>
      </c>
      <c r="AI99" s="168" t="s">
        <v>199</v>
      </c>
      <c r="AJ99" s="168" t="s">
        <v>198</v>
      </c>
    </row>
    <row r="100" spans="1:36" x14ac:dyDescent="0.3">
      <c r="A100" s="102" t="str">
        <f t="shared" si="28"/>
        <v>BSR130</v>
      </c>
      <c r="B100" s="93" t="str">
        <f t="shared" si="24"/>
        <v>DX01</v>
      </c>
      <c r="C100" s="93" t="str">
        <f t="shared" si="25"/>
        <v>DIO1</v>
      </c>
      <c r="D100" s="94">
        <f t="shared" si="23"/>
        <v>130</v>
      </c>
      <c r="E100" s="94">
        <v>2</v>
      </c>
      <c r="F100" s="94">
        <f t="shared" si="26"/>
        <v>1</v>
      </c>
      <c r="G100" s="94">
        <v>0</v>
      </c>
      <c r="H100" s="171">
        <f t="shared" si="31"/>
        <v>3</v>
      </c>
      <c r="I100" s="163">
        <f t="shared" si="29"/>
        <v>11</v>
      </c>
      <c r="J100" s="172"/>
      <c r="K100" s="124"/>
      <c r="L100" s="92" t="s">
        <v>21</v>
      </c>
      <c r="M100" s="92"/>
      <c r="N100" s="92">
        <v>4</v>
      </c>
      <c r="O100" s="92" t="s">
        <v>635</v>
      </c>
      <c r="P100" s="12" t="s">
        <v>448</v>
      </c>
      <c r="Q100" s="12"/>
      <c r="R100" s="12" t="s">
        <v>648</v>
      </c>
      <c r="S100" s="12" t="s">
        <v>18</v>
      </c>
      <c r="T100" s="12"/>
      <c r="U100" s="13" t="s">
        <v>635</v>
      </c>
      <c r="V100" s="93"/>
      <c r="W100" s="92" t="str">
        <f t="shared" si="27"/>
        <v>2.1\0.3:11</v>
      </c>
      <c r="X100" s="92" t="s">
        <v>442</v>
      </c>
      <c r="Y100" s="97" t="s">
        <v>4</v>
      </c>
      <c r="Z100" s="276"/>
      <c r="AA100" s="9"/>
      <c r="AB100" s="7"/>
      <c r="AH100" s="94" t="str">
        <f t="shared" si="30"/>
        <v>F3</v>
      </c>
      <c r="AI100" s="168" t="s">
        <v>197</v>
      </c>
      <c r="AJ100" s="168" t="s">
        <v>196</v>
      </c>
    </row>
    <row r="101" spans="1:36" x14ac:dyDescent="0.3">
      <c r="A101" s="102" t="str">
        <f t="shared" si="28"/>
        <v>BSR130</v>
      </c>
      <c r="B101" s="93" t="str">
        <f t="shared" si="24"/>
        <v>DX01</v>
      </c>
      <c r="C101" s="93" t="str">
        <f t="shared" si="25"/>
        <v>DIO1</v>
      </c>
      <c r="D101" s="94">
        <f t="shared" si="23"/>
        <v>130</v>
      </c>
      <c r="E101" s="94">
        <v>2</v>
      </c>
      <c r="F101" s="94">
        <f t="shared" si="26"/>
        <v>1</v>
      </c>
      <c r="G101" s="94">
        <v>0</v>
      </c>
      <c r="H101" s="171">
        <f t="shared" si="31"/>
        <v>3</v>
      </c>
      <c r="I101" s="163">
        <f t="shared" si="29"/>
        <v>12</v>
      </c>
      <c r="J101" s="172"/>
      <c r="K101" s="124"/>
      <c r="L101" s="92" t="s">
        <v>21</v>
      </c>
      <c r="M101" s="92"/>
      <c r="N101" s="92">
        <v>4</v>
      </c>
      <c r="O101" s="92" t="s">
        <v>635</v>
      </c>
      <c r="P101" s="192" t="s">
        <v>435</v>
      </c>
      <c r="R101" s="92" t="s">
        <v>647</v>
      </c>
      <c r="S101" s="92" t="s">
        <v>646</v>
      </c>
      <c r="U101" s="92" t="s">
        <v>635</v>
      </c>
      <c r="V101" s="93"/>
      <c r="W101" s="92" t="str">
        <f t="shared" si="27"/>
        <v>2.1\0.3:12</v>
      </c>
      <c r="X101" s="92" t="s">
        <v>442</v>
      </c>
      <c r="Y101" s="97" t="s">
        <v>4</v>
      </c>
      <c r="Z101" s="276"/>
      <c r="AA101" s="9"/>
      <c r="AB101" s="7"/>
      <c r="AH101" s="94" t="str">
        <f t="shared" si="30"/>
        <v>F3</v>
      </c>
      <c r="AI101" s="168" t="s">
        <v>193</v>
      </c>
      <c r="AJ101" s="168" t="s">
        <v>192</v>
      </c>
    </row>
    <row r="102" spans="1:36" x14ac:dyDescent="0.3">
      <c r="A102" s="102" t="str">
        <f t="shared" si="28"/>
        <v>BSR130</v>
      </c>
      <c r="B102" s="93" t="str">
        <f t="shared" si="24"/>
        <v>DX01</v>
      </c>
      <c r="C102" s="93" t="str">
        <f t="shared" si="25"/>
        <v>DIO1</v>
      </c>
      <c r="D102" s="94">
        <f t="shared" si="23"/>
        <v>130</v>
      </c>
      <c r="E102" s="94">
        <v>2</v>
      </c>
      <c r="F102" s="94">
        <f t="shared" si="26"/>
        <v>1</v>
      </c>
      <c r="G102" s="94">
        <v>0</v>
      </c>
      <c r="H102" s="171">
        <f t="shared" si="31"/>
        <v>3</v>
      </c>
      <c r="I102" s="163">
        <f t="shared" si="29"/>
        <v>13</v>
      </c>
      <c r="J102" s="172"/>
      <c r="K102" s="124"/>
      <c r="L102" s="92" t="s">
        <v>21</v>
      </c>
      <c r="M102" s="92"/>
      <c r="N102" s="104">
        <v>5</v>
      </c>
      <c r="O102" s="92" t="s">
        <v>635</v>
      </c>
      <c r="P102" s="92" t="s">
        <v>422</v>
      </c>
      <c r="R102" s="92" t="s">
        <v>645</v>
      </c>
      <c r="S102" s="104" t="s">
        <v>638</v>
      </c>
      <c r="U102" s="92" t="s">
        <v>635</v>
      </c>
      <c r="V102" s="93"/>
      <c r="W102" s="92" t="str">
        <f t="shared" si="27"/>
        <v>2.1\0.3:13</v>
      </c>
      <c r="X102" s="92" t="s">
        <v>442</v>
      </c>
      <c r="Y102" s="97" t="s">
        <v>4</v>
      </c>
      <c r="Z102" s="276"/>
      <c r="AA102" s="9"/>
      <c r="AB102" s="7"/>
      <c r="AH102" s="94" t="str">
        <f t="shared" si="30"/>
        <v>F3</v>
      </c>
      <c r="AI102" s="168" t="s">
        <v>191</v>
      </c>
      <c r="AJ102" s="168" t="s">
        <v>190</v>
      </c>
    </row>
    <row r="103" spans="1:36" x14ac:dyDescent="0.3">
      <c r="A103" s="102" t="str">
        <f t="shared" si="28"/>
        <v>BSR130</v>
      </c>
      <c r="B103" s="93" t="str">
        <f t="shared" si="24"/>
        <v>DX01</v>
      </c>
      <c r="C103" s="93" t="str">
        <f t="shared" si="25"/>
        <v>DIO1</v>
      </c>
      <c r="D103" s="94">
        <f t="shared" si="23"/>
        <v>130</v>
      </c>
      <c r="E103" s="94">
        <v>2</v>
      </c>
      <c r="F103" s="94">
        <f t="shared" si="26"/>
        <v>1</v>
      </c>
      <c r="G103" s="94">
        <v>0</v>
      </c>
      <c r="H103" s="171">
        <f t="shared" si="31"/>
        <v>3</v>
      </c>
      <c r="I103" s="163">
        <f t="shared" si="29"/>
        <v>14</v>
      </c>
      <c r="J103" s="172"/>
      <c r="K103" s="124"/>
      <c r="L103" s="92" t="s">
        <v>21</v>
      </c>
      <c r="M103" s="92"/>
      <c r="N103" s="104">
        <v>5</v>
      </c>
      <c r="O103" s="92" t="s">
        <v>635</v>
      </c>
      <c r="P103" s="12" t="s">
        <v>644</v>
      </c>
      <c r="Q103" s="12"/>
      <c r="R103" s="92" t="s">
        <v>643</v>
      </c>
      <c r="S103" s="104" t="s">
        <v>638</v>
      </c>
      <c r="U103" s="92" t="s">
        <v>635</v>
      </c>
      <c r="V103" s="93"/>
      <c r="W103" s="92" t="str">
        <f t="shared" si="27"/>
        <v>2.1\0.3:14</v>
      </c>
      <c r="X103" s="92" t="s">
        <v>442</v>
      </c>
      <c r="Y103" s="97" t="s">
        <v>4</v>
      </c>
      <c r="Z103" s="276"/>
      <c r="AA103" s="9"/>
      <c r="AB103" s="7"/>
      <c r="AH103" s="94" t="str">
        <f t="shared" si="30"/>
        <v>F3</v>
      </c>
      <c r="AI103" s="168" t="s">
        <v>187</v>
      </c>
      <c r="AJ103" s="168" t="s">
        <v>186</v>
      </c>
    </row>
    <row r="104" spans="1:36" x14ac:dyDescent="0.3">
      <c r="A104" s="102" t="str">
        <f t="shared" si="28"/>
        <v>BSR130</v>
      </c>
      <c r="B104" s="93" t="str">
        <f t="shared" si="24"/>
        <v>DX01</v>
      </c>
      <c r="C104" s="93" t="str">
        <f t="shared" si="25"/>
        <v>DIO1</v>
      </c>
      <c r="D104" s="94">
        <f t="shared" si="23"/>
        <v>130</v>
      </c>
      <c r="E104" s="94">
        <v>2</v>
      </c>
      <c r="F104" s="94">
        <f t="shared" si="26"/>
        <v>1</v>
      </c>
      <c r="G104" s="94">
        <v>0</v>
      </c>
      <c r="H104" s="171">
        <f t="shared" ref="H104:H120" si="32">H100</f>
        <v>3</v>
      </c>
      <c r="I104" s="163">
        <f t="shared" si="29"/>
        <v>15</v>
      </c>
      <c r="J104" s="172"/>
      <c r="K104" s="124"/>
      <c r="L104" s="92" t="s">
        <v>21</v>
      </c>
      <c r="M104" s="92"/>
      <c r="N104" s="104">
        <v>5</v>
      </c>
      <c r="O104" s="92" t="s">
        <v>635</v>
      </c>
      <c r="P104" s="12" t="s">
        <v>642</v>
      </c>
      <c r="Q104" s="12"/>
      <c r="R104" s="92" t="s">
        <v>641</v>
      </c>
      <c r="S104" s="104" t="s">
        <v>638</v>
      </c>
      <c r="T104" s="12"/>
      <c r="U104" s="13" t="s">
        <v>635</v>
      </c>
      <c r="V104" s="93"/>
      <c r="W104" s="92" t="str">
        <f t="shared" si="27"/>
        <v>2.1\0.3:15</v>
      </c>
      <c r="X104" s="92" t="s">
        <v>442</v>
      </c>
      <c r="Y104" s="97" t="s">
        <v>4</v>
      </c>
      <c r="Z104" s="276"/>
      <c r="AA104" s="9"/>
      <c r="AB104" s="7"/>
      <c r="AH104" s="94" t="str">
        <f t="shared" si="30"/>
        <v>F3</v>
      </c>
      <c r="AI104" s="168" t="s">
        <v>185</v>
      </c>
      <c r="AJ104" s="168" t="s">
        <v>184</v>
      </c>
    </row>
    <row r="105" spans="1:36" x14ac:dyDescent="0.3">
      <c r="A105" s="102" t="str">
        <f t="shared" si="28"/>
        <v>BSR130</v>
      </c>
      <c r="B105" s="93" t="str">
        <f t="shared" si="24"/>
        <v>DX01</v>
      </c>
      <c r="C105" s="93" t="str">
        <f t="shared" si="25"/>
        <v>DIO1</v>
      </c>
      <c r="D105" s="94">
        <f t="shared" si="23"/>
        <v>130</v>
      </c>
      <c r="E105" s="94">
        <v>2</v>
      </c>
      <c r="F105" s="94">
        <f t="shared" si="26"/>
        <v>1</v>
      </c>
      <c r="G105" s="94">
        <v>0</v>
      </c>
      <c r="H105" s="171">
        <f t="shared" si="32"/>
        <v>3</v>
      </c>
      <c r="I105" s="163">
        <f t="shared" si="29"/>
        <v>16</v>
      </c>
      <c r="J105" s="172"/>
      <c r="K105" s="93"/>
      <c r="L105" s="92" t="s">
        <v>21</v>
      </c>
      <c r="M105" s="92"/>
      <c r="N105" s="104">
        <v>5</v>
      </c>
      <c r="O105" s="92" t="s">
        <v>635</v>
      </c>
      <c r="P105" s="12" t="s">
        <v>640</v>
      </c>
      <c r="Q105" s="12"/>
      <c r="R105" s="92" t="s">
        <v>639</v>
      </c>
      <c r="S105" s="104" t="s">
        <v>638</v>
      </c>
      <c r="T105" s="12"/>
      <c r="U105" s="13" t="s">
        <v>635</v>
      </c>
      <c r="W105" s="92" t="str">
        <f t="shared" si="27"/>
        <v>2.1\0.3:16</v>
      </c>
      <c r="X105" s="92" t="s">
        <v>442</v>
      </c>
      <c r="Y105" s="97" t="s">
        <v>4</v>
      </c>
      <c r="Z105" s="276"/>
      <c r="AA105" s="9"/>
      <c r="AB105" s="7"/>
      <c r="AH105" s="94" t="str">
        <f t="shared" si="30"/>
        <v>F3</v>
      </c>
      <c r="AI105" s="168" t="s">
        <v>181</v>
      </c>
      <c r="AJ105" s="168" t="s">
        <v>180</v>
      </c>
    </row>
    <row r="106" spans="1:36" x14ac:dyDescent="0.3">
      <c r="A106" s="102" t="str">
        <f t="shared" si="28"/>
        <v>BSR130</v>
      </c>
      <c r="B106" s="93" t="str">
        <f t="shared" si="24"/>
        <v>DX01</v>
      </c>
      <c r="C106" s="93" t="str">
        <f t="shared" si="25"/>
        <v>DIO1</v>
      </c>
      <c r="D106" s="94">
        <f t="shared" si="23"/>
        <v>130</v>
      </c>
      <c r="E106" s="94">
        <v>2</v>
      </c>
      <c r="F106" s="94">
        <f t="shared" si="26"/>
        <v>1</v>
      </c>
      <c r="G106" s="94">
        <v>0</v>
      </c>
      <c r="H106" s="171">
        <f t="shared" si="32"/>
        <v>3</v>
      </c>
      <c r="I106" s="163">
        <f t="shared" si="29"/>
        <v>17</v>
      </c>
      <c r="J106" s="172"/>
      <c r="K106" s="124"/>
      <c r="L106" s="92" t="s">
        <v>21</v>
      </c>
      <c r="M106" s="92"/>
      <c r="N106" s="104">
        <v>5</v>
      </c>
      <c r="O106" s="92" t="s">
        <v>635</v>
      </c>
      <c r="P106" s="92" t="s">
        <v>637</v>
      </c>
      <c r="R106" s="92" t="s">
        <v>636</v>
      </c>
      <c r="S106" s="104"/>
      <c r="U106" s="92" t="s">
        <v>635</v>
      </c>
      <c r="W106" s="92" t="str">
        <f t="shared" si="27"/>
        <v>2.1\0.3:17</v>
      </c>
      <c r="X106" s="92" t="s">
        <v>442</v>
      </c>
      <c r="Y106" s="97" t="s">
        <v>4</v>
      </c>
      <c r="Z106" s="276"/>
      <c r="AA106" s="9"/>
      <c r="AH106" s="94" t="str">
        <f t="shared" si="30"/>
        <v>F3</v>
      </c>
      <c r="AI106" s="168" t="s">
        <v>179</v>
      </c>
      <c r="AJ106" s="168" t="s">
        <v>178</v>
      </c>
    </row>
    <row r="107" spans="1:36" ht="14.5" x14ac:dyDescent="0.3">
      <c r="A107" s="102" t="str">
        <f t="shared" si="28"/>
        <v>BSR130</v>
      </c>
      <c r="B107" s="93" t="str">
        <f t="shared" si="24"/>
        <v>DX01</v>
      </c>
      <c r="C107" s="93" t="str">
        <f t="shared" si="25"/>
        <v>DIO1</v>
      </c>
      <c r="D107" s="94">
        <f t="shared" si="23"/>
        <v>130</v>
      </c>
      <c r="E107" s="94">
        <v>2</v>
      </c>
      <c r="F107" s="94">
        <f t="shared" si="26"/>
        <v>1</v>
      </c>
      <c r="G107" s="94">
        <v>0</v>
      </c>
      <c r="H107" s="171">
        <f t="shared" si="32"/>
        <v>3</v>
      </c>
      <c r="I107" s="163">
        <f t="shared" si="29"/>
        <v>18</v>
      </c>
      <c r="J107" s="172"/>
      <c r="K107" s="124"/>
      <c r="L107" s="92" t="s">
        <v>21</v>
      </c>
      <c r="M107" s="92"/>
      <c r="N107" s="92">
        <v>4</v>
      </c>
      <c r="O107" s="92" t="s">
        <v>393</v>
      </c>
      <c r="P107" s="12" t="s">
        <v>448</v>
      </c>
      <c r="Q107" s="12"/>
      <c r="R107" s="92" t="s">
        <v>634</v>
      </c>
      <c r="S107" s="12" t="s">
        <v>18</v>
      </c>
      <c r="T107" s="92" t="s">
        <v>631</v>
      </c>
      <c r="U107" s="92" t="s">
        <v>393</v>
      </c>
      <c r="V107" s="12"/>
      <c r="W107" s="92" t="str">
        <f t="shared" si="27"/>
        <v>2.1\0.3:18</v>
      </c>
      <c r="X107" s="92" t="s">
        <v>442</v>
      </c>
      <c r="Y107" s="97" t="s">
        <v>4</v>
      </c>
      <c r="Z107" s="174" t="s">
        <v>633</v>
      </c>
      <c r="AA107" s="9"/>
      <c r="AB107" s="7"/>
      <c r="AH107" s="94" t="str">
        <f t="shared" si="30"/>
        <v>F3</v>
      </c>
      <c r="AI107" s="168" t="s">
        <v>175</v>
      </c>
      <c r="AJ107" s="168" t="s">
        <v>174</v>
      </c>
    </row>
    <row r="108" spans="1:36" ht="29" x14ac:dyDescent="0.35">
      <c r="A108" s="102" t="str">
        <f t="shared" si="28"/>
        <v>BSR130</v>
      </c>
      <c r="B108" s="93" t="str">
        <f t="shared" si="24"/>
        <v>DX01</v>
      </c>
      <c r="C108" s="93" t="str">
        <f t="shared" si="25"/>
        <v>DIO1</v>
      </c>
      <c r="D108" s="94">
        <f t="shared" si="23"/>
        <v>130</v>
      </c>
      <c r="E108" s="94">
        <v>2</v>
      </c>
      <c r="F108" s="94">
        <f t="shared" si="26"/>
        <v>1</v>
      </c>
      <c r="G108" s="94">
        <v>0</v>
      </c>
      <c r="H108" s="171">
        <f t="shared" si="32"/>
        <v>3</v>
      </c>
      <c r="I108" s="163">
        <f t="shared" si="29"/>
        <v>19</v>
      </c>
      <c r="J108" s="172"/>
      <c r="K108" s="124"/>
      <c r="L108" s="92" t="s">
        <v>21</v>
      </c>
      <c r="M108" s="92"/>
      <c r="N108" s="92">
        <v>4</v>
      </c>
      <c r="O108" s="92" t="s">
        <v>616</v>
      </c>
      <c r="P108" s="92" t="s">
        <v>448</v>
      </c>
      <c r="R108" s="92" t="s">
        <v>632</v>
      </c>
      <c r="S108" s="92" t="s">
        <v>18</v>
      </c>
      <c r="T108" s="92" t="s">
        <v>631</v>
      </c>
      <c r="U108" s="92" t="s">
        <v>616</v>
      </c>
      <c r="V108" s="12"/>
      <c r="W108" s="92" t="str">
        <f t="shared" si="27"/>
        <v>2.1\0.3:19</v>
      </c>
      <c r="X108" s="92" t="s">
        <v>442</v>
      </c>
      <c r="Y108" s="97" t="s">
        <v>4</v>
      </c>
      <c r="Z108" s="189" t="s">
        <v>630</v>
      </c>
      <c r="AA108" s="9"/>
      <c r="AB108" s="7"/>
      <c r="AH108" s="94" t="str">
        <f t="shared" si="30"/>
        <v>F3</v>
      </c>
      <c r="AI108" s="168" t="s">
        <v>173</v>
      </c>
      <c r="AJ108" s="168" t="s">
        <v>172</v>
      </c>
    </row>
    <row r="109" spans="1:36" x14ac:dyDescent="0.3">
      <c r="A109" s="102" t="str">
        <f t="shared" si="28"/>
        <v>BSR130</v>
      </c>
      <c r="B109" s="93" t="str">
        <f t="shared" si="24"/>
        <v>DX01</v>
      </c>
      <c r="C109" s="93" t="str">
        <f t="shared" si="25"/>
        <v>DIO1</v>
      </c>
      <c r="D109" s="94">
        <f t="shared" si="23"/>
        <v>130</v>
      </c>
      <c r="E109" s="94">
        <v>2</v>
      </c>
      <c r="F109" s="94">
        <f t="shared" si="26"/>
        <v>1</v>
      </c>
      <c r="G109" s="94">
        <v>0</v>
      </c>
      <c r="H109" s="171">
        <f t="shared" si="32"/>
        <v>3</v>
      </c>
      <c r="I109" s="163">
        <f t="shared" si="29"/>
        <v>20</v>
      </c>
      <c r="J109" s="172"/>
      <c r="K109" s="124"/>
      <c r="L109" s="92" t="s">
        <v>21</v>
      </c>
      <c r="M109" s="92"/>
      <c r="N109" s="104">
        <v>5</v>
      </c>
      <c r="O109" s="92" t="s">
        <v>627</v>
      </c>
      <c r="P109" s="92" t="s">
        <v>422</v>
      </c>
      <c r="R109" s="12" t="s">
        <v>629</v>
      </c>
      <c r="S109" s="12" t="s">
        <v>628</v>
      </c>
      <c r="U109" s="12" t="s">
        <v>627</v>
      </c>
      <c r="V109" s="37"/>
      <c r="W109" s="92" t="str">
        <f t="shared" si="27"/>
        <v>2.1\0.3:20</v>
      </c>
      <c r="X109" s="92" t="s">
        <v>442</v>
      </c>
      <c r="Y109" s="97" t="s">
        <v>4</v>
      </c>
      <c r="Z109" s="92" t="s">
        <v>626</v>
      </c>
      <c r="AA109" s="9"/>
      <c r="AH109" s="94" t="str">
        <f t="shared" si="30"/>
        <v>F3</v>
      </c>
      <c r="AI109" s="168" t="s">
        <v>170</v>
      </c>
      <c r="AJ109" s="168" t="s">
        <v>169</v>
      </c>
    </row>
    <row r="110" spans="1:36" x14ac:dyDescent="0.3">
      <c r="A110" s="102" t="str">
        <f t="shared" si="28"/>
        <v>BSR130</v>
      </c>
      <c r="B110" s="93" t="str">
        <f t="shared" si="24"/>
        <v>DX01</v>
      </c>
      <c r="C110" s="93" t="str">
        <f t="shared" si="25"/>
        <v>DIO1</v>
      </c>
      <c r="D110" s="94">
        <f t="shared" si="23"/>
        <v>130</v>
      </c>
      <c r="E110" s="94">
        <v>2</v>
      </c>
      <c r="F110" s="94">
        <f t="shared" si="26"/>
        <v>1</v>
      </c>
      <c r="G110" s="94">
        <v>0</v>
      </c>
      <c r="H110" s="171">
        <f t="shared" si="32"/>
        <v>3</v>
      </c>
      <c r="I110" s="163">
        <f t="shared" si="29"/>
        <v>21</v>
      </c>
      <c r="J110" s="172"/>
      <c r="K110" s="124"/>
      <c r="L110" s="92" t="s">
        <v>21</v>
      </c>
      <c r="M110" s="92"/>
      <c r="N110" s="104"/>
      <c r="O110" s="190"/>
      <c r="P110" s="190"/>
      <c r="Q110" s="190"/>
      <c r="R110" s="190"/>
      <c r="S110" s="191"/>
      <c r="T110" s="190"/>
      <c r="U110" s="190"/>
      <c r="W110" s="92" t="str">
        <f t="shared" si="27"/>
        <v>2.1\0.3:21</v>
      </c>
      <c r="X110" s="92" t="s">
        <v>442</v>
      </c>
      <c r="Y110" s="97" t="s">
        <v>4</v>
      </c>
      <c r="Z110" s="92"/>
      <c r="AA110" s="9"/>
      <c r="AH110" s="94" t="str">
        <f t="shared" si="30"/>
        <v>F3</v>
      </c>
      <c r="AI110" s="168" t="s">
        <v>168</v>
      </c>
      <c r="AJ110" s="168" t="s">
        <v>167</v>
      </c>
    </row>
    <row r="111" spans="1:36" x14ac:dyDescent="0.3">
      <c r="A111" s="102" t="str">
        <f t="shared" si="28"/>
        <v>BSR130</v>
      </c>
      <c r="B111" s="93" t="str">
        <f t="shared" si="24"/>
        <v>DX01</v>
      </c>
      <c r="C111" s="93" t="str">
        <f t="shared" si="25"/>
        <v>DIO1</v>
      </c>
      <c r="D111" s="94">
        <f t="shared" si="23"/>
        <v>130</v>
      </c>
      <c r="E111" s="94">
        <v>2</v>
      </c>
      <c r="F111" s="94">
        <f t="shared" si="26"/>
        <v>1</v>
      </c>
      <c r="G111" s="94">
        <v>0</v>
      </c>
      <c r="H111" s="171">
        <f t="shared" si="32"/>
        <v>3</v>
      </c>
      <c r="I111" s="163">
        <f t="shared" si="29"/>
        <v>22</v>
      </c>
      <c r="J111" s="172"/>
      <c r="K111" s="124"/>
      <c r="L111" s="92" t="s">
        <v>21</v>
      </c>
      <c r="M111" s="92"/>
      <c r="N111" s="104"/>
      <c r="O111" s="190"/>
      <c r="P111" s="190"/>
      <c r="Q111" s="190"/>
      <c r="R111" s="190"/>
      <c r="S111" s="191"/>
      <c r="T111" s="190"/>
      <c r="U111" s="190"/>
      <c r="V111" s="13"/>
      <c r="W111" s="92" t="str">
        <f t="shared" si="27"/>
        <v>2.1\0.3:22</v>
      </c>
      <c r="X111" s="92" t="s">
        <v>442</v>
      </c>
      <c r="Y111" s="97" t="s">
        <v>4</v>
      </c>
      <c r="Z111" s="92"/>
      <c r="AA111" s="9"/>
      <c r="AH111" s="94" t="str">
        <f t="shared" si="30"/>
        <v>F3</v>
      </c>
      <c r="AI111" s="168" t="s">
        <v>165</v>
      </c>
      <c r="AJ111" s="168" t="s">
        <v>164</v>
      </c>
    </row>
    <row r="112" spans="1:36" x14ac:dyDescent="0.3">
      <c r="A112" s="102" t="str">
        <f t="shared" si="28"/>
        <v>BSR130</v>
      </c>
      <c r="B112" s="93" t="str">
        <f t="shared" si="24"/>
        <v>DX01</v>
      </c>
      <c r="C112" s="93" t="str">
        <f t="shared" si="25"/>
        <v>DIO1</v>
      </c>
      <c r="D112" s="94">
        <f t="shared" si="23"/>
        <v>130</v>
      </c>
      <c r="E112" s="94">
        <v>2</v>
      </c>
      <c r="F112" s="94">
        <f t="shared" si="26"/>
        <v>1</v>
      </c>
      <c r="G112" s="94">
        <v>0</v>
      </c>
      <c r="H112" s="171">
        <f t="shared" si="32"/>
        <v>3</v>
      </c>
      <c r="I112" s="163">
        <f t="shared" si="29"/>
        <v>23</v>
      </c>
      <c r="J112" s="172"/>
      <c r="K112" s="124"/>
      <c r="L112" s="92" t="s">
        <v>21</v>
      </c>
      <c r="M112" s="92"/>
      <c r="N112" s="92">
        <v>4</v>
      </c>
      <c r="O112" s="92" t="s">
        <v>616</v>
      </c>
      <c r="P112" s="92" t="s">
        <v>624</v>
      </c>
      <c r="R112" s="92" t="s">
        <v>625</v>
      </c>
      <c r="S112" s="92" t="s">
        <v>24</v>
      </c>
      <c r="T112" s="92" t="s">
        <v>624</v>
      </c>
      <c r="U112" s="92" t="s">
        <v>616</v>
      </c>
      <c r="V112" s="13"/>
      <c r="W112" s="92" t="str">
        <f t="shared" si="27"/>
        <v>2.1\0.3:23</v>
      </c>
      <c r="X112" s="92" t="s">
        <v>615</v>
      </c>
      <c r="Y112" s="97" t="s">
        <v>4</v>
      </c>
      <c r="Z112" s="277" t="s">
        <v>623</v>
      </c>
      <c r="AA112" s="9"/>
      <c r="AH112" s="94" t="str">
        <f t="shared" si="30"/>
        <v>F3</v>
      </c>
      <c r="AI112" s="168" t="s">
        <v>163</v>
      </c>
      <c r="AJ112" s="168" t="s">
        <v>162</v>
      </c>
    </row>
    <row r="113" spans="1:36" x14ac:dyDescent="0.3">
      <c r="A113" s="102" t="str">
        <f t="shared" si="28"/>
        <v>BSR130</v>
      </c>
      <c r="B113" s="93" t="str">
        <f t="shared" si="24"/>
        <v>DX01</v>
      </c>
      <c r="C113" s="93" t="str">
        <f t="shared" si="25"/>
        <v>DIO1</v>
      </c>
      <c r="D113" s="94">
        <f t="shared" si="23"/>
        <v>130</v>
      </c>
      <c r="E113" s="94">
        <v>2</v>
      </c>
      <c r="F113" s="94">
        <f t="shared" si="26"/>
        <v>1</v>
      </c>
      <c r="G113" s="94">
        <v>0</v>
      </c>
      <c r="H113" s="171">
        <f t="shared" si="32"/>
        <v>3</v>
      </c>
      <c r="I113" s="163">
        <f t="shared" si="29"/>
        <v>24</v>
      </c>
      <c r="J113" s="172"/>
      <c r="K113" s="124"/>
      <c r="L113" s="92" t="s">
        <v>21</v>
      </c>
      <c r="M113" s="92"/>
      <c r="N113" s="92">
        <v>4</v>
      </c>
      <c r="O113" s="92" t="s">
        <v>616</v>
      </c>
      <c r="P113" s="92" t="s">
        <v>621</v>
      </c>
      <c r="R113" s="92" t="s">
        <v>622</v>
      </c>
      <c r="S113" s="92" t="s">
        <v>24</v>
      </c>
      <c r="T113" s="92" t="s">
        <v>621</v>
      </c>
      <c r="U113" s="92" t="s">
        <v>616</v>
      </c>
      <c r="V113" s="13"/>
      <c r="W113" s="92" t="str">
        <f t="shared" si="27"/>
        <v>2.1\0.3:24</v>
      </c>
      <c r="X113" s="92" t="s">
        <v>615</v>
      </c>
      <c r="Y113" s="97" t="s">
        <v>4</v>
      </c>
      <c r="Z113" s="277"/>
      <c r="AA113" s="9"/>
      <c r="AH113" s="94" t="str">
        <f t="shared" si="30"/>
        <v>F3</v>
      </c>
      <c r="AI113" s="168" t="s">
        <v>159</v>
      </c>
      <c r="AJ113" s="168" t="s">
        <v>158</v>
      </c>
    </row>
    <row r="114" spans="1:36" x14ac:dyDescent="0.3">
      <c r="A114" s="102" t="str">
        <f t="shared" si="28"/>
        <v>BSR130</v>
      </c>
      <c r="B114" s="93" t="str">
        <f t="shared" si="24"/>
        <v>DX01</v>
      </c>
      <c r="C114" s="93" t="str">
        <f t="shared" si="25"/>
        <v>DIO1</v>
      </c>
      <c r="D114" s="94">
        <f t="shared" si="23"/>
        <v>130</v>
      </c>
      <c r="E114" s="94">
        <v>2</v>
      </c>
      <c r="F114" s="94">
        <f t="shared" si="26"/>
        <v>1</v>
      </c>
      <c r="G114" s="94">
        <v>0</v>
      </c>
      <c r="H114" s="171">
        <f t="shared" si="32"/>
        <v>3</v>
      </c>
      <c r="I114" s="163">
        <f t="shared" si="29"/>
        <v>25</v>
      </c>
      <c r="J114" s="172"/>
      <c r="K114" s="124"/>
      <c r="L114" s="92" t="s">
        <v>21</v>
      </c>
      <c r="M114" s="92"/>
      <c r="N114" s="92">
        <v>4</v>
      </c>
      <c r="O114" s="92" t="s">
        <v>616</v>
      </c>
      <c r="P114" s="92" t="s">
        <v>620</v>
      </c>
      <c r="R114" s="92" t="s">
        <v>325</v>
      </c>
      <c r="S114" s="92" t="s">
        <v>24</v>
      </c>
      <c r="T114" s="92" t="s">
        <v>620</v>
      </c>
      <c r="U114" s="92" t="s">
        <v>616</v>
      </c>
      <c r="V114" s="13"/>
      <c r="W114" s="92" t="str">
        <f t="shared" si="27"/>
        <v>2.1\0.3:25</v>
      </c>
      <c r="X114" s="92" t="s">
        <v>615</v>
      </c>
      <c r="Y114" s="97" t="s">
        <v>4</v>
      </c>
      <c r="Z114" s="277"/>
      <c r="AA114" s="9"/>
      <c r="AH114" s="94" t="str">
        <f t="shared" si="30"/>
        <v>F3</v>
      </c>
      <c r="AI114" s="168" t="s">
        <v>157</v>
      </c>
      <c r="AJ114" s="168" t="s">
        <v>156</v>
      </c>
    </row>
    <row r="115" spans="1:36" x14ac:dyDescent="0.3">
      <c r="A115" s="102" t="str">
        <f t="shared" si="28"/>
        <v>BSR130</v>
      </c>
      <c r="B115" s="93" t="str">
        <f t="shared" si="24"/>
        <v>DX01</v>
      </c>
      <c r="C115" s="93" t="str">
        <f t="shared" si="25"/>
        <v>DIO1</v>
      </c>
      <c r="D115" s="94">
        <f t="shared" si="23"/>
        <v>130</v>
      </c>
      <c r="E115" s="94">
        <v>2</v>
      </c>
      <c r="F115" s="94">
        <f t="shared" si="26"/>
        <v>1</v>
      </c>
      <c r="G115" s="94">
        <v>0</v>
      </c>
      <c r="H115" s="171">
        <f t="shared" si="32"/>
        <v>3</v>
      </c>
      <c r="I115" s="163">
        <f t="shared" si="29"/>
        <v>26</v>
      </c>
      <c r="J115" s="172"/>
      <c r="K115" s="124"/>
      <c r="L115" s="92" t="s">
        <v>21</v>
      </c>
      <c r="M115" s="92"/>
      <c r="N115" s="92">
        <v>4</v>
      </c>
      <c r="O115" s="92" t="s">
        <v>616</v>
      </c>
      <c r="P115" s="92" t="s">
        <v>619</v>
      </c>
      <c r="R115" s="92" t="s">
        <v>325</v>
      </c>
      <c r="S115" s="92" t="s">
        <v>24</v>
      </c>
      <c r="T115" s="92" t="s">
        <v>619</v>
      </c>
      <c r="U115" s="92" t="s">
        <v>616</v>
      </c>
      <c r="V115" s="37"/>
      <c r="W115" s="92" t="str">
        <f t="shared" si="27"/>
        <v>2.1\0.3:26</v>
      </c>
      <c r="X115" s="92" t="s">
        <v>615</v>
      </c>
      <c r="Y115" s="97" t="s">
        <v>4</v>
      </c>
      <c r="Z115" s="92"/>
      <c r="AA115" s="9"/>
      <c r="AH115" s="94" t="str">
        <f t="shared" si="30"/>
        <v>F3</v>
      </c>
      <c r="AI115" s="168" t="s">
        <v>154</v>
      </c>
      <c r="AJ115" s="168" t="s">
        <v>153</v>
      </c>
    </row>
    <row r="116" spans="1:36" x14ac:dyDescent="0.3">
      <c r="A116" s="102" t="str">
        <f t="shared" si="28"/>
        <v>BSR130</v>
      </c>
      <c r="B116" s="93" t="str">
        <f t="shared" si="24"/>
        <v>DX01</v>
      </c>
      <c r="C116" s="93" t="str">
        <f t="shared" si="25"/>
        <v>DIO1</v>
      </c>
      <c r="D116" s="94">
        <f t="shared" si="23"/>
        <v>130</v>
      </c>
      <c r="E116" s="94">
        <v>2</v>
      </c>
      <c r="F116" s="94">
        <f t="shared" si="26"/>
        <v>1</v>
      </c>
      <c r="G116" s="94">
        <v>0</v>
      </c>
      <c r="H116" s="171">
        <f t="shared" si="32"/>
        <v>3</v>
      </c>
      <c r="I116" s="163">
        <f t="shared" si="29"/>
        <v>27</v>
      </c>
      <c r="J116" s="172"/>
      <c r="K116" s="124"/>
      <c r="L116" s="92" t="s">
        <v>21</v>
      </c>
      <c r="M116" s="92"/>
      <c r="N116" s="92">
        <v>4</v>
      </c>
      <c r="O116" s="92" t="s">
        <v>616</v>
      </c>
      <c r="P116" s="92" t="s">
        <v>618</v>
      </c>
      <c r="R116" s="92" t="s">
        <v>325</v>
      </c>
      <c r="S116" s="92" t="s">
        <v>24</v>
      </c>
      <c r="T116" s="92" t="s">
        <v>618</v>
      </c>
      <c r="U116" s="92" t="s">
        <v>616</v>
      </c>
      <c r="V116" s="93"/>
      <c r="W116" s="92" t="str">
        <f t="shared" si="27"/>
        <v>2.1\0.3:27</v>
      </c>
      <c r="X116" s="92" t="s">
        <v>615</v>
      </c>
      <c r="Y116" s="97" t="s">
        <v>4</v>
      </c>
      <c r="Z116" s="92"/>
      <c r="AA116" s="9"/>
      <c r="AH116" s="94" t="str">
        <f t="shared" si="30"/>
        <v>F3</v>
      </c>
      <c r="AI116" s="168" t="s">
        <v>152</v>
      </c>
      <c r="AJ116" s="168" t="s">
        <v>151</v>
      </c>
    </row>
    <row r="117" spans="1:36" x14ac:dyDescent="0.3">
      <c r="A117" s="102" t="str">
        <f t="shared" si="28"/>
        <v>BSR130</v>
      </c>
      <c r="B117" s="93" t="str">
        <f t="shared" si="24"/>
        <v>DX01</v>
      </c>
      <c r="C117" s="93" t="str">
        <f t="shared" si="25"/>
        <v>DIO1</v>
      </c>
      <c r="D117" s="94">
        <f t="shared" si="23"/>
        <v>130</v>
      </c>
      <c r="E117" s="94">
        <v>2</v>
      </c>
      <c r="F117" s="94">
        <f t="shared" si="26"/>
        <v>1</v>
      </c>
      <c r="G117" s="94">
        <v>0</v>
      </c>
      <c r="H117" s="171">
        <f t="shared" si="32"/>
        <v>3</v>
      </c>
      <c r="I117" s="163">
        <f t="shared" si="29"/>
        <v>28</v>
      </c>
      <c r="J117" s="172"/>
      <c r="K117" s="124"/>
      <c r="L117" s="92" t="s">
        <v>21</v>
      </c>
      <c r="M117" s="92"/>
      <c r="N117" s="92">
        <v>4</v>
      </c>
      <c r="O117" s="92" t="s">
        <v>616</v>
      </c>
      <c r="P117" s="92" t="s">
        <v>617</v>
      </c>
      <c r="R117" s="92" t="s">
        <v>325</v>
      </c>
      <c r="S117" s="92" t="s">
        <v>24</v>
      </c>
      <c r="T117" s="92" t="s">
        <v>617</v>
      </c>
      <c r="U117" s="92" t="s">
        <v>616</v>
      </c>
      <c r="V117" s="93"/>
      <c r="W117" s="92" t="str">
        <f t="shared" si="27"/>
        <v>2.1\0.3:28</v>
      </c>
      <c r="X117" s="92" t="s">
        <v>615</v>
      </c>
      <c r="Y117" s="97" t="s">
        <v>4</v>
      </c>
      <c r="Z117" s="92"/>
      <c r="AA117" s="9"/>
      <c r="AH117" s="94" t="str">
        <f t="shared" si="30"/>
        <v>F3</v>
      </c>
      <c r="AI117" s="168" t="s">
        <v>148</v>
      </c>
      <c r="AJ117" s="168" t="s">
        <v>147</v>
      </c>
    </row>
    <row r="118" spans="1:36" x14ac:dyDescent="0.3">
      <c r="A118" s="102" t="str">
        <f t="shared" si="28"/>
        <v>BSR130</v>
      </c>
      <c r="B118" s="93" t="str">
        <f t="shared" si="24"/>
        <v>DX01</v>
      </c>
      <c r="C118" s="93" t="str">
        <f t="shared" si="25"/>
        <v>DIO1</v>
      </c>
      <c r="D118" s="94">
        <f t="shared" si="23"/>
        <v>130</v>
      </c>
      <c r="E118" s="94">
        <v>2</v>
      </c>
      <c r="F118" s="94">
        <f t="shared" si="26"/>
        <v>1</v>
      </c>
      <c r="G118" s="94">
        <v>0</v>
      </c>
      <c r="H118" s="171">
        <f t="shared" si="32"/>
        <v>3</v>
      </c>
      <c r="I118" s="163">
        <f t="shared" si="29"/>
        <v>29</v>
      </c>
      <c r="J118" s="172"/>
      <c r="K118" s="124"/>
      <c r="L118" s="92" t="s">
        <v>21</v>
      </c>
      <c r="M118" s="92"/>
      <c r="N118" s="104"/>
      <c r="O118" s="190"/>
      <c r="P118" s="190"/>
      <c r="Q118" s="190"/>
      <c r="R118" s="190"/>
      <c r="S118" s="191"/>
      <c r="T118" s="190"/>
      <c r="U118" s="190"/>
      <c r="W118" s="92" t="str">
        <f t="shared" si="27"/>
        <v>2.1\0.3:29</v>
      </c>
      <c r="X118" s="92"/>
      <c r="Y118" s="94"/>
      <c r="Z118" s="92"/>
      <c r="AA118" s="9"/>
      <c r="AC118" s="92"/>
      <c r="AH118" s="94" t="str">
        <f t="shared" si="30"/>
        <v>F3</v>
      </c>
      <c r="AI118" s="168" t="s">
        <v>146</v>
      </c>
      <c r="AJ118" s="168" t="s">
        <v>145</v>
      </c>
    </row>
    <row r="119" spans="1:36" x14ac:dyDescent="0.3">
      <c r="A119" s="102" t="str">
        <f t="shared" si="28"/>
        <v>BSR130</v>
      </c>
      <c r="B119" s="93" t="str">
        <f t="shared" ref="B119:B152" si="33">+B118</f>
        <v>DX01</v>
      </c>
      <c r="C119" s="93" t="str">
        <f t="shared" ref="C119:C152" si="34">+C118</f>
        <v>DIO1</v>
      </c>
      <c r="D119" s="94">
        <f t="shared" si="23"/>
        <v>130</v>
      </c>
      <c r="E119" s="94">
        <v>2</v>
      </c>
      <c r="F119" s="94">
        <f t="shared" ref="F119:F150" si="35">+F118</f>
        <v>1</v>
      </c>
      <c r="G119" s="94">
        <v>0</v>
      </c>
      <c r="H119" s="171">
        <f t="shared" si="32"/>
        <v>3</v>
      </c>
      <c r="I119" s="163">
        <f t="shared" si="29"/>
        <v>30</v>
      </c>
      <c r="J119" s="172"/>
      <c r="K119" s="124"/>
      <c r="L119" s="92" t="s">
        <v>21</v>
      </c>
      <c r="M119" s="92"/>
      <c r="N119" s="104"/>
      <c r="O119" s="92"/>
      <c r="S119" s="104"/>
      <c r="W119" s="92" t="str">
        <f t="shared" si="27"/>
        <v>2.1\0.3:30</v>
      </c>
      <c r="X119" s="92"/>
      <c r="Y119" s="94"/>
      <c r="Z119" s="92"/>
      <c r="AA119" s="9"/>
      <c r="AC119" s="92"/>
      <c r="AH119" s="94" t="str">
        <f t="shared" si="30"/>
        <v>F3</v>
      </c>
      <c r="AI119" s="168" t="s">
        <v>142</v>
      </c>
      <c r="AJ119" s="168" t="s">
        <v>141</v>
      </c>
    </row>
    <row r="120" spans="1:36" ht="13.5" thickBot="1" x14ac:dyDescent="0.35">
      <c r="A120" s="102" t="str">
        <f t="shared" si="28"/>
        <v>BSR130</v>
      </c>
      <c r="B120" s="93" t="str">
        <f t="shared" si="33"/>
        <v>DX01</v>
      </c>
      <c r="C120" s="93" t="str">
        <f t="shared" si="34"/>
        <v>DIO1</v>
      </c>
      <c r="D120" s="94">
        <f t="shared" si="23"/>
        <v>130</v>
      </c>
      <c r="E120" s="94">
        <v>2</v>
      </c>
      <c r="F120" s="94">
        <f t="shared" si="35"/>
        <v>1</v>
      </c>
      <c r="G120" s="94">
        <v>0</v>
      </c>
      <c r="H120" s="171">
        <f t="shared" si="32"/>
        <v>3</v>
      </c>
      <c r="I120" s="170">
        <f t="shared" si="29"/>
        <v>31</v>
      </c>
      <c r="J120" s="169"/>
      <c r="K120" s="124"/>
      <c r="L120" s="92" t="s">
        <v>21</v>
      </c>
      <c r="M120" s="92"/>
      <c r="N120" s="92"/>
      <c r="O120" s="92"/>
      <c r="R120" s="93" t="s">
        <v>302</v>
      </c>
      <c r="S120" s="92" t="s">
        <v>302</v>
      </c>
      <c r="W120" s="92" t="str">
        <f t="shared" si="27"/>
        <v>2.1\0.3:31</v>
      </c>
      <c r="X120" s="92"/>
      <c r="Y120" s="94"/>
      <c r="Z120" s="92"/>
      <c r="AA120" s="9"/>
      <c r="AC120" s="92"/>
      <c r="AH120" s="94" t="str">
        <f t="shared" si="30"/>
        <v>F3</v>
      </c>
      <c r="AI120" s="168" t="s">
        <v>140</v>
      </c>
      <c r="AJ120" s="168" t="s">
        <v>139</v>
      </c>
    </row>
    <row r="121" spans="1:36" x14ac:dyDescent="0.3">
      <c r="A121" s="158" t="s">
        <v>291</v>
      </c>
      <c r="B121" s="93" t="str">
        <f t="shared" si="33"/>
        <v>DX01</v>
      </c>
      <c r="C121" s="93" t="str">
        <f t="shared" si="34"/>
        <v>DIO1</v>
      </c>
      <c r="D121" s="94">
        <f t="shared" si="23"/>
        <v>130</v>
      </c>
      <c r="E121" s="94">
        <v>2</v>
      </c>
      <c r="F121" s="94">
        <f t="shared" si="35"/>
        <v>1</v>
      </c>
      <c r="G121" s="94">
        <v>0</v>
      </c>
      <c r="H121" s="173">
        <f>+H120+1</f>
        <v>4</v>
      </c>
      <c r="I121" s="165">
        <v>0</v>
      </c>
      <c r="J121" s="172" t="s">
        <v>316</v>
      </c>
      <c r="K121" s="93" t="s">
        <v>315</v>
      </c>
      <c r="L121" s="92" t="s">
        <v>21</v>
      </c>
      <c r="M121" s="92"/>
      <c r="N121" s="92">
        <v>4</v>
      </c>
      <c r="O121" s="92" t="s">
        <v>462</v>
      </c>
      <c r="P121" s="12" t="s">
        <v>320</v>
      </c>
      <c r="Q121" s="12"/>
      <c r="R121" s="12" t="s">
        <v>614</v>
      </c>
      <c r="S121" s="12" t="s">
        <v>18</v>
      </c>
      <c r="T121" s="92" t="s">
        <v>372</v>
      </c>
      <c r="U121" s="12" t="s">
        <v>462</v>
      </c>
      <c r="V121" s="93"/>
      <c r="W121" s="92" t="str">
        <f t="shared" si="27"/>
        <v>2.1\0.4:0</v>
      </c>
      <c r="X121" s="92" t="s">
        <v>603</v>
      </c>
      <c r="Y121" s="94" t="s">
        <v>4</v>
      </c>
      <c r="Z121" s="277" t="s">
        <v>613</v>
      </c>
      <c r="AA121" s="9"/>
      <c r="AC121" s="92"/>
      <c r="AH121" s="94" t="s">
        <v>612</v>
      </c>
      <c r="AI121" s="168" t="s">
        <v>225</v>
      </c>
      <c r="AJ121" s="168" t="s">
        <v>224</v>
      </c>
    </row>
    <row r="122" spans="1:36" x14ac:dyDescent="0.3">
      <c r="A122" s="102" t="str">
        <f t="shared" ref="A122:A152" si="36">A121</f>
        <v>BSR130</v>
      </c>
      <c r="B122" s="93" t="str">
        <f t="shared" si="33"/>
        <v>DX01</v>
      </c>
      <c r="C122" s="93" t="str">
        <f t="shared" si="34"/>
        <v>DIO1</v>
      </c>
      <c r="D122" s="94">
        <f t="shared" si="23"/>
        <v>130</v>
      </c>
      <c r="E122" s="94">
        <v>2</v>
      </c>
      <c r="F122" s="94">
        <f t="shared" si="35"/>
        <v>1</v>
      </c>
      <c r="G122" s="94">
        <v>0</v>
      </c>
      <c r="H122" s="171">
        <f>H121</f>
        <v>4</v>
      </c>
      <c r="I122" s="163">
        <f t="shared" ref="I122:I152" si="37">+I121+1</f>
        <v>1</v>
      </c>
      <c r="J122" s="172"/>
      <c r="K122" s="92"/>
      <c r="L122" s="92" t="s">
        <v>21</v>
      </c>
      <c r="M122" s="92"/>
      <c r="N122" s="92">
        <v>4</v>
      </c>
      <c r="O122" s="92" t="s">
        <v>462</v>
      </c>
      <c r="P122" s="12" t="s">
        <v>439</v>
      </c>
      <c r="Q122" s="12"/>
      <c r="R122" s="12" t="s">
        <v>611</v>
      </c>
      <c r="S122" s="12" t="s">
        <v>18</v>
      </c>
      <c r="T122" s="92" t="s">
        <v>437</v>
      </c>
      <c r="U122" s="12" t="s">
        <v>462</v>
      </c>
      <c r="V122" s="93"/>
      <c r="W122" s="92" t="str">
        <f t="shared" si="27"/>
        <v>2.1\0.4:1</v>
      </c>
      <c r="X122" s="92" t="s">
        <v>603</v>
      </c>
      <c r="Y122" s="94" t="s">
        <v>4</v>
      </c>
      <c r="Z122" s="277"/>
      <c r="AA122" s="9"/>
      <c r="AC122" s="92"/>
      <c r="AH122" s="94" t="str">
        <f t="shared" ref="AH122:AH152" si="38">+AH121</f>
        <v>F4</v>
      </c>
      <c r="AI122" s="168" t="s">
        <v>223</v>
      </c>
      <c r="AJ122" s="168" t="s">
        <v>536</v>
      </c>
    </row>
    <row r="123" spans="1:36" x14ac:dyDescent="0.3">
      <c r="A123" s="102" t="str">
        <f t="shared" si="36"/>
        <v>BSR130</v>
      </c>
      <c r="B123" s="93" t="str">
        <f t="shared" si="33"/>
        <v>DX01</v>
      </c>
      <c r="C123" s="93" t="str">
        <f t="shared" si="34"/>
        <v>DIO1</v>
      </c>
      <c r="D123" s="94">
        <f t="shared" si="23"/>
        <v>130</v>
      </c>
      <c r="E123" s="94">
        <v>2</v>
      </c>
      <c r="F123" s="94">
        <f t="shared" si="35"/>
        <v>1</v>
      </c>
      <c r="G123" s="94">
        <v>0</v>
      </c>
      <c r="H123" s="171">
        <f>H121</f>
        <v>4</v>
      </c>
      <c r="I123" s="163">
        <f t="shared" si="37"/>
        <v>2</v>
      </c>
      <c r="J123" s="172"/>
      <c r="K123" s="124"/>
      <c r="L123" s="92" t="s">
        <v>21</v>
      </c>
      <c r="M123" s="92"/>
      <c r="N123" s="92">
        <v>4</v>
      </c>
      <c r="O123" s="92" t="s">
        <v>462</v>
      </c>
      <c r="P123" s="12" t="s">
        <v>68</v>
      </c>
      <c r="Q123" s="12"/>
      <c r="R123" s="12" t="s">
        <v>610</v>
      </c>
      <c r="S123" s="12" t="s">
        <v>18</v>
      </c>
      <c r="U123" s="12" t="s">
        <v>462</v>
      </c>
      <c r="V123" s="93"/>
      <c r="W123" s="92" t="str">
        <f t="shared" si="27"/>
        <v>2.1\0.4:2</v>
      </c>
      <c r="X123" s="92" t="s">
        <v>603</v>
      </c>
      <c r="Y123" s="94" t="s">
        <v>4</v>
      </c>
      <c r="Z123" s="277"/>
      <c r="AA123" s="9"/>
      <c r="AC123" s="92"/>
      <c r="AH123" s="94" t="str">
        <f t="shared" si="38"/>
        <v>F4</v>
      </c>
      <c r="AI123" s="168" t="s">
        <v>533</v>
      </c>
      <c r="AJ123" s="168" t="s">
        <v>532</v>
      </c>
    </row>
    <row r="124" spans="1:36" x14ac:dyDescent="0.3">
      <c r="A124" s="102" t="str">
        <f t="shared" si="36"/>
        <v>BSR130</v>
      </c>
      <c r="B124" s="93" t="str">
        <f t="shared" si="33"/>
        <v>DX01</v>
      </c>
      <c r="C124" s="93" t="str">
        <f t="shared" si="34"/>
        <v>DIO1</v>
      </c>
      <c r="D124" s="94">
        <f t="shared" si="23"/>
        <v>130</v>
      </c>
      <c r="E124" s="94">
        <v>2</v>
      </c>
      <c r="F124" s="94">
        <f t="shared" si="35"/>
        <v>1</v>
      </c>
      <c r="G124" s="94">
        <v>0</v>
      </c>
      <c r="H124" s="171">
        <f t="shared" ref="H124:H135" si="39">H121</f>
        <v>4</v>
      </c>
      <c r="I124" s="163">
        <f t="shared" si="37"/>
        <v>3</v>
      </c>
      <c r="J124" s="172"/>
      <c r="K124" s="124"/>
      <c r="L124" s="92" t="s">
        <v>21</v>
      </c>
      <c r="M124" s="92"/>
      <c r="N124" s="92">
        <v>4</v>
      </c>
      <c r="O124" s="92" t="s">
        <v>462</v>
      </c>
      <c r="P124" s="12" t="s">
        <v>435</v>
      </c>
      <c r="Q124" s="12"/>
      <c r="R124" s="12" t="s">
        <v>609</v>
      </c>
      <c r="S124" s="12" t="s">
        <v>18</v>
      </c>
      <c r="U124" s="12" t="s">
        <v>462</v>
      </c>
      <c r="V124" s="93"/>
      <c r="W124" s="92" t="str">
        <f t="shared" si="27"/>
        <v>2.1\0.4:3</v>
      </c>
      <c r="X124" s="92" t="s">
        <v>603</v>
      </c>
      <c r="Y124" s="94" t="s">
        <v>4</v>
      </c>
      <c r="Z124" s="277"/>
      <c r="AA124" s="9"/>
      <c r="AC124" s="92"/>
      <c r="AH124" s="94" t="str">
        <f t="shared" si="38"/>
        <v>F4</v>
      </c>
      <c r="AI124" s="168" t="s">
        <v>531</v>
      </c>
      <c r="AJ124" s="168" t="s">
        <v>530</v>
      </c>
    </row>
    <row r="125" spans="1:36" x14ac:dyDescent="0.3">
      <c r="A125" s="102" t="str">
        <f t="shared" si="36"/>
        <v>BSR130</v>
      </c>
      <c r="B125" s="93" t="str">
        <f t="shared" si="33"/>
        <v>DX01</v>
      </c>
      <c r="C125" s="93" t="str">
        <f t="shared" si="34"/>
        <v>DIO1</v>
      </c>
      <c r="D125" s="94">
        <f t="shared" si="23"/>
        <v>130</v>
      </c>
      <c r="E125" s="94">
        <v>2</v>
      </c>
      <c r="F125" s="94">
        <f t="shared" si="35"/>
        <v>1</v>
      </c>
      <c r="G125" s="94">
        <v>0</v>
      </c>
      <c r="H125" s="171">
        <f t="shared" si="39"/>
        <v>4</v>
      </c>
      <c r="I125" s="163">
        <f t="shared" si="37"/>
        <v>4</v>
      </c>
      <c r="J125" s="172"/>
      <c r="K125" s="124"/>
      <c r="L125" s="92" t="s">
        <v>21</v>
      </c>
      <c r="M125" s="92"/>
      <c r="N125" s="92">
        <v>4</v>
      </c>
      <c r="O125" s="92" t="s">
        <v>462</v>
      </c>
      <c r="P125" s="12" t="s">
        <v>367</v>
      </c>
      <c r="Q125" s="12"/>
      <c r="R125" s="12" t="s">
        <v>608</v>
      </c>
      <c r="S125" s="12" t="s">
        <v>18</v>
      </c>
      <c r="T125" s="92" t="s">
        <v>365</v>
      </c>
      <c r="U125" s="12" t="s">
        <v>462</v>
      </c>
      <c r="V125" s="93"/>
      <c r="W125" s="92" t="str">
        <f t="shared" si="27"/>
        <v>2.1\0.4:4</v>
      </c>
      <c r="X125" s="92" t="s">
        <v>603</v>
      </c>
      <c r="Y125" s="94" t="s">
        <v>4</v>
      </c>
      <c r="Z125" s="277"/>
      <c r="AA125" s="9"/>
      <c r="AC125" s="92"/>
      <c r="AH125" s="94" t="str">
        <f t="shared" si="38"/>
        <v>F4</v>
      </c>
      <c r="AI125" s="168" t="s">
        <v>215</v>
      </c>
      <c r="AJ125" s="168" t="s">
        <v>214</v>
      </c>
    </row>
    <row r="126" spans="1:36" x14ac:dyDescent="0.3">
      <c r="A126" s="102" t="str">
        <f t="shared" si="36"/>
        <v>BSR130</v>
      </c>
      <c r="B126" s="93" t="str">
        <f t="shared" si="33"/>
        <v>DX01</v>
      </c>
      <c r="C126" s="93" t="str">
        <f t="shared" si="34"/>
        <v>DIO1</v>
      </c>
      <c r="D126" s="94">
        <f t="shared" si="23"/>
        <v>130</v>
      </c>
      <c r="E126" s="94">
        <v>2</v>
      </c>
      <c r="F126" s="94">
        <f t="shared" si="35"/>
        <v>1</v>
      </c>
      <c r="G126" s="94">
        <v>0</v>
      </c>
      <c r="H126" s="171">
        <f t="shared" si="39"/>
        <v>4</v>
      </c>
      <c r="I126" s="163">
        <f t="shared" si="37"/>
        <v>5</v>
      </c>
      <c r="J126" s="172"/>
      <c r="K126" s="124"/>
      <c r="L126" s="92" t="s">
        <v>21</v>
      </c>
      <c r="M126" s="92"/>
      <c r="N126" s="92">
        <v>4</v>
      </c>
      <c r="O126" s="92" t="s">
        <v>462</v>
      </c>
      <c r="P126" s="12" t="s">
        <v>364</v>
      </c>
      <c r="Q126" s="12"/>
      <c r="R126" s="12" t="s">
        <v>607</v>
      </c>
      <c r="S126" s="12" t="s">
        <v>18</v>
      </c>
      <c r="T126" s="92" t="s">
        <v>362</v>
      </c>
      <c r="U126" s="12" t="s">
        <v>462</v>
      </c>
      <c r="V126" s="93"/>
      <c r="W126" s="92" t="str">
        <f t="shared" si="27"/>
        <v>2.1\0.4:5</v>
      </c>
      <c r="X126" s="92" t="s">
        <v>603</v>
      </c>
      <c r="Y126" s="94" t="s">
        <v>4</v>
      </c>
      <c r="Z126" s="277"/>
      <c r="AA126" s="9"/>
      <c r="AC126" s="92"/>
      <c r="AH126" s="94" t="str">
        <f t="shared" si="38"/>
        <v>F4</v>
      </c>
      <c r="AI126" s="168" t="s">
        <v>213</v>
      </c>
      <c r="AJ126" s="168" t="s">
        <v>528</v>
      </c>
    </row>
    <row r="127" spans="1:36" x14ac:dyDescent="0.3">
      <c r="A127" s="102" t="str">
        <f t="shared" si="36"/>
        <v>BSR130</v>
      </c>
      <c r="B127" s="93" t="str">
        <f t="shared" si="33"/>
        <v>DX01</v>
      </c>
      <c r="C127" s="93" t="str">
        <f t="shared" si="34"/>
        <v>DIO1</v>
      </c>
      <c r="D127" s="94">
        <f t="shared" si="23"/>
        <v>130</v>
      </c>
      <c r="E127" s="94">
        <v>2</v>
      </c>
      <c r="F127" s="94">
        <f t="shared" si="35"/>
        <v>1</v>
      </c>
      <c r="G127" s="94">
        <v>0</v>
      </c>
      <c r="H127" s="171">
        <f t="shared" si="39"/>
        <v>4</v>
      </c>
      <c r="I127" s="163">
        <f t="shared" si="37"/>
        <v>6</v>
      </c>
      <c r="J127" s="172"/>
      <c r="K127" s="124"/>
      <c r="L127" s="92" t="s">
        <v>21</v>
      </c>
      <c r="M127" s="92"/>
      <c r="N127" s="92">
        <v>4</v>
      </c>
      <c r="O127" s="92" t="s">
        <v>462</v>
      </c>
      <c r="P127" s="12" t="s">
        <v>361</v>
      </c>
      <c r="Q127" s="12"/>
      <c r="R127" s="12" t="s">
        <v>606</v>
      </c>
      <c r="S127" s="12" t="s">
        <v>18</v>
      </c>
      <c r="T127" s="92" t="s">
        <v>359</v>
      </c>
      <c r="U127" s="12" t="s">
        <v>462</v>
      </c>
      <c r="V127" s="93"/>
      <c r="W127" s="92" t="str">
        <f t="shared" si="27"/>
        <v>2.1\0.4:6</v>
      </c>
      <c r="X127" s="92" t="s">
        <v>603</v>
      </c>
      <c r="Y127" s="94" t="s">
        <v>4</v>
      </c>
      <c r="Z127" s="277"/>
      <c r="AA127" s="9"/>
      <c r="AC127" s="92"/>
      <c r="AH127" s="94" t="str">
        <f t="shared" si="38"/>
        <v>F4</v>
      </c>
      <c r="AI127" s="168" t="s">
        <v>211</v>
      </c>
      <c r="AJ127" s="168" t="s">
        <v>210</v>
      </c>
    </row>
    <row r="128" spans="1:36" x14ac:dyDescent="0.3">
      <c r="A128" s="102" t="str">
        <f t="shared" si="36"/>
        <v>BSR130</v>
      </c>
      <c r="B128" s="93" t="str">
        <f t="shared" si="33"/>
        <v>DX01</v>
      </c>
      <c r="C128" s="93" t="str">
        <f t="shared" si="34"/>
        <v>DIO1</v>
      </c>
      <c r="D128" s="94">
        <f t="shared" si="23"/>
        <v>130</v>
      </c>
      <c r="E128" s="94">
        <v>2</v>
      </c>
      <c r="F128" s="94">
        <f t="shared" si="35"/>
        <v>1</v>
      </c>
      <c r="G128" s="94">
        <v>0</v>
      </c>
      <c r="H128" s="171">
        <f t="shared" si="39"/>
        <v>4</v>
      </c>
      <c r="I128" s="163">
        <f t="shared" si="37"/>
        <v>7</v>
      </c>
      <c r="J128" s="172"/>
      <c r="K128" s="124"/>
      <c r="L128" s="92" t="s">
        <v>21</v>
      </c>
      <c r="M128" s="92"/>
      <c r="N128" s="92">
        <v>4</v>
      </c>
      <c r="O128" s="92" t="s">
        <v>462</v>
      </c>
      <c r="P128" s="12" t="s">
        <v>422</v>
      </c>
      <c r="Q128" s="12"/>
      <c r="R128" s="12" t="s">
        <v>605</v>
      </c>
      <c r="S128" s="12" t="s">
        <v>18</v>
      </c>
      <c r="T128" s="92" t="s">
        <v>420</v>
      </c>
      <c r="U128" s="12" t="s">
        <v>462</v>
      </c>
      <c r="V128" s="93"/>
      <c r="W128" s="92" t="str">
        <f t="shared" si="27"/>
        <v>2.1\0.4:7</v>
      </c>
      <c r="X128" s="92" t="s">
        <v>603</v>
      </c>
      <c r="Y128" s="94" t="s">
        <v>4</v>
      </c>
      <c r="Z128" s="277"/>
      <c r="AA128" s="9"/>
      <c r="AC128" s="92"/>
      <c r="AH128" s="94" t="str">
        <f t="shared" si="38"/>
        <v>F4</v>
      </c>
      <c r="AI128" s="168" t="s">
        <v>209</v>
      </c>
      <c r="AJ128" s="168" t="s">
        <v>208</v>
      </c>
    </row>
    <row r="129" spans="1:36" x14ac:dyDescent="0.3">
      <c r="A129" s="102" t="str">
        <f t="shared" si="36"/>
        <v>BSR130</v>
      </c>
      <c r="B129" s="93" t="str">
        <f t="shared" si="33"/>
        <v>DX01</v>
      </c>
      <c r="C129" s="93" t="str">
        <f t="shared" si="34"/>
        <v>DIO1</v>
      </c>
      <c r="D129" s="94">
        <f t="shared" si="23"/>
        <v>130</v>
      </c>
      <c r="E129" s="94">
        <v>2</v>
      </c>
      <c r="F129" s="94">
        <f t="shared" si="35"/>
        <v>1</v>
      </c>
      <c r="G129" s="94">
        <v>0</v>
      </c>
      <c r="H129" s="171">
        <f t="shared" si="39"/>
        <v>4</v>
      </c>
      <c r="I129" s="163">
        <f t="shared" si="37"/>
        <v>8</v>
      </c>
      <c r="J129" s="172"/>
      <c r="K129" s="124"/>
      <c r="L129" s="92" t="s">
        <v>21</v>
      </c>
      <c r="M129" s="92"/>
      <c r="N129" s="92">
        <v>4</v>
      </c>
      <c r="O129" s="92" t="s">
        <v>462</v>
      </c>
      <c r="P129" s="13" t="s">
        <v>410</v>
      </c>
      <c r="Q129" s="66"/>
      <c r="R129" s="12" t="s">
        <v>604</v>
      </c>
      <c r="S129" s="12" t="s">
        <v>18</v>
      </c>
      <c r="T129" s="92" t="s">
        <v>406</v>
      </c>
      <c r="U129" s="12" t="s">
        <v>462</v>
      </c>
      <c r="V129" s="93"/>
      <c r="W129" s="92" t="str">
        <f t="shared" si="27"/>
        <v>2.1\0.4:8</v>
      </c>
      <c r="X129" s="92" t="s">
        <v>603</v>
      </c>
      <c r="Y129" s="94" t="s">
        <v>4</v>
      </c>
      <c r="Z129" s="277"/>
      <c r="AA129" s="9"/>
      <c r="AC129" s="92"/>
      <c r="AH129" s="94" t="str">
        <f t="shared" si="38"/>
        <v>F4</v>
      </c>
      <c r="AI129" s="168" t="s">
        <v>206</v>
      </c>
      <c r="AJ129" s="168" t="s">
        <v>205</v>
      </c>
    </row>
    <row r="130" spans="1:36" x14ac:dyDescent="0.3">
      <c r="A130" s="102" t="str">
        <f t="shared" si="36"/>
        <v>BSR130</v>
      </c>
      <c r="B130" s="93" t="str">
        <f t="shared" si="33"/>
        <v>DX01</v>
      </c>
      <c r="C130" s="93" t="str">
        <f t="shared" si="34"/>
        <v>DIO1</v>
      </c>
      <c r="D130" s="94">
        <f t="shared" si="23"/>
        <v>130</v>
      </c>
      <c r="E130" s="94">
        <v>2</v>
      </c>
      <c r="F130" s="94">
        <f t="shared" si="35"/>
        <v>1</v>
      </c>
      <c r="G130" s="94">
        <v>0</v>
      </c>
      <c r="H130" s="171">
        <f t="shared" si="39"/>
        <v>4</v>
      </c>
      <c r="I130" s="163">
        <f t="shared" si="37"/>
        <v>9</v>
      </c>
      <c r="J130" s="172"/>
      <c r="K130" s="124"/>
      <c r="L130" s="92" t="s">
        <v>21</v>
      </c>
      <c r="M130" s="92"/>
      <c r="N130" s="92"/>
      <c r="O130" s="139"/>
      <c r="P130" s="12"/>
      <c r="Q130" s="12"/>
      <c r="R130" s="12" t="s">
        <v>302</v>
      </c>
      <c r="S130" s="12" t="s">
        <v>302</v>
      </c>
      <c r="U130" s="12"/>
      <c r="V130" s="93"/>
      <c r="W130" s="92" t="str">
        <f t="shared" si="27"/>
        <v>2.1\0.4:9</v>
      </c>
      <c r="X130" s="92"/>
      <c r="Y130" s="94"/>
      <c r="Z130" s="92"/>
      <c r="AA130" s="9"/>
      <c r="AC130" s="92"/>
      <c r="AH130" s="94" t="str">
        <f t="shared" si="38"/>
        <v>F4</v>
      </c>
      <c r="AI130" s="168" t="s">
        <v>204</v>
      </c>
      <c r="AJ130" s="168" t="s">
        <v>203</v>
      </c>
    </row>
    <row r="131" spans="1:36" x14ac:dyDescent="0.3">
      <c r="A131" s="102" t="str">
        <f t="shared" si="36"/>
        <v>BSR130</v>
      </c>
      <c r="B131" s="93" t="str">
        <f t="shared" si="33"/>
        <v>DX01</v>
      </c>
      <c r="C131" s="93" t="str">
        <f t="shared" si="34"/>
        <v>DIO1</v>
      </c>
      <c r="D131" s="94">
        <f t="shared" si="23"/>
        <v>130</v>
      </c>
      <c r="E131" s="94">
        <v>2</v>
      </c>
      <c r="F131" s="94">
        <f t="shared" si="35"/>
        <v>1</v>
      </c>
      <c r="G131" s="94">
        <v>0</v>
      </c>
      <c r="H131" s="171">
        <f t="shared" si="39"/>
        <v>4</v>
      </c>
      <c r="I131" s="163">
        <f t="shared" si="37"/>
        <v>10</v>
      </c>
      <c r="J131" s="172"/>
      <c r="K131" s="124"/>
      <c r="L131" s="92" t="s">
        <v>21</v>
      </c>
      <c r="M131" s="92"/>
      <c r="N131" s="92"/>
      <c r="O131" s="139"/>
      <c r="P131" s="12"/>
      <c r="Q131" s="12"/>
      <c r="R131" s="12" t="s">
        <v>302</v>
      </c>
      <c r="S131" s="12" t="s">
        <v>302</v>
      </c>
      <c r="U131" s="12"/>
      <c r="V131" s="93"/>
      <c r="W131" s="92" t="str">
        <f t="shared" si="27"/>
        <v>2.1\0.4:10</v>
      </c>
      <c r="X131" s="92"/>
      <c r="Y131" s="94"/>
      <c r="Z131" s="92"/>
      <c r="AA131" s="9"/>
      <c r="AB131" s="7"/>
      <c r="AC131" s="92"/>
      <c r="AH131" s="94" t="str">
        <f t="shared" si="38"/>
        <v>F4</v>
      </c>
      <c r="AI131" s="168" t="s">
        <v>199</v>
      </c>
      <c r="AJ131" s="168" t="s">
        <v>198</v>
      </c>
    </row>
    <row r="132" spans="1:36" x14ac:dyDescent="0.3">
      <c r="A132" s="102" t="str">
        <f t="shared" si="36"/>
        <v>BSR130</v>
      </c>
      <c r="B132" s="93" t="str">
        <f t="shared" si="33"/>
        <v>DX01</v>
      </c>
      <c r="C132" s="93" t="str">
        <f t="shared" si="34"/>
        <v>DIO1</v>
      </c>
      <c r="D132" s="94">
        <f t="shared" si="23"/>
        <v>130</v>
      </c>
      <c r="E132" s="94">
        <v>2</v>
      </c>
      <c r="F132" s="94">
        <f t="shared" si="35"/>
        <v>1</v>
      </c>
      <c r="G132" s="94">
        <v>0</v>
      </c>
      <c r="H132" s="171">
        <f t="shared" si="39"/>
        <v>4</v>
      </c>
      <c r="I132" s="163">
        <f t="shared" si="37"/>
        <v>11</v>
      </c>
      <c r="J132" s="172"/>
      <c r="K132" s="124"/>
      <c r="L132" s="92" t="s">
        <v>21</v>
      </c>
      <c r="M132" s="92"/>
      <c r="N132" s="92"/>
      <c r="O132" s="139"/>
      <c r="P132" s="12"/>
      <c r="Q132" s="12"/>
      <c r="R132" s="12" t="s">
        <v>302</v>
      </c>
      <c r="S132" s="12" t="s">
        <v>302</v>
      </c>
      <c r="U132" s="12"/>
      <c r="W132" s="92" t="str">
        <f t="shared" si="27"/>
        <v>2.1\0.4:11</v>
      </c>
      <c r="X132" s="92"/>
      <c r="Y132" s="94"/>
      <c r="Z132" s="92"/>
      <c r="AA132" s="9"/>
      <c r="AB132" s="7"/>
      <c r="AH132" s="94" t="str">
        <f t="shared" si="38"/>
        <v>F4</v>
      </c>
      <c r="AI132" s="168" t="s">
        <v>197</v>
      </c>
      <c r="AJ132" s="168" t="s">
        <v>196</v>
      </c>
    </row>
    <row r="133" spans="1:36" x14ac:dyDescent="0.3">
      <c r="A133" s="102" t="str">
        <f t="shared" si="36"/>
        <v>BSR130</v>
      </c>
      <c r="B133" s="93" t="str">
        <f t="shared" si="33"/>
        <v>DX01</v>
      </c>
      <c r="C133" s="93" t="str">
        <f t="shared" si="34"/>
        <v>DIO1</v>
      </c>
      <c r="D133" s="94">
        <f t="shared" si="23"/>
        <v>130</v>
      </c>
      <c r="E133" s="94">
        <v>2</v>
      </c>
      <c r="F133" s="94">
        <f t="shared" si="35"/>
        <v>1</v>
      </c>
      <c r="G133" s="94">
        <v>0</v>
      </c>
      <c r="H133" s="171">
        <f t="shared" si="39"/>
        <v>4</v>
      </c>
      <c r="I133" s="163">
        <f t="shared" si="37"/>
        <v>12</v>
      </c>
      <c r="J133" s="172"/>
      <c r="K133" s="124"/>
      <c r="L133" s="92" t="s">
        <v>21</v>
      </c>
      <c r="M133" s="92"/>
      <c r="N133" s="92"/>
      <c r="O133" s="139"/>
      <c r="P133" s="12"/>
      <c r="Q133" s="12"/>
      <c r="R133" s="12" t="s">
        <v>302</v>
      </c>
      <c r="S133" s="12" t="s">
        <v>302</v>
      </c>
      <c r="U133" s="12"/>
      <c r="W133" s="92" t="str">
        <f t="shared" si="27"/>
        <v>2.1\0.4:12</v>
      </c>
      <c r="X133" s="92"/>
      <c r="Y133" s="94"/>
      <c r="Z133" s="92"/>
      <c r="AA133" s="9"/>
      <c r="AH133" s="94" t="str">
        <f t="shared" si="38"/>
        <v>F4</v>
      </c>
      <c r="AI133" s="168" t="s">
        <v>193</v>
      </c>
      <c r="AJ133" s="168" t="s">
        <v>192</v>
      </c>
    </row>
    <row r="134" spans="1:36" x14ac:dyDescent="0.3">
      <c r="A134" s="102" t="str">
        <f t="shared" si="36"/>
        <v>BSR130</v>
      </c>
      <c r="B134" s="93" t="str">
        <f t="shared" si="33"/>
        <v>DX01</v>
      </c>
      <c r="C134" s="93" t="str">
        <f t="shared" si="34"/>
        <v>DIO1</v>
      </c>
      <c r="D134" s="94">
        <f t="shared" si="23"/>
        <v>130</v>
      </c>
      <c r="E134" s="94">
        <v>2</v>
      </c>
      <c r="F134" s="94">
        <f t="shared" si="35"/>
        <v>1</v>
      </c>
      <c r="G134" s="94">
        <v>0</v>
      </c>
      <c r="H134" s="171">
        <f t="shared" si="39"/>
        <v>4</v>
      </c>
      <c r="I134" s="163">
        <f t="shared" si="37"/>
        <v>13</v>
      </c>
      <c r="J134" s="172"/>
      <c r="K134" s="124"/>
      <c r="L134" s="92" t="s">
        <v>21</v>
      </c>
      <c r="M134" s="92"/>
      <c r="N134" s="92"/>
      <c r="O134" s="139"/>
      <c r="P134" s="12"/>
      <c r="Q134" s="12"/>
      <c r="R134" s="12" t="s">
        <v>302</v>
      </c>
      <c r="S134" s="12" t="s">
        <v>302</v>
      </c>
      <c r="U134" s="12"/>
      <c r="W134" s="92" t="str">
        <f t="shared" si="27"/>
        <v>2.1\0.4:13</v>
      </c>
      <c r="X134" s="92"/>
      <c r="Y134" s="94"/>
      <c r="Z134" s="92"/>
      <c r="AA134" s="9"/>
      <c r="AH134" s="94" t="str">
        <f t="shared" si="38"/>
        <v>F4</v>
      </c>
      <c r="AI134" s="168" t="s">
        <v>191</v>
      </c>
      <c r="AJ134" s="168" t="s">
        <v>190</v>
      </c>
    </row>
    <row r="135" spans="1:36" x14ac:dyDescent="0.3">
      <c r="A135" s="102" t="str">
        <f t="shared" si="36"/>
        <v>BSR130</v>
      </c>
      <c r="B135" s="93" t="str">
        <f t="shared" si="33"/>
        <v>DX01</v>
      </c>
      <c r="C135" s="93" t="str">
        <f t="shared" si="34"/>
        <v>DIO1</v>
      </c>
      <c r="D135" s="94">
        <f t="shared" si="23"/>
        <v>130</v>
      </c>
      <c r="E135" s="94">
        <v>2</v>
      </c>
      <c r="F135" s="94">
        <f t="shared" si="35"/>
        <v>1</v>
      </c>
      <c r="G135" s="94">
        <v>0</v>
      </c>
      <c r="H135" s="171">
        <f t="shared" si="39"/>
        <v>4</v>
      </c>
      <c r="I135" s="163">
        <f t="shared" si="37"/>
        <v>14</v>
      </c>
      <c r="J135" s="172"/>
      <c r="K135" s="124"/>
      <c r="L135" s="92" t="s">
        <v>21</v>
      </c>
      <c r="M135" s="92"/>
      <c r="N135" s="92"/>
      <c r="O135" s="139"/>
      <c r="P135" s="12"/>
      <c r="Q135" s="12"/>
      <c r="R135" s="12" t="s">
        <v>302</v>
      </c>
      <c r="S135" s="12" t="s">
        <v>302</v>
      </c>
      <c r="U135" s="12"/>
      <c r="W135" s="92" t="str">
        <f t="shared" si="27"/>
        <v>2.1\0.4:14</v>
      </c>
      <c r="X135" s="92"/>
      <c r="Y135" s="94"/>
      <c r="Z135" s="92"/>
      <c r="AA135" s="9"/>
      <c r="AH135" s="94" t="str">
        <f t="shared" si="38"/>
        <v>F4</v>
      </c>
      <c r="AI135" s="168" t="s">
        <v>187</v>
      </c>
      <c r="AJ135" s="168" t="s">
        <v>186</v>
      </c>
    </row>
    <row r="136" spans="1:36" x14ac:dyDescent="0.3">
      <c r="A136" s="102" t="str">
        <f t="shared" si="36"/>
        <v>BSR130</v>
      </c>
      <c r="B136" s="93" t="str">
        <f t="shared" si="33"/>
        <v>DX01</v>
      </c>
      <c r="C136" s="93" t="str">
        <f t="shared" si="34"/>
        <v>DIO1</v>
      </c>
      <c r="D136" s="94">
        <f t="shared" si="23"/>
        <v>130</v>
      </c>
      <c r="E136" s="94">
        <v>2</v>
      </c>
      <c r="F136" s="94">
        <f t="shared" si="35"/>
        <v>1</v>
      </c>
      <c r="G136" s="94">
        <v>0</v>
      </c>
      <c r="H136" s="171">
        <f t="shared" ref="H136:H152" si="40">H132</f>
        <v>4</v>
      </c>
      <c r="I136" s="163">
        <f t="shared" si="37"/>
        <v>15</v>
      </c>
      <c r="J136" s="172"/>
      <c r="K136" s="124"/>
      <c r="L136" s="92" t="s">
        <v>21</v>
      </c>
      <c r="M136" s="92"/>
      <c r="N136" s="92">
        <v>4</v>
      </c>
      <c r="O136" s="92" t="s">
        <v>547</v>
      </c>
      <c r="P136" s="92" t="s">
        <v>320</v>
      </c>
      <c r="R136" s="92" t="s">
        <v>319</v>
      </c>
      <c r="S136" s="12" t="s">
        <v>18</v>
      </c>
      <c r="T136" s="92" t="s">
        <v>318</v>
      </c>
      <c r="U136" s="12" t="s">
        <v>547</v>
      </c>
      <c r="W136" s="92" t="str">
        <f t="shared" si="27"/>
        <v>2.1\0.4:15</v>
      </c>
      <c r="X136" s="92" t="s">
        <v>546</v>
      </c>
      <c r="Y136" s="94" t="s">
        <v>4</v>
      </c>
      <c r="Z136" s="92"/>
      <c r="AA136" s="9"/>
      <c r="AH136" s="94" t="str">
        <f t="shared" si="38"/>
        <v>F4</v>
      </c>
      <c r="AI136" s="168" t="s">
        <v>185</v>
      </c>
      <c r="AJ136" s="168" t="s">
        <v>184</v>
      </c>
    </row>
    <row r="137" spans="1:36" x14ac:dyDescent="0.3">
      <c r="A137" s="102" t="str">
        <f t="shared" si="36"/>
        <v>BSR130</v>
      </c>
      <c r="B137" s="93" t="str">
        <f t="shared" si="33"/>
        <v>DX01</v>
      </c>
      <c r="C137" s="93" t="str">
        <f t="shared" si="34"/>
        <v>DIO1</v>
      </c>
      <c r="D137" s="94">
        <f t="shared" si="23"/>
        <v>130</v>
      </c>
      <c r="E137" s="94">
        <v>2</v>
      </c>
      <c r="F137" s="94">
        <f t="shared" si="35"/>
        <v>1</v>
      </c>
      <c r="G137" s="94">
        <v>0</v>
      </c>
      <c r="H137" s="171">
        <f t="shared" si="40"/>
        <v>4</v>
      </c>
      <c r="I137" s="163">
        <f t="shared" si="37"/>
        <v>16</v>
      </c>
      <c r="J137" s="172"/>
      <c r="K137" s="93"/>
      <c r="L137" s="92" t="s">
        <v>21</v>
      </c>
      <c r="M137" s="92"/>
      <c r="N137" s="92">
        <v>4</v>
      </c>
      <c r="O137" s="92" t="s">
        <v>547</v>
      </c>
      <c r="P137" s="92" t="s">
        <v>72</v>
      </c>
      <c r="R137" s="92" t="s">
        <v>378</v>
      </c>
      <c r="S137" s="12" t="s">
        <v>24</v>
      </c>
      <c r="T137" s="92" t="s">
        <v>38</v>
      </c>
      <c r="U137" s="12" t="s">
        <v>547</v>
      </c>
      <c r="W137" s="92" t="str">
        <f t="shared" si="27"/>
        <v>2.1\0.4:16</v>
      </c>
      <c r="X137" s="92" t="s">
        <v>546</v>
      </c>
      <c r="Y137" s="94" t="s">
        <v>4</v>
      </c>
      <c r="Z137" s="92"/>
      <c r="AA137" s="9"/>
      <c r="AH137" s="94" t="str">
        <f t="shared" si="38"/>
        <v>F4</v>
      </c>
      <c r="AI137" s="168" t="s">
        <v>181</v>
      </c>
      <c r="AJ137" s="168" t="s">
        <v>180</v>
      </c>
    </row>
    <row r="138" spans="1:36" x14ac:dyDescent="0.3">
      <c r="A138" s="102" t="str">
        <f t="shared" si="36"/>
        <v>BSR130</v>
      </c>
      <c r="B138" s="93" t="str">
        <f t="shared" si="33"/>
        <v>DX01</v>
      </c>
      <c r="C138" s="93" t="str">
        <f t="shared" si="34"/>
        <v>DIO1</v>
      </c>
      <c r="D138" s="94">
        <f t="shared" si="23"/>
        <v>130</v>
      </c>
      <c r="E138" s="94">
        <v>2</v>
      </c>
      <c r="F138" s="94">
        <f t="shared" si="35"/>
        <v>1</v>
      </c>
      <c r="G138" s="94">
        <v>0</v>
      </c>
      <c r="H138" s="171">
        <f t="shared" si="40"/>
        <v>4</v>
      </c>
      <c r="I138" s="163">
        <f t="shared" si="37"/>
        <v>17</v>
      </c>
      <c r="J138" s="172"/>
      <c r="K138" s="124"/>
      <c r="L138" s="92" t="s">
        <v>21</v>
      </c>
      <c r="M138" s="92"/>
      <c r="N138" s="92">
        <v>4</v>
      </c>
      <c r="O138" s="92" t="s">
        <v>547</v>
      </c>
      <c r="P138" s="92" t="s">
        <v>41</v>
      </c>
      <c r="R138" s="92" t="s">
        <v>378</v>
      </c>
      <c r="S138" s="92" t="s">
        <v>67</v>
      </c>
      <c r="T138" s="92" t="s">
        <v>38</v>
      </c>
      <c r="U138" s="12" t="s">
        <v>547</v>
      </c>
      <c r="W138" s="92" t="str">
        <f t="shared" si="27"/>
        <v>2.1\0.4:17</v>
      </c>
      <c r="X138" s="92" t="s">
        <v>546</v>
      </c>
      <c r="Y138" s="94" t="s">
        <v>4</v>
      </c>
      <c r="Z138" s="276" t="s">
        <v>602</v>
      </c>
      <c r="AA138" s="9"/>
      <c r="AH138" s="94" t="str">
        <f t="shared" si="38"/>
        <v>F4</v>
      </c>
      <c r="AI138" s="168" t="s">
        <v>179</v>
      </c>
      <c r="AJ138" s="168" t="s">
        <v>178</v>
      </c>
    </row>
    <row r="139" spans="1:36" x14ac:dyDescent="0.3">
      <c r="A139" s="102" t="str">
        <f t="shared" si="36"/>
        <v>BSR130</v>
      </c>
      <c r="B139" s="93" t="str">
        <f t="shared" si="33"/>
        <v>DX01</v>
      </c>
      <c r="C139" s="93" t="str">
        <f t="shared" si="34"/>
        <v>DIO1</v>
      </c>
      <c r="D139" s="94">
        <f t="shared" si="23"/>
        <v>130</v>
      </c>
      <c r="E139" s="94">
        <v>2</v>
      </c>
      <c r="F139" s="94">
        <f t="shared" si="35"/>
        <v>1</v>
      </c>
      <c r="G139" s="94">
        <v>0</v>
      </c>
      <c r="H139" s="171">
        <f t="shared" si="40"/>
        <v>4</v>
      </c>
      <c r="I139" s="163">
        <f t="shared" si="37"/>
        <v>18</v>
      </c>
      <c r="J139" s="172"/>
      <c r="K139" s="124"/>
      <c r="L139" s="92" t="s">
        <v>21</v>
      </c>
      <c r="M139" s="92"/>
      <c r="N139" s="92">
        <v>4</v>
      </c>
      <c r="O139" s="92" t="s">
        <v>547</v>
      </c>
      <c r="P139" s="92" t="s">
        <v>65</v>
      </c>
      <c r="R139" s="12" t="s">
        <v>600</v>
      </c>
      <c r="S139" s="12" t="s">
        <v>24</v>
      </c>
      <c r="T139" s="92" t="s">
        <v>63</v>
      </c>
      <c r="U139" s="12" t="s">
        <v>547</v>
      </c>
      <c r="W139" s="92" t="str">
        <f t="shared" si="27"/>
        <v>2.1\0.4:18</v>
      </c>
      <c r="X139" s="92" t="s">
        <v>546</v>
      </c>
      <c r="Y139" s="94" t="s">
        <v>4</v>
      </c>
      <c r="Z139" s="276"/>
      <c r="AA139" s="9"/>
      <c r="AH139" s="94" t="str">
        <f t="shared" si="38"/>
        <v>F4</v>
      </c>
      <c r="AI139" s="168" t="s">
        <v>175</v>
      </c>
      <c r="AJ139" s="168" t="s">
        <v>174</v>
      </c>
    </row>
    <row r="140" spans="1:36" x14ac:dyDescent="0.3">
      <c r="A140" s="102" t="str">
        <f t="shared" si="36"/>
        <v>BSR130</v>
      </c>
      <c r="B140" s="93" t="str">
        <f t="shared" si="33"/>
        <v>DX01</v>
      </c>
      <c r="C140" s="93" t="str">
        <f t="shared" si="34"/>
        <v>DIO1</v>
      </c>
      <c r="D140" s="94">
        <f t="shared" si="23"/>
        <v>130</v>
      </c>
      <c r="E140" s="94">
        <v>2</v>
      </c>
      <c r="F140" s="94">
        <f t="shared" si="35"/>
        <v>1</v>
      </c>
      <c r="G140" s="94">
        <v>0</v>
      </c>
      <c r="H140" s="171">
        <f t="shared" si="40"/>
        <v>4</v>
      </c>
      <c r="I140" s="163">
        <f t="shared" si="37"/>
        <v>19</v>
      </c>
      <c r="J140" s="172"/>
      <c r="K140" s="124"/>
      <c r="L140" s="92" t="s">
        <v>21</v>
      </c>
      <c r="M140" s="92"/>
      <c r="N140" s="92">
        <v>4</v>
      </c>
      <c r="O140" s="92" t="s">
        <v>545</v>
      </c>
      <c r="P140" s="92" t="s">
        <v>320</v>
      </c>
      <c r="R140" s="12" t="s">
        <v>319</v>
      </c>
      <c r="S140" s="12" t="s">
        <v>18</v>
      </c>
      <c r="T140" s="92" t="s">
        <v>318</v>
      </c>
      <c r="U140" s="12" t="s">
        <v>545</v>
      </c>
      <c r="W140" s="92" t="str">
        <f t="shared" si="27"/>
        <v>2.1\0.4:19</v>
      </c>
      <c r="X140" s="92" t="s">
        <v>599</v>
      </c>
      <c r="Y140" s="94" t="s">
        <v>4</v>
      </c>
      <c r="Z140" s="276"/>
      <c r="AA140" s="9"/>
      <c r="AH140" s="94" t="str">
        <f t="shared" si="38"/>
        <v>F4</v>
      </c>
      <c r="AI140" s="168" t="s">
        <v>173</v>
      </c>
      <c r="AJ140" s="168" t="s">
        <v>172</v>
      </c>
    </row>
    <row r="141" spans="1:36" x14ac:dyDescent="0.3">
      <c r="A141" s="102" t="str">
        <f t="shared" si="36"/>
        <v>BSR130</v>
      </c>
      <c r="B141" s="93" t="str">
        <f t="shared" si="33"/>
        <v>DX01</v>
      </c>
      <c r="C141" s="93" t="str">
        <f t="shared" si="34"/>
        <v>DIO1</v>
      </c>
      <c r="D141" s="94">
        <f t="shared" si="23"/>
        <v>130</v>
      </c>
      <c r="E141" s="94">
        <v>2</v>
      </c>
      <c r="F141" s="94">
        <f t="shared" si="35"/>
        <v>1</v>
      </c>
      <c r="G141" s="94">
        <v>0</v>
      </c>
      <c r="H141" s="171">
        <f t="shared" si="40"/>
        <v>4</v>
      </c>
      <c r="I141" s="163">
        <f t="shared" si="37"/>
        <v>20</v>
      </c>
      <c r="J141" s="172"/>
      <c r="K141" s="124"/>
      <c r="L141" s="92" t="s">
        <v>21</v>
      </c>
      <c r="M141" s="92"/>
      <c r="N141" s="92">
        <v>4</v>
      </c>
      <c r="O141" s="92" t="s">
        <v>545</v>
      </c>
      <c r="P141" s="12" t="s">
        <v>72</v>
      </c>
      <c r="Q141" s="12"/>
      <c r="R141" s="12" t="s">
        <v>378</v>
      </c>
      <c r="S141" s="12" t="s">
        <v>24</v>
      </c>
      <c r="T141" s="92" t="s">
        <v>38</v>
      </c>
      <c r="U141" s="12" t="s">
        <v>545</v>
      </c>
      <c r="W141" s="92" t="str">
        <f t="shared" si="27"/>
        <v>2.1\0.4:20</v>
      </c>
      <c r="X141" s="92" t="s">
        <v>599</v>
      </c>
      <c r="Y141" s="94" t="s">
        <v>4</v>
      </c>
      <c r="Z141" s="276" t="s">
        <v>601</v>
      </c>
      <c r="AA141" s="9"/>
      <c r="AH141" s="94" t="str">
        <f t="shared" si="38"/>
        <v>F4</v>
      </c>
      <c r="AI141" s="168" t="s">
        <v>170</v>
      </c>
      <c r="AJ141" s="168" t="s">
        <v>169</v>
      </c>
    </row>
    <row r="142" spans="1:36" x14ac:dyDescent="0.3">
      <c r="A142" s="102" t="str">
        <f t="shared" si="36"/>
        <v>BSR130</v>
      </c>
      <c r="B142" s="93" t="str">
        <f t="shared" si="33"/>
        <v>DX01</v>
      </c>
      <c r="C142" s="93" t="str">
        <f t="shared" si="34"/>
        <v>DIO1</v>
      </c>
      <c r="D142" s="94">
        <f t="shared" si="23"/>
        <v>130</v>
      </c>
      <c r="E142" s="94">
        <v>2</v>
      </c>
      <c r="F142" s="94">
        <f t="shared" si="35"/>
        <v>1</v>
      </c>
      <c r="G142" s="94">
        <v>0</v>
      </c>
      <c r="H142" s="171">
        <f t="shared" si="40"/>
        <v>4</v>
      </c>
      <c r="I142" s="163">
        <f t="shared" si="37"/>
        <v>21</v>
      </c>
      <c r="J142" s="172"/>
      <c r="K142" s="124"/>
      <c r="L142" s="92" t="s">
        <v>21</v>
      </c>
      <c r="M142" s="92"/>
      <c r="N142" s="92">
        <v>4</v>
      </c>
      <c r="O142" s="92" t="s">
        <v>545</v>
      </c>
      <c r="P142" s="12" t="s">
        <v>41</v>
      </c>
      <c r="Q142" s="12"/>
      <c r="R142" s="12" t="s">
        <v>378</v>
      </c>
      <c r="S142" s="12" t="s">
        <v>67</v>
      </c>
      <c r="T142" s="92" t="s">
        <v>38</v>
      </c>
      <c r="U142" s="12" t="s">
        <v>545</v>
      </c>
      <c r="W142" s="92" t="str">
        <f t="shared" si="27"/>
        <v>2.1\0.4:21</v>
      </c>
      <c r="X142" s="92" t="s">
        <v>599</v>
      </c>
      <c r="Y142" s="94" t="s">
        <v>4</v>
      </c>
      <c r="Z142" s="276"/>
      <c r="AA142" s="9"/>
      <c r="AH142" s="94" t="str">
        <f t="shared" si="38"/>
        <v>F4</v>
      </c>
      <c r="AI142" s="168" t="s">
        <v>168</v>
      </c>
      <c r="AJ142" s="168" t="s">
        <v>167</v>
      </c>
    </row>
    <row r="143" spans="1:36" x14ac:dyDescent="0.3">
      <c r="A143" s="102" t="str">
        <f t="shared" si="36"/>
        <v>BSR130</v>
      </c>
      <c r="B143" s="93" t="str">
        <f t="shared" si="33"/>
        <v>DX01</v>
      </c>
      <c r="C143" s="93" t="str">
        <f t="shared" si="34"/>
        <v>DIO1</v>
      </c>
      <c r="D143" s="94">
        <f t="shared" si="23"/>
        <v>130</v>
      </c>
      <c r="E143" s="94">
        <v>2</v>
      </c>
      <c r="F143" s="94">
        <f t="shared" si="35"/>
        <v>1</v>
      </c>
      <c r="G143" s="94">
        <v>0</v>
      </c>
      <c r="H143" s="171">
        <f t="shared" si="40"/>
        <v>4</v>
      </c>
      <c r="I143" s="163">
        <f t="shared" si="37"/>
        <v>22</v>
      </c>
      <c r="J143" s="172"/>
      <c r="K143" s="124"/>
      <c r="L143" s="92" t="s">
        <v>21</v>
      </c>
      <c r="M143" s="92"/>
      <c r="N143" s="92">
        <v>4</v>
      </c>
      <c r="O143" s="92" t="s">
        <v>545</v>
      </c>
      <c r="P143" s="12" t="s">
        <v>65</v>
      </c>
      <c r="Q143" s="12"/>
      <c r="R143" s="92" t="s">
        <v>600</v>
      </c>
      <c r="S143" s="12" t="s">
        <v>24</v>
      </c>
      <c r="T143" s="92" t="s">
        <v>63</v>
      </c>
      <c r="U143" s="12" t="s">
        <v>545</v>
      </c>
      <c r="W143" s="92" t="str">
        <f t="shared" si="27"/>
        <v>2.1\0.4:22</v>
      </c>
      <c r="X143" s="92" t="s">
        <v>599</v>
      </c>
      <c r="Y143" s="94" t="s">
        <v>4</v>
      </c>
      <c r="Z143" s="276"/>
      <c r="AA143" s="9"/>
      <c r="AH143" s="94" t="str">
        <f t="shared" si="38"/>
        <v>F4</v>
      </c>
      <c r="AI143" s="168" t="s">
        <v>165</v>
      </c>
      <c r="AJ143" s="168" t="s">
        <v>164</v>
      </c>
    </row>
    <row r="144" spans="1:36" x14ac:dyDescent="0.3">
      <c r="A144" s="102" t="str">
        <f t="shared" si="36"/>
        <v>BSR130</v>
      </c>
      <c r="B144" s="93" t="str">
        <f t="shared" si="33"/>
        <v>DX01</v>
      </c>
      <c r="C144" s="93" t="str">
        <f t="shared" si="34"/>
        <v>DIO1</v>
      </c>
      <c r="D144" s="94">
        <f t="shared" si="23"/>
        <v>130</v>
      </c>
      <c r="E144" s="94">
        <v>2</v>
      </c>
      <c r="F144" s="94">
        <f t="shared" si="35"/>
        <v>1</v>
      </c>
      <c r="G144" s="94">
        <v>0</v>
      </c>
      <c r="H144" s="171">
        <f t="shared" si="40"/>
        <v>4</v>
      </c>
      <c r="I144" s="163">
        <f t="shared" si="37"/>
        <v>23</v>
      </c>
      <c r="J144" s="172"/>
      <c r="K144" s="124"/>
      <c r="L144" s="92" t="s">
        <v>21</v>
      </c>
      <c r="M144" s="92"/>
      <c r="N144" s="92">
        <v>4</v>
      </c>
      <c r="O144" s="92" t="s">
        <v>597</v>
      </c>
      <c r="P144" s="92" t="s">
        <v>320</v>
      </c>
      <c r="R144" s="92" t="s">
        <v>319</v>
      </c>
      <c r="S144" s="92" t="s">
        <v>18</v>
      </c>
      <c r="T144" s="92" t="s">
        <v>318</v>
      </c>
      <c r="U144" s="92" t="s">
        <v>597</v>
      </c>
      <c r="W144" s="92" t="str">
        <f t="shared" si="27"/>
        <v>2.1\0.4:23</v>
      </c>
      <c r="X144" s="92" t="s">
        <v>596</v>
      </c>
      <c r="Y144" s="94" t="s">
        <v>4</v>
      </c>
      <c r="Z144" s="276" t="s">
        <v>598</v>
      </c>
      <c r="AA144" s="9"/>
      <c r="AH144" s="94" t="str">
        <f t="shared" si="38"/>
        <v>F4</v>
      </c>
      <c r="AI144" s="168" t="s">
        <v>163</v>
      </c>
      <c r="AJ144" s="168" t="s">
        <v>162</v>
      </c>
    </row>
    <row r="145" spans="1:36" x14ac:dyDescent="0.3">
      <c r="A145" s="102" t="str">
        <f t="shared" si="36"/>
        <v>BSR130</v>
      </c>
      <c r="B145" s="93" t="str">
        <f t="shared" si="33"/>
        <v>DX01</v>
      </c>
      <c r="C145" s="93" t="str">
        <f t="shared" si="34"/>
        <v>DIO1</v>
      </c>
      <c r="D145" s="94">
        <f t="shared" si="23"/>
        <v>130</v>
      </c>
      <c r="E145" s="94">
        <v>2</v>
      </c>
      <c r="F145" s="94">
        <f t="shared" si="35"/>
        <v>1</v>
      </c>
      <c r="G145" s="94">
        <v>0</v>
      </c>
      <c r="H145" s="171">
        <f t="shared" si="40"/>
        <v>4</v>
      </c>
      <c r="I145" s="163">
        <f t="shared" si="37"/>
        <v>24</v>
      </c>
      <c r="J145" s="172"/>
      <c r="K145" s="124"/>
      <c r="L145" s="92" t="s">
        <v>21</v>
      </c>
      <c r="M145" s="92"/>
      <c r="N145" s="92">
        <v>4</v>
      </c>
      <c r="O145" s="92" t="s">
        <v>597</v>
      </c>
      <c r="P145" s="92" t="s">
        <v>72</v>
      </c>
      <c r="R145" s="92" t="s">
        <v>378</v>
      </c>
      <c r="S145" s="92" t="s">
        <v>24</v>
      </c>
      <c r="T145" s="92" t="s">
        <v>38</v>
      </c>
      <c r="U145" s="92" t="s">
        <v>597</v>
      </c>
      <c r="W145" s="92" t="str">
        <f t="shared" si="27"/>
        <v>2.1\0.4:24</v>
      </c>
      <c r="X145" s="92" t="s">
        <v>596</v>
      </c>
      <c r="Y145" s="94" t="s">
        <v>4</v>
      </c>
      <c r="Z145" s="276"/>
      <c r="AA145" s="9"/>
      <c r="AH145" s="94" t="str">
        <f t="shared" si="38"/>
        <v>F4</v>
      </c>
      <c r="AI145" s="168" t="s">
        <v>159</v>
      </c>
      <c r="AJ145" s="168" t="s">
        <v>158</v>
      </c>
    </row>
    <row r="146" spans="1:36" x14ac:dyDescent="0.3">
      <c r="A146" s="102" t="str">
        <f t="shared" si="36"/>
        <v>BSR130</v>
      </c>
      <c r="B146" s="93" t="str">
        <f t="shared" si="33"/>
        <v>DX01</v>
      </c>
      <c r="C146" s="93" t="str">
        <f t="shared" si="34"/>
        <v>DIO1</v>
      </c>
      <c r="D146" s="94">
        <f t="shared" si="23"/>
        <v>130</v>
      </c>
      <c r="E146" s="94">
        <v>2</v>
      </c>
      <c r="F146" s="94">
        <f t="shared" si="35"/>
        <v>1</v>
      </c>
      <c r="G146" s="94">
        <v>0</v>
      </c>
      <c r="H146" s="171">
        <f t="shared" si="40"/>
        <v>4</v>
      </c>
      <c r="I146" s="163">
        <f t="shared" si="37"/>
        <v>25</v>
      </c>
      <c r="J146" s="172"/>
      <c r="K146" s="124"/>
      <c r="L146" s="92" t="s">
        <v>21</v>
      </c>
      <c r="M146" s="92"/>
      <c r="N146" s="92">
        <v>4</v>
      </c>
      <c r="O146" s="92" t="s">
        <v>597</v>
      </c>
      <c r="P146" s="92" t="s">
        <v>41</v>
      </c>
      <c r="R146" s="92" t="s">
        <v>378</v>
      </c>
      <c r="S146" s="92" t="s">
        <v>67</v>
      </c>
      <c r="T146" s="92" t="s">
        <v>38</v>
      </c>
      <c r="U146" s="92" t="s">
        <v>597</v>
      </c>
      <c r="W146" s="92" t="str">
        <f t="shared" si="27"/>
        <v>2.1\0.4:25</v>
      </c>
      <c r="X146" s="92" t="s">
        <v>596</v>
      </c>
      <c r="Y146" s="94" t="s">
        <v>4</v>
      </c>
      <c r="Z146" s="276"/>
      <c r="AA146" s="9"/>
      <c r="AH146" s="94" t="str">
        <f t="shared" si="38"/>
        <v>F4</v>
      </c>
      <c r="AI146" s="168" t="s">
        <v>157</v>
      </c>
      <c r="AJ146" s="168" t="s">
        <v>156</v>
      </c>
    </row>
    <row r="147" spans="1:36" x14ac:dyDescent="0.3">
      <c r="A147" s="102" t="str">
        <f t="shared" si="36"/>
        <v>BSR130</v>
      </c>
      <c r="B147" s="93" t="str">
        <f t="shared" si="33"/>
        <v>DX01</v>
      </c>
      <c r="C147" s="93" t="str">
        <f t="shared" si="34"/>
        <v>DIO1</v>
      </c>
      <c r="D147" s="94">
        <f t="shared" si="23"/>
        <v>130</v>
      </c>
      <c r="E147" s="94">
        <v>2</v>
      </c>
      <c r="F147" s="94">
        <f t="shared" si="35"/>
        <v>1</v>
      </c>
      <c r="G147" s="94">
        <v>0</v>
      </c>
      <c r="H147" s="171">
        <f t="shared" si="40"/>
        <v>4</v>
      </c>
      <c r="I147" s="163">
        <f t="shared" si="37"/>
        <v>26</v>
      </c>
      <c r="J147" s="172"/>
      <c r="K147" s="124"/>
      <c r="L147" s="92" t="s">
        <v>21</v>
      </c>
      <c r="M147" s="92"/>
      <c r="N147" s="92">
        <v>4</v>
      </c>
      <c r="O147" s="92" t="s">
        <v>594</v>
      </c>
      <c r="P147" s="92" t="s">
        <v>320</v>
      </c>
      <c r="R147" s="92" t="s">
        <v>319</v>
      </c>
      <c r="S147" s="92" t="s">
        <v>18</v>
      </c>
      <c r="T147" s="92" t="s">
        <v>318</v>
      </c>
      <c r="U147" s="92" t="s">
        <v>594</v>
      </c>
      <c r="W147" s="92" t="str">
        <f t="shared" si="27"/>
        <v>2.1\0.4:26</v>
      </c>
      <c r="X147" s="92" t="s">
        <v>593</v>
      </c>
      <c r="Y147" s="94" t="s">
        <v>4</v>
      </c>
      <c r="Z147" s="276" t="s">
        <v>595</v>
      </c>
      <c r="AA147" s="9"/>
      <c r="AH147" s="94" t="str">
        <f t="shared" si="38"/>
        <v>F4</v>
      </c>
      <c r="AI147" s="168" t="s">
        <v>154</v>
      </c>
      <c r="AJ147" s="168" t="s">
        <v>153</v>
      </c>
    </row>
    <row r="148" spans="1:36" x14ac:dyDescent="0.3">
      <c r="A148" s="102" t="str">
        <f t="shared" si="36"/>
        <v>BSR130</v>
      </c>
      <c r="B148" s="93" t="str">
        <f t="shared" si="33"/>
        <v>DX01</v>
      </c>
      <c r="C148" s="93" t="str">
        <f t="shared" si="34"/>
        <v>DIO1</v>
      </c>
      <c r="D148" s="94">
        <f t="shared" si="23"/>
        <v>130</v>
      </c>
      <c r="E148" s="94">
        <v>2</v>
      </c>
      <c r="F148" s="94">
        <f t="shared" si="35"/>
        <v>1</v>
      </c>
      <c r="G148" s="94">
        <v>0</v>
      </c>
      <c r="H148" s="171">
        <f t="shared" si="40"/>
        <v>4</v>
      </c>
      <c r="I148" s="163">
        <f t="shared" si="37"/>
        <v>27</v>
      </c>
      <c r="J148" s="172"/>
      <c r="K148" s="124"/>
      <c r="L148" s="92" t="s">
        <v>21</v>
      </c>
      <c r="M148" s="92"/>
      <c r="N148" s="92">
        <v>4</v>
      </c>
      <c r="O148" s="92" t="s">
        <v>594</v>
      </c>
      <c r="P148" s="92" t="s">
        <v>72</v>
      </c>
      <c r="R148" s="92" t="s">
        <v>378</v>
      </c>
      <c r="S148" s="92" t="s">
        <v>24</v>
      </c>
      <c r="T148" s="92" t="s">
        <v>38</v>
      </c>
      <c r="U148" s="92" t="s">
        <v>594</v>
      </c>
      <c r="W148" s="92" t="str">
        <f t="shared" si="27"/>
        <v>2.1\0.4:27</v>
      </c>
      <c r="X148" s="92" t="s">
        <v>593</v>
      </c>
      <c r="Y148" s="94" t="s">
        <v>4</v>
      </c>
      <c r="Z148" s="276"/>
      <c r="AA148" s="9"/>
      <c r="AH148" s="94" t="str">
        <f t="shared" si="38"/>
        <v>F4</v>
      </c>
      <c r="AI148" s="168" t="s">
        <v>152</v>
      </c>
      <c r="AJ148" s="168" t="s">
        <v>151</v>
      </c>
    </row>
    <row r="149" spans="1:36" x14ac:dyDescent="0.3">
      <c r="A149" s="102" t="str">
        <f t="shared" si="36"/>
        <v>BSR130</v>
      </c>
      <c r="B149" s="93" t="str">
        <f t="shared" si="33"/>
        <v>DX01</v>
      </c>
      <c r="C149" s="93" t="str">
        <f t="shared" si="34"/>
        <v>DIO1</v>
      </c>
      <c r="D149" s="94">
        <f t="shared" si="23"/>
        <v>130</v>
      </c>
      <c r="E149" s="94">
        <v>2</v>
      </c>
      <c r="F149" s="94">
        <f t="shared" si="35"/>
        <v>1</v>
      </c>
      <c r="G149" s="94">
        <v>0</v>
      </c>
      <c r="H149" s="171">
        <f t="shared" si="40"/>
        <v>4</v>
      </c>
      <c r="I149" s="163">
        <f t="shared" si="37"/>
        <v>28</v>
      </c>
      <c r="J149" s="172"/>
      <c r="K149" s="124"/>
      <c r="L149" s="92" t="s">
        <v>21</v>
      </c>
      <c r="M149" s="92"/>
      <c r="N149" s="92">
        <v>4</v>
      </c>
      <c r="O149" s="92" t="s">
        <v>594</v>
      </c>
      <c r="P149" s="92" t="s">
        <v>41</v>
      </c>
      <c r="R149" s="92" t="s">
        <v>378</v>
      </c>
      <c r="S149" s="92" t="s">
        <v>67</v>
      </c>
      <c r="T149" s="92" t="s">
        <v>38</v>
      </c>
      <c r="U149" s="92" t="s">
        <v>594</v>
      </c>
      <c r="W149" s="92" t="str">
        <f t="shared" si="27"/>
        <v>2.1\0.4:28</v>
      </c>
      <c r="X149" s="92" t="s">
        <v>593</v>
      </c>
      <c r="Y149" s="94" t="s">
        <v>4</v>
      </c>
      <c r="Z149" s="276"/>
      <c r="AA149" s="9"/>
      <c r="AH149" s="94" t="str">
        <f t="shared" si="38"/>
        <v>F4</v>
      </c>
      <c r="AI149" s="168" t="s">
        <v>148</v>
      </c>
      <c r="AJ149" s="168" t="s">
        <v>147</v>
      </c>
    </row>
    <row r="150" spans="1:36" x14ac:dyDescent="0.3">
      <c r="A150" s="102" t="str">
        <f t="shared" si="36"/>
        <v>BSR130</v>
      </c>
      <c r="B150" s="93" t="str">
        <f t="shared" si="33"/>
        <v>DX01</v>
      </c>
      <c r="C150" s="93" t="str">
        <f t="shared" si="34"/>
        <v>DIO1</v>
      </c>
      <c r="D150" s="94">
        <f t="shared" ref="D150:D213" si="41">$D$5</f>
        <v>130</v>
      </c>
      <c r="E150" s="94">
        <v>2</v>
      </c>
      <c r="F150" s="94">
        <f t="shared" si="35"/>
        <v>1</v>
      </c>
      <c r="G150" s="94">
        <v>0</v>
      </c>
      <c r="H150" s="171">
        <f t="shared" si="40"/>
        <v>4</v>
      </c>
      <c r="I150" s="163">
        <f t="shared" si="37"/>
        <v>29</v>
      </c>
      <c r="J150" s="172"/>
      <c r="K150" s="124"/>
      <c r="L150" s="92" t="s">
        <v>21</v>
      </c>
      <c r="M150" s="92"/>
      <c r="N150" s="92">
        <v>4</v>
      </c>
      <c r="O150" s="92" t="s">
        <v>591</v>
      </c>
      <c r="P150" s="92" t="s">
        <v>320</v>
      </c>
      <c r="R150" s="92" t="s">
        <v>319</v>
      </c>
      <c r="S150" s="92" t="s">
        <v>18</v>
      </c>
      <c r="T150" s="92" t="s">
        <v>318</v>
      </c>
      <c r="U150" s="92" t="s">
        <v>591</v>
      </c>
      <c r="W150" s="92" t="str">
        <f t="shared" si="27"/>
        <v>2.1\0.4:29</v>
      </c>
      <c r="X150" s="92" t="s">
        <v>590</v>
      </c>
      <c r="Y150" s="94" t="s">
        <v>4</v>
      </c>
      <c r="Z150" s="276" t="s">
        <v>592</v>
      </c>
      <c r="AA150" s="9"/>
      <c r="AH150" s="94" t="str">
        <f t="shared" si="38"/>
        <v>F4</v>
      </c>
      <c r="AI150" s="168" t="s">
        <v>146</v>
      </c>
      <c r="AJ150" s="168" t="s">
        <v>145</v>
      </c>
    </row>
    <row r="151" spans="1:36" x14ac:dyDescent="0.3">
      <c r="A151" s="102" t="str">
        <f t="shared" si="36"/>
        <v>BSR130</v>
      </c>
      <c r="B151" s="93" t="str">
        <f t="shared" si="33"/>
        <v>DX01</v>
      </c>
      <c r="C151" s="93" t="str">
        <f t="shared" si="34"/>
        <v>DIO1</v>
      </c>
      <c r="D151" s="94">
        <f t="shared" si="41"/>
        <v>130</v>
      </c>
      <c r="E151" s="94">
        <v>2</v>
      </c>
      <c r="F151" s="94">
        <f t="shared" ref="F151:F184" si="42">+F150</f>
        <v>1</v>
      </c>
      <c r="G151" s="94">
        <v>0</v>
      </c>
      <c r="H151" s="171">
        <f t="shared" si="40"/>
        <v>4</v>
      </c>
      <c r="I151" s="163">
        <f t="shared" si="37"/>
        <v>30</v>
      </c>
      <c r="J151" s="172"/>
      <c r="K151" s="124"/>
      <c r="L151" s="92" t="s">
        <v>21</v>
      </c>
      <c r="M151" s="92"/>
      <c r="N151" s="92">
        <v>4</v>
      </c>
      <c r="O151" s="92" t="s">
        <v>591</v>
      </c>
      <c r="P151" s="92" t="s">
        <v>72</v>
      </c>
      <c r="R151" s="92" t="s">
        <v>378</v>
      </c>
      <c r="S151" s="92" t="s">
        <v>24</v>
      </c>
      <c r="T151" s="92" t="s">
        <v>38</v>
      </c>
      <c r="U151" s="92" t="s">
        <v>591</v>
      </c>
      <c r="W151" s="92" t="str">
        <f t="shared" si="27"/>
        <v>2.1\0.4:30</v>
      </c>
      <c r="X151" s="92" t="s">
        <v>590</v>
      </c>
      <c r="Y151" s="94" t="s">
        <v>4</v>
      </c>
      <c r="Z151" s="276"/>
      <c r="AA151" s="9"/>
      <c r="AH151" s="94" t="str">
        <f t="shared" si="38"/>
        <v>F4</v>
      </c>
      <c r="AI151" s="168" t="s">
        <v>142</v>
      </c>
      <c r="AJ151" s="168" t="s">
        <v>141</v>
      </c>
    </row>
    <row r="152" spans="1:36" ht="13.5" thickBot="1" x14ac:dyDescent="0.35">
      <c r="A152" s="102" t="str">
        <f t="shared" si="36"/>
        <v>BSR130</v>
      </c>
      <c r="B152" s="93" t="str">
        <f t="shared" si="33"/>
        <v>DX01</v>
      </c>
      <c r="C152" s="93" t="str">
        <f t="shared" si="34"/>
        <v>DIO1</v>
      </c>
      <c r="D152" s="94">
        <f t="shared" si="41"/>
        <v>130</v>
      </c>
      <c r="E152" s="94">
        <v>2</v>
      </c>
      <c r="F152" s="94">
        <f t="shared" si="42"/>
        <v>1</v>
      </c>
      <c r="G152" s="94">
        <v>0</v>
      </c>
      <c r="H152" s="171">
        <f t="shared" si="40"/>
        <v>4</v>
      </c>
      <c r="I152" s="170">
        <f t="shared" si="37"/>
        <v>31</v>
      </c>
      <c r="J152" s="169"/>
      <c r="K152" s="124"/>
      <c r="L152" s="92" t="s">
        <v>21</v>
      </c>
      <c r="M152" s="92"/>
      <c r="N152" s="92">
        <v>4</v>
      </c>
      <c r="O152" s="92" t="s">
        <v>591</v>
      </c>
      <c r="P152" s="92" t="s">
        <v>41</v>
      </c>
      <c r="R152" s="92" t="s">
        <v>378</v>
      </c>
      <c r="S152" s="92" t="s">
        <v>67</v>
      </c>
      <c r="T152" s="92" t="s">
        <v>38</v>
      </c>
      <c r="U152" s="92" t="s">
        <v>591</v>
      </c>
      <c r="W152" s="92" t="str">
        <f t="shared" ref="W152:W215" si="43">+CONCATENATE(E152,".",F152,"\",G152,".",H152,":",I152)</f>
        <v>2.1\0.4:31</v>
      </c>
      <c r="X152" s="92" t="s">
        <v>590</v>
      </c>
      <c r="Y152" s="94" t="s">
        <v>4</v>
      </c>
      <c r="Z152" s="276"/>
      <c r="AA152" s="9"/>
      <c r="AH152" s="94" t="str">
        <f t="shared" si="38"/>
        <v>F4</v>
      </c>
      <c r="AI152" s="168" t="s">
        <v>140</v>
      </c>
      <c r="AJ152" s="168" t="s">
        <v>139</v>
      </c>
    </row>
    <row r="153" spans="1:36" x14ac:dyDescent="0.3">
      <c r="A153" s="158" t="s">
        <v>291</v>
      </c>
      <c r="B153" s="93" t="str">
        <f t="shared" ref="B153:B158" si="44">+B136</f>
        <v>DX01</v>
      </c>
      <c r="C153" s="93" t="str">
        <f t="shared" ref="C153:C184" si="45">+C152</f>
        <v>DIO1</v>
      </c>
      <c r="D153" s="94">
        <f t="shared" si="41"/>
        <v>130</v>
      </c>
      <c r="E153" s="94">
        <v>2</v>
      </c>
      <c r="F153" s="94">
        <f t="shared" si="42"/>
        <v>1</v>
      </c>
      <c r="G153" s="94">
        <v>0</v>
      </c>
      <c r="H153" s="173">
        <f>+H152+1</f>
        <v>5</v>
      </c>
      <c r="I153" s="165">
        <v>0</v>
      </c>
      <c r="J153" s="172" t="s">
        <v>316</v>
      </c>
      <c r="K153" s="93" t="s">
        <v>315</v>
      </c>
      <c r="L153" s="92" t="s">
        <v>21</v>
      </c>
      <c r="M153" s="92"/>
      <c r="N153" s="92">
        <v>4</v>
      </c>
      <c r="O153" s="92" t="s">
        <v>576</v>
      </c>
      <c r="P153" s="12" t="s">
        <v>320</v>
      </c>
      <c r="Q153" s="12"/>
      <c r="R153" s="12" t="s">
        <v>589</v>
      </c>
      <c r="S153" s="12" t="s">
        <v>18</v>
      </c>
      <c r="T153" s="92" t="s">
        <v>352</v>
      </c>
      <c r="U153" s="12" t="s">
        <v>576</v>
      </c>
      <c r="W153" s="92" t="str">
        <f t="shared" si="43"/>
        <v>2.1\0.5:0</v>
      </c>
      <c r="X153" s="92" t="s">
        <v>585</v>
      </c>
      <c r="Y153" s="94">
        <v>0</v>
      </c>
      <c r="Z153" s="277" t="s">
        <v>445</v>
      </c>
      <c r="AA153" s="9"/>
      <c r="AH153" s="94" t="s">
        <v>588</v>
      </c>
      <c r="AI153" s="168" t="s">
        <v>225</v>
      </c>
      <c r="AJ153" s="168" t="s">
        <v>224</v>
      </c>
    </row>
    <row r="154" spans="1:36" x14ac:dyDescent="0.3">
      <c r="A154" s="102" t="str">
        <f t="shared" ref="A154:A184" si="46">A153</f>
        <v>BSR130</v>
      </c>
      <c r="B154" s="93" t="str">
        <f t="shared" si="44"/>
        <v>DX01</v>
      </c>
      <c r="C154" s="93" t="str">
        <f t="shared" si="45"/>
        <v>DIO1</v>
      </c>
      <c r="D154" s="94">
        <f t="shared" si="41"/>
        <v>130</v>
      </c>
      <c r="E154" s="94">
        <v>2</v>
      </c>
      <c r="F154" s="94">
        <f t="shared" si="42"/>
        <v>1</v>
      </c>
      <c r="G154" s="94">
        <v>0</v>
      </c>
      <c r="H154" s="171">
        <f>H153</f>
        <v>5</v>
      </c>
      <c r="I154" s="163">
        <f t="shared" ref="I154:I184" si="47">+I153+1</f>
        <v>1</v>
      </c>
      <c r="J154" s="172"/>
      <c r="K154" s="92"/>
      <c r="L154" s="92" t="s">
        <v>21</v>
      </c>
      <c r="M154" s="92"/>
      <c r="N154" s="92">
        <v>4</v>
      </c>
      <c r="O154" s="92" t="s">
        <v>576</v>
      </c>
      <c r="P154" s="12" t="s">
        <v>350</v>
      </c>
      <c r="Q154" s="12"/>
      <c r="R154" s="12" t="s">
        <v>587</v>
      </c>
      <c r="S154" s="12" t="s">
        <v>18</v>
      </c>
      <c r="T154" s="92" t="s">
        <v>586</v>
      </c>
      <c r="U154" s="12" t="s">
        <v>576</v>
      </c>
      <c r="V154" s="93"/>
      <c r="W154" s="92" t="str">
        <f t="shared" si="43"/>
        <v>2.1\0.5:1</v>
      </c>
      <c r="X154" s="92" t="s">
        <v>585</v>
      </c>
      <c r="Y154" s="94">
        <v>0</v>
      </c>
      <c r="Z154" s="277"/>
      <c r="AA154" s="9"/>
      <c r="AH154" s="94" t="str">
        <f t="shared" ref="AH154:AH184" si="48">+AH153</f>
        <v>F5</v>
      </c>
      <c r="AI154" s="168" t="s">
        <v>223</v>
      </c>
      <c r="AJ154" s="168" t="s">
        <v>536</v>
      </c>
    </row>
    <row r="155" spans="1:36" x14ac:dyDescent="0.3">
      <c r="A155" s="102" t="str">
        <f t="shared" si="46"/>
        <v>BSR130</v>
      </c>
      <c r="B155" s="93" t="str">
        <f t="shared" si="44"/>
        <v>DX01</v>
      </c>
      <c r="C155" s="93" t="str">
        <f t="shared" si="45"/>
        <v>DIO1</v>
      </c>
      <c r="D155" s="94">
        <f t="shared" si="41"/>
        <v>130</v>
      </c>
      <c r="E155" s="94">
        <v>2</v>
      </c>
      <c r="F155" s="94">
        <f t="shared" si="42"/>
        <v>1</v>
      </c>
      <c r="G155" s="94">
        <v>0</v>
      </c>
      <c r="H155" s="171">
        <f t="shared" ref="H155:H184" si="49">+H154</f>
        <v>5</v>
      </c>
      <c r="I155" s="163">
        <f t="shared" si="47"/>
        <v>2</v>
      </c>
      <c r="J155" s="172"/>
      <c r="K155" s="124"/>
      <c r="L155" s="92" t="s">
        <v>21</v>
      </c>
      <c r="M155" s="92"/>
      <c r="N155" s="92">
        <v>4</v>
      </c>
      <c r="O155" s="92" t="s">
        <v>576</v>
      </c>
      <c r="P155" s="12" t="s">
        <v>348</v>
      </c>
      <c r="Q155" s="12"/>
      <c r="R155" s="12" t="s">
        <v>584</v>
      </c>
      <c r="S155" s="12" t="s">
        <v>18</v>
      </c>
      <c r="T155" s="92" t="s">
        <v>349</v>
      </c>
      <c r="U155" s="12" t="s">
        <v>576</v>
      </c>
      <c r="V155" s="93"/>
      <c r="W155" s="92" t="str">
        <f t="shared" si="43"/>
        <v>2.1\0.5:2</v>
      </c>
      <c r="X155" s="92" t="s">
        <v>575</v>
      </c>
      <c r="Y155" s="94">
        <v>0</v>
      </c>
      <c r="Z155" s="277"/>
      <c r="AA155" s="9"/>
      <c r="AH155" s="94" t="str">
        <f t="shared" si="48"/>
        <v>F5</v>
      </c>
      <c r="AI155" s="168" t="s">
        <v>533</v>
      </c>
      <c r="AJ155" s="168" t="s">
        <v>532</v>
      </c>
    </row>
    <row r="156" spans="1:36" x14ac:dyDescent="0.3">
      <c r="A156" s="102" t="str">
        <f t="shared" si="46"/>
        <v>BSR130</v>
      </c>
      <c r="B156" s="93" t="str">
        <f t="shared" si="44"/>
        <v>DX01</v>
      </c>
      <c r="C156" s="93" t="str">
        <f t="shared" si="45"/>
        <v>DIO1</v>
      </c>
      <c r="D156" s="94">
        <f t="shared" si="41"/>
        <v>130</v>
      </c>
      <c r="E156" s="94">
        <v>2</v>
      </c>
      <c r="F156" s="94">
        <f t="shared" si="42"/>
        <v>1</v>
      </c>
      <c r="G156" s="94">
        <v>0</v>
      </c>
      <c r="H156" s="171">
        <f t="shared" si="49"/>
        <v>5</v>
      </c>
      <c r="I156" s="163">
        <f t="shared" si="47"/>
        <v>3</v>
      </c>
      <c r="J156" s="172"/>
      <c r="K156" s="124"/>
      <c r="L156" s="92" t="s">
        <v>21</v>
      </c>
      <c r="M156" s="92"/>
      <c r="N156" s="92">
        <v>4</v>
      </c>
      <c r="O156" s="92" t="s">
        <v>576</v>
      </c>
      <c r="P156" s="12" t="s">
        <v>345</v>
      </c>
      <c r="Q156" s="12"/>
      <c r="R156" s="12" t="s">
        <v>583</v>
      </c>
      <c r="S156" s="12" t="s">
        <v>18</v>
      </c>
      <c r="T156" s="92" t="s">
        <v>346</v>
      </c>
      <c r="U156" s="12" t="s">
        <v>576</v>
      </c>
      <c r="V156" s="93"/>
      <c r="W156" s="92" t="str">
        <f t="shared" si="43"/>
        <v>2.1\0.5:3</v>
      </c>
      <c r="X156" s="92" t="s">
        <v>575</v>
      </c>
      <c r="Y156" s="94">
        <v>0</v>
      </c>
      <c r="Z156" s="277"/>
      <c r="AA156" s="9"/>
      <c r="AH156" s="94" t="str">
        <f t="shared" si="48"/>
        <v>F5</v>
      </c>
      <c r="AI156" s="168" t="s">
        <v>531</v>
      </c>
      <c r="AJ156" s="168" t="s">
        <v>530</v>
      </c>
    </row>
    <row r="157" spans="1:36" x14ac:dyDescent="0.3">
      <c r="A157" s="102" t="str">
        <f t="shared" si="46"/>
        <v>BSR130</v>
      </c>
      <c r="B157" s="93" t="str">
        <f t="shared" si="44"/>
        <v>DX01</v>
      </c>
      <c r="C157" s="93" t="str">
        <f t="shared" si="45"/>
        <v>DIO1</v>
      </c>
      <c r="D157" s="94">
        <f t="shared" si="41"/>
        <v>130</v>
      </c>
      <c r="E157" s="94">
        <v>2</v>
      </c>
      <c r="F157" s="94">
        <f t="shared" si="42"/>
        <v>1</v>
      </c>
      <c r="G157" s="94">
        <v>0</v>
      </c>
      <c r="H157" s="171">
        <f t="shared" si="49"/>
        <v>5</v>
      </c>
      <c r="I157" s="163">
        <f t="shared" si="47"/>
        <v>4</v>
      </c>
      <c r="J157" s="172"/>
      <c r="K157" s="124"/>
      <c r="L157" s="92" t="s">
        <v>21</v>
      </c>
      <c r="M157" s="92"/>
      <c r="N157" s="92">
        <v>4</v>
      </c>
      <c r="O157" s="92" t="s">
        <v>576</v>
      </c>
      <c r="P157" s="12" t="s">
        <v>342</v>
      </c>
      <c r="Q157" s="12"/>
      <c r="R157" s="12" t="s">
        <v>582</v>
      </c>
      <c r="S157" s="12" t="s">
        <v>18</v>
      </c>
      <c r="T157" s="92" t="s">
        <v>343</v>
      </c>
      <c r="U157" s="12" t="s">
        <v>576</v>
      </c>
      <c r="V157" s="93"/>
      <c r="W157" s="92" t="str">
        <f t="shared" si="43"/>
        <v>2.1\0.5:4</v>
      </c>
      <c r="X157" s="92" t="s">
        <v>575</v>
      </c>
      <c r="Y157" s="94">
        <v>0</v>
      </c>
      <c r="Z157" s="277"/>
      <c r="AA157" s="9"/>
      <c r="AH157" s="94" t="str">
        <f t="shared" si="48"/>
        <v>F5</v>
      </c>
      <c r="AI157" s="168" t="s">
        <v>215</v>
      </c>
      <c r="AJ157" s="168" t="s">
        <v>214</v>
      </c>
    </row>
    <row r="158" spans="1:36" x14ac:dyDescent="0.3">
      <c r="A158" s="102" t="str">
        <f t="shared" si="46"/>
        <v>BSR130</v>
      </c>
      <c r="B158" s="93" t="str">
        <f t="shared" si="44"/>
        <v>DX01</v>
      </c>
      <c r="C158" s="93" t="str">
        <f t="shared" si="45"/>
        <v>DIO1</v>
      </c>
      <c r="D158" s="94">
        <f t="shared" si="41"/>
        <v>130</v>
      </c>
      <c r="E158" s="94">
        <v>2</v>
      </c>
      <c r="F158" s="94">
        <f t="shared" si="42"/>
        <v>1</v>
      </c>
      <c r="G158" s="94">
        <v>0</v>
      </c>
      <c r="H158" s="171">
        <f t="shared" si="49"/>
        <v>5</v>
      </c>
      <c r="I158" s="163">
        <f t="shared" si="47"/>
        <v>5</v>
      </c>
      <c r="J158" s="172"/>
      <c r="K158" s="124"/>
      <c r="L158" s="92" t="s">
        <v>21</v>
      </c>
      <c r="M158" s="92"/>
      <c r="N158" s="92">
        <v>4</v>
      </c>
      <c r="O158" s="92" t="s">
        <v>576</v>
      </c>
      <c r="P158" s="12" t="s">
        <v>339</v>
      </c>
      <c r="Q158" s="12"/>
      <c r="R158" s="12" t="s">
        <v>581</v>
      </c>
      <c r="S158" s="12" t="s">
        <v>18</v>
      </c>
      <c r="T158" s="92" t="s">
        <v>340</v>
      </c>
      <c r="U158" s="12" t="s">
        <v>576</v>
      </c>
      <c r="V158" s="93"/>
      <c r="W158" s="92" t="str">
        <f t="shared" si="43"/>
        <v>2.1\0.5:5</v>
      </c>
      <c r="X158" s="92" t="s">
        <v>575</v>
      </c>
      <c r="Y158" s="94">
        <v>0</v>
      </c>
      <c r="Z158" s="277"/>
      <c r="AA158" s="9"/>
      <c r="AH158" s="94" t="str">
        <f t="shared" si="48"/>
        <v>F5</v>
      </c>
      <c r="AI158" s="168" t="s">
        <v>213</v>
      </c>
      <c r="AJ158" s="168" t="s">
        <v>528</v>
      </c>
    </row>
    <row r="159" spans="1:36" x14ac:dyDescent="0.3">
      <c r="A159" s="102" t="str">
        <f t="shared" si="46"/>
        <v>BSR130</v>
      </c>
      <c r="B159" s="93" t="str">
        <f t="shared" ref="B159:B184" si="50">+B158</f>
        <v>DX01</v>
      </c>
      <c r="C159" s="93" t="str">
        <f t="shared" si="45"/>
        <v>DIO1</v>
      </c>
      <c r="D159" s="94">
        <f t="shared" si="41"/>
        <v>130</v>
      </c>
      <c r="E159" s="94">
        <v>2</v>
      </c>
      <c r="F159" s="94">
        <f t="shared" si="42"/>
        <v>1</v>
      </c>
      <c r="G159" s="94">
        <v>0</v>
      </c>
      <c r="H159" s="171">
        <f t="shared" si="49"/>
        <v>5</v>
      </c>
      <c r="I159" s="163">
        <f t="shared" si="47"/>
        <v>6</v>
      </c>
      <c r="J159" s="172"/>
      <c r="K159" s="124"/>
      <c r="L159" s="92" t="s">
        <v>21</v>
      </c>
      <c r="M159" s="92"/>
      <c r="N159" s="92">
        <v>4</v>
      </c>
      <c r="O159" s="92" t="s">
        <v>576</v>
      </c>
      <c r="P159" s="12" t="s">
        <v>336</v>
      </c>
      <c r="Q159" s="12"/>
      <c r="R159" s="12" t="s">
        <v>580</v>
      </c>
      <c r="S159" s="12" t="s">
        <v>18</v>
      </c>
      <c r="T159" s="92" t="s">
        <v>337</v>
      </c>
      <c r="U159" s="12" t="s">
        <v>576</v>
      </c>
      <c r="V159" s="93"/>
      <c r="W159" s="92" t="str">
        <f t="shared" si="43"/>
        <v>2.1\0.5:6</v>
      </c>
      <c r="X159" s="92" t="s">
        <v>575</v>
      </c>
      <c r="Y159" s="94">
        <v>0</v>
      </c>
      <c r="Z159" s="277"/>
      <c r="AA159" s="9"/>
      <c r="AH159" s="94" t="str">
        <f t="shared" si="48"/>
        <v>F5</v>
      </c>
      <c r="AI159" s="168" t="s">
        <v>211</v>
      </c>
      <c r="AJ159" s="168" t="s">
        <v>210</v>
      </c>
    </row>
    <row r="160" spans="1:36" x14ac:dyDescent="0.3">
      <c r="A160" s="102" t="str">
        <f t="shared" si="46"/>
        <v>BSR130</v>
      </c>
      <c r="B160" s="93" t="str">
        <f t="shared" si="50"/>
        <v>DX01</v>
      </c>
      <c r="C160" s="93" t="str">
        <f t="shared" si="45"/>
        <v>DIO1</v>
      </c>
      <c r="D160" s="94">
        <f t="shared" si="41"/>
        <v>130</v>
      </c>
      <c r="E160" s="94">
        <v>2</v>
      </c>
      <c r="F160" s="94">
        <f t="shared" si="42"/>
        <v>1</v>
      </c>
      <c r="G160" s="94">
        <v>0</v>
      </c>
      <c r="H160" s="171">
        <f t="shared" si="49"/>
        <v>5</v>
      </c>
      <c r="I160" s="163">
        <f t="shared" si="47"/>
        <v>7</v>
      </c>
      <c r="J160" s="172"/>
      <c r="K160" s="124"/>
      <c r="L160" s="92" t="s">
        <v>21</v>
      </c>
      <c r="M160" s="92"/>
      <c r="N160" s="92">
        <v>4</v>
      </c>
      <c r="O160" s="92" t="s">
        <v>576</v>
      </c>
      <c r="P160" s="12" t="s">
        <v>334</v>
      </c>
      <c r="Q160" s="12"/>
      <c r="R160" s="12" t="s">
        <v>579</v>
      </c>
      <c r="S160" s="12" t="s">
        <v>18</v>
      </c>
      <c r="T160" s="92" t="s">
        <v>335</v>
      </c>
      <c r="U160" s="12" t="s">
        <v>576</v>
      </c>
      <c r="V160" s="93"/>
      <c r="W160" s="92" t="str">
        <f t="shared" si="43"/>
        <v>2.1\0.5:7</v>
      </c>
      <c r="X160" s="92" t="s">
        <v>575</v>
      </c>
      <c r="Y160" s="94">
        <v>0</v>
      </c>
      <c r="Z160" s="277"/>
      <c r="AA160" s="9"/>
      <c r="AH160" s="94" t="str">
        <f t="shared" si="48"/>
        <v>F5</v>
      </c>
      <c r="AI160" s="168" t="s">
        <v>209</v>
      </c>
      <c r="AJ160" s="168" t="s">
        <v>208</v>
      </c>
    </row>
    <row r="161" spans="1:36" x14ac:dyDescent="0.3">
      <c r="A161" s="102" t="str">
        <f t="shared" si="46"/>
        <v>BSR130</v>
      </c>
      <c r="B161" s="93" t="str">
        <f t="shared" si="50"/>
        <v>DX01</v>
      </c>
      <c r="C161" s="93" t="str">
        <f t="shared" si="45"/>
        <v>DIO1</v>
      </c>
      <c r="D161" s="94">
        <f t="shared" si="41"/>
        <v>130</v>
      </c>
      <c r="E161" s="94">
        <v>2</v>
      </c>
      <c r="F161" s="94">
        <f t="shared" si="42"/>
        <v>1</v>
      </c>
      <c r="G161" s="94">
        <v>0</v>
      </c>
      <c r="H161" s="171">
        <f t="shared" si="49"/>
        <v>5</v>
      </c>
      <c r="I161" s="163">
        <f t="shared" si="47"/>
        <v>8</v>
      </c>
      <c r="J161" s="172"/>
      <c r="K161" s="124"/>
      <c r="L161" s="92" t="s">
        <v>21</v>
      </c>
      <c r="M161" s="92"/>
      <c r="N161" s="92">
        <v>4</v>
      </c>
      <c r="O161" s="92" t="s">
        <v>576</v>
      </c>
      <c r="P161" s="12" t="s">
        <v>332</v>
      </c>
      <c r="Q161" s="12"/>
      <c r="R161" s="12" t="s">
        <v>578</v>
      </c>
      <c r="S161" s="12" t="s">
        <v>18</v>
      </c>
      <c r="T161" s="92" t="s">
        <v>333</v>
      </c>
      <c r="U161" s="12" t="s">
        <v>576</v>
      </c>
      <c r="V161" s="93"/>
      <c r="W161" s="92" t="str">
        <f t="shared" si="43"/>
        <v>2.1\0.5:8</v>
      </c>
      <c r="X161" s="92" t="s">
        <v>575</v>
      </c>
      <c r="Y161" s="94">
        <v>0</v>
      </c>
      <c r="Z161" s="277"/>
      <c r="AA161" s="9"/>
      <c r="AH161" s="94" t="str">
        <f t="shared" si="48"/>
        <v>F5</v>
      </c>
      <c r="AI161" s="168" t="s">
        <v>206</v>
      </c>
      <c r="AJ161" s="168" t="s">
        <v>205</v>
      </c>
    </row>
    <row r="162" spans="1:36" x14ac:dyDescent="0.3">
      <c r="A162" s="102" t="str">
        <f t="shared" si="46"/>
        <v>BSR130</v>
      </c>
      <c r="B162" s="93" t="str">
        <f t="shared" si="50"/>
        <v>DX01</v>
      </c>
      <c r="C162" s="93" t="str">
        <f t="shared" si="45"/>
        <v>DIO1</v>
      </c>
      <c r="D162" s="94">
        <f t="shared" si="41"/>
        <v>130</v>
      </c>
      <c r="E162" s="94">
        <v>2</v>
      </c>
      <c r="F162" s="94">
        <f t="shared" si="42"/>
        <v>1</v>
      </c>
      <c r="G162" s="94">
        <v>0</v>
      </c>
      <c r="H162" s="171">
        <f t="shared" si="49"/>
        <v>5</v>
      </c>
      <c r="I162" s="163">
        <f t="shared" si="47"/>
        <v>9</v>
      </c>
      <c r="J162" s="172"/>
      <c r="K162" s="124"/>
      <c r="L162" s="92" t="s">
        <v>21</v>
      </c>
      <c r="M162" s="92"/>
      <c r="N162" s="92">
        <v>4</v>
      </c>
      <c r="O162" s="92" t="s">
        <v>576</v>
      </c>
      <c r="P162" s="12" t="s">
        <v>330</v>
      </c>
      <c r="Q162" s="12"/>
      <c r="R162" s="12" t="s">
        <v>565</v>
      </c>
      <c r="S162" s="12" t="s">
        <v>18</v>
      </c>
      <c r="T162" s="92" t="s">
        <v>331</v>
      </c>
      <c r="U162" s="13" t="s">
        <v>576</v>
      </c>
      <c r="V162" s="93"/>
      <c r="W162" s="92" t="str">
        <f t="shared" si="43"/>
        <v>2.1\0.5:9</v>
      </c>
      <c r="X162" s="92" t="s">
        <v>575</v>
      </c>
      <c r="Y162" s="94">
        <v>0</v>
      </c>
      <c r="Z162" s="277"/>
      <c r="AA162" s="9"/>
      <c r="AH162" s="94" t="str">
        <f t="shared" si="48"/>
        <v>F5</v>
      </c>
      <c r="AI162" s="168" t="s">
        <v>204</v>
      </c>
      <c r="AJ162" s="168" t="s">
        <v>203</v>
      </c>
    </row>
    <row r="163" spans="1:36" x14ac:dyDescent="0.3">
      <c r="A163" s="102" t="str">
        <f t="shared" si="46"/>
        <v>BSR130</v>
      </c>
      <c r="B163" s="93" t="str">
        <f t="shared" si="50"/>
        <v>DX01</v>
      </c>
      <c r="C163" s="93" t="str">
        <f t="shared" si="45"/>
        <v>DIO1</v>
      </c>
      <c r="D163" s="94">
        <f t="shared" si="41"/>
        <v>130</v>
      </c>
      <c r="E163" s="94">
        <v>2</v>
      </c>
      <c r="F163" s="94">
        <f t="shared" si="42"/>
        <v>1</v>
      </c>
      <c r="G163" s="94">
        <v>0</v>
      </c>
      <c r="H163" s="171">
        <f t="shared" si="49"/>
        <v>5</v>
      </c>
      <c r="I163" s="163">
        <f t="shared" si="47"/>
        <v>10</v>
      </c>
      <c r="J163" s="172"/>
      <c r="K163" s="124"/>
      <c r="L163" s="92" t="s">
        <v>21</v>
      </c>
      <c r="M163" s="92"/>
      <c r="N163" s="92">
        <v>4</v>
      </c>
      <c r="O163" s="92" t="s">
        <v>576</v>
      </c>
      <c r="P163" s="92" t="s">
        <v>328</v>
      </c>
      <c r="R163" s="92" t="s">
        <v>577</v>
      </c>
      <c r="S163" s="92" t="s">
        <v>18</v>
      </c>
      <c r="T163" s="92" t="s">
        <v>329</v>
      </c>
      <c r="U163" s="92" t="s">
        <v>576</v>
      </c>
      <c r="V163" s="93"/>
      <c r="W163" s="92" t="str">
        <f t="shared" si="43"/>
        <v>2.1\0.5:10</v>
      </c>
      <c r="X163" s="92" t="s">
        <v>575</v>
      </c>
      <c r="Y163" s="94">
        <v>0</v>
      </c>
      <c r="Z163" s="277"/>
      <c r="AA163" s="9"/>
      <c r="AH163" s="94" t="str">
        <f t="shared" si="48"/>
        <v>F5</v>
      </c>
      <c r="AI163" s="168" t="s">
        <v>199</v>
      </c>
      <c r="AJ163" s="168" t="s">
        <v>198</v>
      </c>
    </row>
    <row r="164" spans="1:36" x14ac:dyDescent="0.3">
      <c r="A164" s="102" t="str">
        <f t="shared" si="46"/>
        <v>BSR130</v>
      </c>
      <c r="B164" s="93" t="str">
        <f t="shared" si="50"/>
        <v>DX01</v>
      </c>
      <c r="C164" s="93" t="str">
        <f t="shared" si="45"/>
        <v>DIO1</v>
      </c>
      <c r="D164" s="94">
        <f t="shared" si="41"/>
        <v>130</v>
      </c>
      <c r="E164" s="94">
        <v>2</v>
      </c>
      <c r="F164" s="94">
        <f t="shared" si="42"/>
        <v>1</v>
      </c>
      <c r="G164" s="94">
        <v>0</v>
      </c>
      <c r="H164" s="171">
        <f t="shared" si="49"/>
        <v>5</v>
      </c>
      <c r="I164" s="163">
        <f t="shared" si="47"/>
        <v>11</v>
      </c>
      <c r="J164" s="172"/>
      <c r="K164" s="124"/>
      <c r="L164" s="92" t="s">
        <v>21</v>
      </c>
      <c r="M164" s="92"/>
      <c r="N164" s="92">
        <v>4</v>
      </c>
      <c r="O164" s="92" t="s">
        <v>576</v>
      </c>
      <c r="P164" s="12" t="s">
        <v>326</v>
      </c>
      <c r="Q164" s="12"/>
      <c r="R164" s="12" t="s">
        <v>325</v>
      </c>
      <c r="S164" s="12" t="s">
        <v>18</v>
      </c>
      <c r="T164" s="92" t="s">
        <v>327</v>
      </c>
      <c r="U164" s="92" t="s">
        <v>576</v>
      </c>
      <c r="V164" s="93"/>
      <c r="W164" s="92" t="str">
        <f t="shared" si="43"/>
        <v>2.1\0.5:11</v>
      </c>
      <c r="X164" s="92" t="s">
        <v>575</v>
      </c>
      <c r="Y164" s="94">
        <v>0</v>
      </c>
      <c r="Z164" s="277"/>
      <c r="AA164" s="9"/>
      <c r="AH164" s="94" t="str">
        <f t="shared" si="48"/>
        <v>F5</v>
      </c>
      <c r="AI164" s="168" t="s">
        <v>197</v>
      </c>
      <c r="AJ164" s="168" t="s">
        <v>196</v>
      </c>
    </row>
    <row r="165" spans="1:36" x14ac:dyDescent="0.3">
      <c r="A165" s="102" t="str">
        <f t="shared" si="46"/>
        <v>BSR130</v>
      </c>
      <c r="B165" s="93" t="str">
        <f t="shared" si="50"/>
        <v>DX01</v>
      </c>
      <c r="C165" s="93" t="str">
        <f t="shared" si="45"/>
        <v>DIO1</v>
      </c>
      <c r="D165" s="94">
        <f t="shared" si="41"/>
        <v>130</v>
      </c>
      <c r="E165" s="94">
        <v>2</v>
      </c>
      <c r="F165" s="94">
        <f t="shared" si="42"/>
        <v>1</v>
      </c>
      <c r="G165" s="94">
        <v>0</v>
      </c>
      <c r="H165" s="171">
        <f t="shared" si="49"/>
        <v>5</v>
      </c>
      <c r="I165" s="163">
        <f t="shared" si="47"/>
        <v>12</v>
      </c>
      <c r="J165" s="172"/>
      <c r="K165" s="124"/>
      <c r="L165" s="92" t="s">
        <v>21</v>
      </c>
      <c r="M165" s="92"/>
      <c r="N165" s="92">
        <v>4</v>
      </c>
      <c r="O165" s="139"/>
      <c r="P165" s="12"/>
      <c r="Q165" s="12"/>
      <c r="R165" s="12" t="s">
        <v>302</v>
      </c>
      <c r="S165" s="12" t="s">
        <v>302</v>
      </c>
      <c r="T165" s="13"/>
      <c r="V165" s="93"/>
      <c r="W165" s="92" t="str">
        <f t="shared" si="43"/>
        <v>2.1\0.5:12</v>
      </c>
      <c r="X165" s="92"/>
      <c r="Y165" s="94"/>
      <c r="Z165" s="92"/>
      <c r="AA165" s="9"/>
      <c r="AH165" s="94" t="str">
        <f t="shared" si="48"/>
        <v>F5</v>
      </c>
      <c r="AI165" s="168" t="s">
        <v>193</v>
      </c>
      <c r="AJ165" s="168" t="s">
        <v>192</v>
      </c>
    </row>
    <row r="166" spans="1:36" x14ac:dyDescent="0.3">
      <c r="A166" s="102" t="str">
        <f t="shared" si="46"/>
        <v>BSR130</v>
      </c>
      <c r="B166" s="93" t="str">
        <f t="shared" si="50"/>
        <v>DX01</v>
      </c>
      <c r="C166" s="93" t="str">
        <f t="shared" si="45"/>
        <v>DIO1</v>
      </c>
      <c r="D166" s="94">
        <f t="shared" si="41"/>
        <v>130</v>
      </c>
      <c r="E166" s="94">
        <v>2</v>
      </c>
      <c r="F166" s="94">
        <f t="shared" si="42"/>
        <v>1</v>
      </c>
      <c r="G166" s="94">
        <v>0</v>
      </c>
      <c r="H166" s="171">
        <f t="shared" si="49"/>
        <v>5</v>
      </c>
      <c r="I166" s="163">
        <f t="shared" si="47"/>
        <v>13</v>
      </c>
      <c r="J166" s="172"/>
      <c r="K166" s="124"/>
      <c r="L166" s="92" t="s">
        <v>21</v>
      </c>
      <c r="M166" s="92"/>
      <c r="N166" s="92">
        <v>4</v>
      </c>
      <c r="O166" s="92" t="s">
        <v>491</v>
      </c>
      <c r="P166" s="12" t="s">
        <v>320</v>
      </c>
      <c r="Q166" s="12"/>
      <c r="R166" s="12" t="s">
        <v>319</v>
      </c>
      <c r="S166" s="12" t="s">
        <v>18</v>
      </c>
      <c r="T166" s="92" t="s">
        <v>318</v>
      </c>
      <c r="U166" s="92" t="s">
        <v>491</v>
      </c>
      <c r="V166" s="93"/>
      <c r="W166" s="92" t="str">
        <f t="shared" si="43"/>
        <v>2.1\0.5:13</v>
      </c>
      <c r="X166" s="92" t="s">
        <v>490</v>
      </c>
      <c r="Y166" s="94" t="s">
        <v>4</v>
      </c>
      <c r="Z166" s="92"/>
      <c r="AA166" s="9"/>
      <c r="AH166" s="94" t="str">
        <f t="shared" si="48"/>
        <v>F5</v>
      </c>
      <c r="AI166" s="168" t="s">
        <v>191</v>
      </c>
      <c r="AJ166" s="168" t="s">
        <v>190</v>
      </c>
    </row>
    <row r="167" spans="1:36" x14ac:dyDescent="0.3">
      <c r="A167" s="102" t="str">
        <f t="shared" si="46"/>
        <v>BSR130</v>
      </c>
      <c r="B167" s="93" t="str">
        <f t="shared" si="50"/>
        <v>DX01</v>
      </c>
      <c r="C167" s="93" t="str">
        <f t="shared" si="45"/>
        <v>DIO1</v>
      </c>
      <c r="D167" s="94">
        <f t="shared" si="41"/>
        <v>130</v>
      </c>
      <c r="E167" s="94">
        <v>2</v>
      </c>
      <c r="F167" s="94">
        <f t="shared" si="42"/>
        <v>1</v>
      </c>
      <c r="G167" s="94">
        <v>0</v>
      </c>
      <c r="H167" s="171">
        <f t="shared" si="49"/>
        <v>5</v>
      </c>
      <c r="I167" s="163">
        <f t="shared" si="47"/>
        <v>14</v>
      </c>
      <c r="J167" s="172"/>
      <c r="K167" s="124"/>
      <c r="L167" s="92" t="s">
        <v>21</v>
      </c>
      <c r="M167" s="92"/>
      <c r="N167" s="92">
        <v>4</v>
      </c>
      <c r="O167" s="92" t="s">
        <v>488</v>
      </c>
      <c r="P167" s="12" t="s">
        <v>320</v>
      </c>
      <c r="Q167" s="12"/>
      <c r="R167" s="12" t="s">
        <v>319</v>
      </c>
      <c r="S167" s="12" t="s">
        <v>18</v>
      </c>
      <c r="T167" s="92" t="s">
        <v>318</v>
      </c>
      <c r="U167" s="92" t="s">
        <v>488</v>
      </c>
      <c r="V167" s="93"/>
      <c r="W167" s="92" t="str">
        <f t="shared" si="43"/>
        <v>2.1\0.5:14</v>
      </c>
      <c r="X167" s="92" t="s">
        <v>489</v>
      </c>
      <c r="Y167" s="94" t="s">
        <v>4</v>
      </c>
      <c r="Z167" s="92"/>
      <c r="AA167" s="9"/>
      <c r="AH167" s="94" t="str">
        <f t="shared" si="48"/>
        <v>F5</v>
      </c>
      <c r="AI167" s="168" t="s">
        <v>187</v>
      </c>
      <c r="AJ167" s="168" t="s">
        <v>186</v>
      </c>
    </row>
    <row r="168" spans="1:36" x14ac:dyDescent="0.3">
      <c r="A168" s="102" t="str">
        <f t="shared" si="46"/>
        <v>BSR130</v>
      </c>
      <c r="B168" s="93" t="str">
        <f t="shared" si="50"/>
        <v>DX01</v>
      </c>
      <c r="C168" s="93" t="str">
        <f t="shared" si="45"/>
        <v>DIO1</v>
      </c>
      <c r="D168" s="94">
        <f t="shared" si="41"/>
        <v>130</v>
      </c>
      <c r="E168" s="94">
        <v>2</v>
      </c>
      <c r="F168" s="94">
        <f t="shared" si="42"/>
        <v>1</v>
      </c>
      <c r="G168" s="94">
        <v>0</v>
      </c>
      <c r="H168" s="171">
        <f t="shared" si="49"/>
        <v>5</v>
      </c>
      <c r="I168" s="163">
        <f t="shared" si="47"/>
        <v>15</v>
      </c>
      <c r="J168" s="172"/>
      <c r="K168" s="124"/>
      <c r="L168" s="92" t="s">
        <v>21</v>
      </c>
      <c r="M168" s="92"/>
      <c r="N168" s="92">
        <v>4</v>
      </c>
      <c r="O168" s="92" t="s">
        <v>486</v>
      </c>
      <c r="P168" s="92" t="s">
        <v>320</v>
      </c>
      <c r="R168" s="92" t="s">
        <v>319</v>
      </c>
      <c r="S168" s="92" t="s">
        <v>18</v>
      </c>
      <c r="T168" s="92" t="s">
        <v>318</v>
      </c>
      <c r="U168" s="92" t="s">
        <v>486</v>
      </c>
      <c r="V168" s="93"/>
      <c r="W168" s="92" t="str">
        <f t="shared" si="43"/>
        <v>2.1\0.5:15</v>
      </c>
      <c r="X168" s="92" t="s">
        <v>487</v>
      </c>
      <c r="Y168" s="94" t="s">
        <v>4</v>
      </c>
      <c r="Z168" s="92"/>
      <c r="AA168" s="9"/>
      <c r="AH168" s="94" t="str">
        <f t="shared" si="48"/>
        <v>F5</v>
      </c>
      <c r="AI168" s="168" t="s">
        <v>185</v>
      </c>
      <c r="AJ168" s="168" t="s">
        <v>184</v>
      </c>
    </row>
    <row r="169" spans="1:36" x14ac:dyDescent="0.3">
      <c r="A169" s="102" t="str">
        <f t="shared" si="46"/>
        <v>BSR130</v>
      </c>
      <c r="B169" s="93" t="str">
        <f t="shared" si="50"/>
        <v>DX01</v>
      </c>
      <c r="C169" s="93" t="str">
        <f t="shared" si="45"/>
        <v>DIO1</v>
      </c>
      <c r="D169" s="94">
        <f t="shared" si="41"/>
        <v>130</v>
      </c>
      <c r="E169" s="94">
        <v>2</v>
      </c>
      <c r="F169" s="94">
        <f t="shared" si="42"/>
        <v>1</v>
      </c>
      <c r="G169" s="94">
        <v>0</v>
      </c>
      <c r="H169" s="171">
        <f t="shared" si="49"/>
        <v>5</v>
      </c>
      <c r="I169" s="163">
        <f t="shared" si="47"/>
        <v>16</v>
      </c>
      <c r="J169" s="172"/>
      <c r="K169" s="93"/>
      <c r="L169" s="92" t="s">
        <v>21</v>
      </c>
      <c r="M169" s="92"/>
      <c r="N169" s="92">
        <v>4</v>
      </c>
      <c r="O169" s="92" t="s">
        <v>485</v>
      </c>
      <c r="P169" s="92" t="s">
        <v>320</v>
      </c>
      <c r="R169" s="92" t="s">
        <v>319</v>
      </c>
      <c r="S169" s="92" t="s">
        <v>18</v>
      </c>
      <c r="T169" s="92" t="s">
        <v>318</v>
      </c>
      <c r="U169" s="92" t="s">
        <v>485</v>
      </c>
      <c r="V169" s="93"/>
      <c r="W169" s="92" t="str">
        <f t="shared" si="43"/>
        <v>2.1\0.5:16</v>
      </c>
      <c r="X169" s="92" t="s">
        <v>484</v>
      </c>
      <c r="Y169" s="94" t="s">
        <v>4</v>
      </c>
      <c r="Z169" s="92"/>
      <c r="AA169" s="9"/>
      <c r="AH169" s="94" t="str">
        <f t="shared" si="48"/>
        <v>F5</v>
      </c>
      <c r="AI169" s="168" t="s">
        <v>181</v>
      </c>
      <c r="AJ169" s="168" t="s">
        <v>180</v>
      </c>
    </row>
    <row r="170" spans="1:36" x14ac:dyDescent="0.3">
      <c r="A170" s="102" t="str">
        <f t="shared" si="46"/>
        <v>BSR130</v>
      </c>
      <c r="B170" s="93" t="str">
        <f t="shared" si="50"/>
        <v>DX01</v>
      </c>
      <c r="C170" s="93" t="str">
        <f t="shared" si="45"/>
        <v>DIO1</v>
      </c>
      <c r="D170" s="94">
        <f t="shared" si="41"/>
        <v>130</v>
      </c>
      <c r="E170" s="94">
        <v>2</v>
      </c>
      <c r="F170" s="94">
        <f t="shared" si="42"/>
        <v>1</v>
      </c>
      <c r="G170" s="94">
        <v>0</v>
      </c>
      <c r="H170" s="171">
        <f t="shared" si="49"/>
        <v>5</v>
      </c>
      <c r="I170" s="163">
        <f t="shared" si="47"/>
        <v>17</v>
      </c>
      <c r="J170" s="172"/>
      <c r="K170" s="124"/>
      <c r="L170" s="92" t="s">
        <v>21</v>
      </c>
      <c r="M170" s="92"/>
      <c r="N170" s="92">
        <v>4</v>
      </c>
      <c r="O170" s="92" t="s">
        <v>483</v>
      </c>
      <c r="P170" s="92" t="s">
        <v>320</v>
      </c>
      <c r="R170" s="92" t="s">
        <v>319</v>
      </c>
      <c r="S170" s="92" t="s">
        <v>18</v>
      </c>
      <c r="T170" s="92" t="s">
        <v>318</v>
      </c>
      <c r="U170" s="92" t="s">
        <v>483</v>
      </c>
      <c r="V170" s="93"/>
      <c r="W170" s="92" t="str">
        <f t="shared" si="43"/>
        <v>2.1\0.5:17</v>
      </c>
      <c r="X170" s="92" t="s">
        <v>482</v>
      </c>
      <c r="Y170" s="94" t="s">
        <v>4</v>
      </c>
      <c r="Z170" s="92"/>
      <c r="AA170" s="9"/>
      <c r="AH170" s="94" t="str">
        <f t="shared" si="48"/>
        <v>F5</v>
      </c>
      <c r="AI170" s="168" t="s">
        <v>179</v>
      </c>
      <c r="AJ170" s="168" t="s">
        <v>178</v>
      </c>
    </row>
    <row r="171" spans="1:36" x14ac:dyDescent="0.3">
      <c r="A171" s="102" t="str">
        <f t="shared" si="46"/>
        <v>BSR130</v>
      </c>
      <c r="B171" s="93" t="str">
        <f t="shared" si="50"/>
        <v>DX01</v>
      </c>
      <c r="C171" s="93" t="str">
        <f t="shared" si="45"/>
        <v>DIO1</v>
      </c>
      <c r="D171" s="94">
        <f t="shared" si="41"/>
        <v>130</v>
      </c>
      <c r="E171" s="94">
        <v>2</v>
      </c>
      <c r="F171" s="94">
        <f t="shared" si="42"/>
        <v>1</v>
      </c>
      <c r="G171" s="94">
        <v>0</v>
      </c>
      <c r="H171" s="171">
        <f t="shared" si="49"/>
        <v>5</v>
      </c>
      <c r="I171" s="163">
        <f t="shared" si="47"/>
        <v>18</v>
      </c>
      <c r="J171" s="172"/>
      <c r="K171" s="124"/>
      <c r="L171" s="92" t="s">
        <v>21</v>
      </c>
      <c r="M171" s="92"/>
      <c r="N171" s="92">
        <v>4</v>
      </c>
      <c r="O171" s="92" t="s">
        <v>481</v>
      </c>
      <c r="P171" s="92" t="s">
        <v>320</v>
      </c>
      <c r="R171" s="92" t="s">
        <v>319</v>
      </c>
      <c r="S171" s="92" t="s">
        <v>18</v>
      </c>
      <c r="T171" s="92" t="s">
        <v>318</v>
      </c>
      <c r="U171" s="92" t="s">
        <v>481</v>
      </c>
      <c r="V171" s="93"/>
      <c r="W171" s="92" t="str">
        <f t="shared" si="43"/>
        <v>2.1\0.5:18</v>
      </c>
      <c r="X171" s="92" t="s">
        <v>480</v>
      </c>
      <c r="Y171" s="94" t="s">
        <v>4</v>
      </c>
      <c r="Z171" s="92"/>
      <c r="AA171" s="9"/>
      <c r="AH171" s="94" t="str">
        <f t="shared" si="48"/>
        <v>F5</v>
      </c>
      <c r="AI171" s="168" t="s">
        <v>175</v>
      </c>
      <c r="AJ171" s="168" t="s">
        <v>174</v>
      </c>
    </row>
    <row r="172" spans="1:36" x14ac:dyDescent="0.3">
      <c r="A172" s="102" t="str">
        <f t="shared" si="46"/>
        <v>BSR130</v>
      </c>
      <c r="B172" s="93" t="str">
        <f t="shared" si="50"/>
        <v>DX01</v>
      </c>
      <c r="C172" s="93" t="str">
        <f t="shared" si="45"/>
        <v>DIO1</v>
      </c>
      <c r="D172" s="94">
        <f t="shared" si="41"/>
        <v>130</v>
      </c>
      <c r="E172" s="94">
        <v>2</v>
      </c>
      <c r="F172" s="94">
        <f t="shared" si="42"/>
        <v>1</v>
      </c>
      <c r="G172" s="94">
        <v>0</v>
      </c>
      <c r="H172" s="171">
        <f t="shared" si="49"/>
        <v>5</v>
      </c>
      <c r="I172" s="163">
        <f t="shared" si="47"/>
        <v>19</v>
      </c>
      <c r="J172" s="172"/>
      <c r="K172" s="124"/>
      <c r="L172" s="92" t="s">
        <v>21</v>
      </c>
      <c r="M172" s="92"/>
      <c r="N172" s="92">
        <v>4</v>
      </c>
      <c r="O172" s="92" t="s">
        <v>479</v>
      </c>
      <c r="P172" s="92" t="s">
        <v>320</v>
      </c>
      <c r="R172" s="92" t="s">
        <v>319</v>
      </c>
      <c r="S172" s="92" t="s">
        <v>18</v>
      </c>
      <c r="T172" s="92" t="s">
        <v>318</v>
      </c>
      <c r="U172" s="92" t="s">
        <v>479</v>
      </c>
      <c r="V172" s="168"/>
      <c r="W172" s="92" t="str">
        <f t="shared" si="43"/>
        <v>2.1\0.5:19</v>
      </c>
      <c r="X172" s="92" t="s">
        <v>478</v>
      </c>
      <c r="Y172" s="94" t="s">
        <v>4</v>
      </c>
      <c r="Z172" s="92"/>
      <c r="AA172" s="9"/>
      <c r="AH172" s="94" t="str">
        <f t="shared" si="48"/>
        <v>F5</v>
      </c>
      <c r="AI172" s="168" t="s">
        <v>173</v>
      </c>
      <c r="AJ172" s="168" t="s">
        <v>172</v>
      </c>
    </row>
    <row r="173" spans="1:36" x14ac:dyDescent="0.3">
      <c r="A173" s="102" t="str">
        <f t="shared" si="46"/>
        <v>BSR130</v>
      </c>
      <c r="B173" s="93" t="str">
        <f t="shared" si="50"/>
        <v>DX01</v>
      </c>
      <c r="C173" s="93" t="str">
        <f t="shared" si="45"/>
        <v>DIO1</v>
      </c>
      <c r="D173" s="94">
        <f t="shared" si="41"/>
        <v>130</v>
      </c>
      <c r="E173" s="94">
        <v>2</v>
      </c>
      <c r="F173" s="94">
        <f t="shared" si="42"/>
        <v>1</v>
      </c>
      <c r="G173" s="94">
        <v>0</v>
      </c>
      <c r="H173" s="171">
        <f t="shared" si="49"/>
        <v>5</v>
      </c>
      <c r="I173" s="163">
        <f t="shared" si="47"/>
        <v>20</v>
      </c>
      <c r="J173" s="172"/>
      <c r="K173" s="124"/>
      <c r="L173" s="92" t="s">
        <v>21</v>
      </c>
      <c r="M173" s="92"/>
      <c r="N173" s="92">
        <v>4</v>
      </c>
      <c r="O173" s="92" t="s">
        <v>477</v>
      </c>
      <c r="P173" s="12" t="s">
        <v>320</v>
      </c>
      <c r="Q173" s="12"/>
      <c r="R173" s="12" t="s">
        <v>319</v>
      </c>
      <c r="S173" s="12" t="s">
        <v>18</v>
      </c>
      <c r="T173" s="92" t="s">
        <v>318</v>
      </c>
      <c r="U173" s="13" t="s">
        <v>477</v>
      </c>
      <c r="V173" s="12"/>
      <c r="W173" s="92" t="str">
        <f t="shared" si="43"/>
        <v>2.1\0.5:20</v>
      </c>
      <c r="X173" s="92" t="s">
        <v>476</v>
      </c>
      <c r="Y173" s="94" t="s">
        <v>4</v>
      </c>
      <c r="Z173" s="92"/>
      <c r="AA173" s="9"/>
      <c r="AH173" s="94" t="str">
        <f t="shared" si="48"/>
        <v>F5</v>
      </c>
      <c r="AI173" s="168" t="s">
        <v>170</v>
      </c>
      <c r="AJ173" s="168" t="s">
        <v>169</v>
      </c>
    </row>
    <row r="174" spans="1:36" x14ac:dyDescent="0.3">
      <c r="A174" s="102" t="str">
        <f t="shared" si="46"/>
        <v>BSR130</v>
      </c>
      <c r="B174" s="93" t="str">
        <f t="shared" si="50"/>
        <v>DX01</v>
      </c>
      <c r="C174" s="93" t="str">
        <f t="shared" si="45"/>
        <v>DIO1</v>
      </c>
      <c r="D174" s="94">
        <f t="shared" si="41"/>
        <v>130</v>
      </c>
      <c r="E174" s="94">
        <v>2</v>
      </c>
      <c r="F174" s="94">
        <f t="shared" si="42"/>
        <v>1</v>
      </c>
      <c r="G174" s="94">
        <v>0</v>
      </c>
      <c r="H174" s="171">
        <f t="shared" si="49"/>
        <v>5</v>
      </c>
      <c r="I174" s="163">
        <f t="shared" si="47"/>
        <v>21</v>
      </c>
      <c r="J174" s="172"/>
      <c r="K174" s="124"/>
      <c r="L174" s="92" t="s">
        <v>21</v>
      </c>
      <c r="M174" s="92"/>
      <c r="N174" s="92">
        <v>4</v>
      </c>
      <c r="O174" s="92" t="s">
        <v>474</v>
      </c>
      <c r="P174" s="12" t="s">
        <v>320</v>
      </c>
      <c r="Q174" s="12"/>
      <c r="R174" s="12" t="s">
        <v>319</v>
      </c>
      <c r="S174" s="12" t="s">
        <v>18</v>
      </c>
      <c r="T174" s="92" t="s">
        <v>318</v>
      </c>
      <c r="U174" s="13" t="s">
        <v>474</v>
      </c>
      <c r="V174" s="12"/>
      <c r="W174" s="92" t="str">
        <f t="shared" si="43"/>
        <v>2.1\0.5:21</v>
      </c>
      <c r="X174" s="92" t="s">
        <v>475</v>
      </c>
      <c r="Y174" s="94" t="s">
        <v>4</v>
      </c>
      <c r="Z174" s="92"/>
      <c r="AA174" s="9"/>
      <c r="AH174" s="94" t="str">
        <f t="shared" si="48"/>
        <v>F5</v>
      </c>
      <c r="AI174" s="168" t="s">
        <v>168</v>
      </c>
      <c r="AJ174" s="168" t="s">
        <v>167</v>
      </c>
    </row>
    <row r="175" spans="1:36" x14ac:dyDescent="0.3">
      <c r="A175" s="102" t="str">
        <f t="shared" si="46"/>
        <v>BSR130</v>
      </c>
      <c r="B175" s="93" t="str">
        <f t="shared" si="50"/>
        <v>DX01</v>
      </c>
      <c r="C175" s="93" t="str">
        <f t="shared" si="45"/>
        <v>DIO1</v>
      </c>
      <c r="D175" s="94">
        <f t="shared" si="41"/>
        <v>130</v>
      </c>
      <c r="E175" s="94">
        <v>2</v>
      </c>
      <c r="F175" s="94">
        <f t="shared" si="42"/>
        <v>1</v>
      </c>
      <c r="G175" s="94">
        <v>0</v>
      </c>
      <c r="H175" s="171">
        <f t="shared" si="49"/>
        <v>5</v>
      </c>
      <c r="I175" s="163">
        <f t="shared" si="47"/>
        <v>22</v>
      </c>
      <c r="J175" s="172"/>
      <c r="K175" s="124"/>
      <c r="L175" s="92" t="s">
        <v>21</v>
      </c>
      <c r="M175" s="92"/>
      <c r="N175" s="92">
        <v>4</v>
      </c>
      <c r="O175" s="92" t="s">
        <v>473</v>
      </c>
      <c r="P175" s="92" t="s">
        <v>320</v>
      </c>
      <c r="R175" s="92" t="s">
        <v>319</v>
      </c>
      <c r="S175" s="92" t="s">
        <v>18</v>
      </c>
      <c r="T175" s="92" t="s">
        <v>318</v>
      </c>
      <c r="U175" s="92" t="s">
        <v>473</v>
      </c>
      <c r="V175" s="12"/>
      <c r="W175" s="92" t="str">
        <f t="shared" si="43"/>
        <v>2.1\0.5:22</v>
      </c>
      <c r="X175" s="92" t="s">
        <v>472</v>
      </c>
      <c r="Y175" s="94" t="s">
        <v>4</v>
      </c>
      <c r="Z175" s="92"/>
      <c r="AA175" s="9"/>
      <c r="AH175" s="94" t="str">
        <f t="shared" si="48"/>
        <v>F5</v>
      </c>
      <c r="AI175" s="168" t="s">
        <v>165</v>
      </c>
      <c r="AJ175" s="168" t="s">
        <v>164</v>
      </c>
    </row>
    <row r="176" spans="1:36" x14ac:dyDescent="0.3">
      <c r="A176" s="102" t="str">
        <f t="shared" si="46"/>
        <v>BSR130</v>
      </c>
      <c r="B176" s="93" t="str">
        <f t="shared" si="50"/>
        <v>DX01</v>
      </c>
      <c r="C176" s="93" t="str">
        <f t="shared" si="45"/>
        <v>DIO1</v>
      </c>
      <c r="D176" s="94">
        <f t="shared" si="41"/>
        <v>130</v>
      </c>
      <c r="E176" s="94">
        <v>2</v>
      </c>
      <c r="F176" s="94">
        <f t="shared" si="42"/>
        <v>1</v>
      </c>
      <c r="G176" s="94">
        <v>0</v>
      </c>
      <c r="H176" s="171">
        <f t="shared" si="49"/>
        <v>5</v>
      </c>
      <c r="I176" s="163">
        <f t="shared" si="47"/>
        <v>23</v>
      </c>
      <c r="J176" s="172"/>
      <c r="K176" s="124"/>
      <c r="L176" s="92" t="s">
        <v>21</v>
      </c>
      <c r="M176" s="92"/>
      <c r="N176" s="92">
        <v>4</v>
      </c>
      <c r="O176" s="92" t="s">
        <v>467</v>
      </c>
      <c r="P176" s="92" t="s">
        <v>320</v>
      </c>
      <c r="R176" s="92" t="s">
        <v>319</v>
      </c>
      <c r="S176" s="92" t="s">
        <v>18</v>
      </c>
      <c r="T176" s="92" t="s">
        <v>318</v>
      </c>
      <c r="U176" s="92" t="s">
        <v>467</v>
      </c>
      <c r="V176" s="12"/>
      <c r="W176" s="92" t="str">
        <f t="shared" si="43"/>
        <v>2.1\0.5:23</v>
      </c>
      <c r="X176" s="92" t="s">
        <v>471</v>
      </c>
      <c r="Y176" s="94" t="s">
        <v>4</v>
      </c>
      <c r="Z176" s="92"/>
      <c r="AA176" s="9"/>
      <c r="AH176" s="94" t="str">
        <f t="shared" si="48"/>
        <v>F5</v>
      </c>
      <c r="AI176" s="168" t="s">
        <v>163</v>
      </c>
      <c r="AJ176" s="168" t="s">
        <v>162</v>
      </c>
    </row>
    <row r="177" spans="1:36" x14ac:dyDescent="0.3">
      <c r="A177" s="102" t="str">
        <f t="shared" si="46"/>
        <v>BSR130</v>
      </c>
      <c r="B177" s="93" t="str">
        <f t="shared" si="50"/>
        <v>DX01</v>
      </c>
      <c r="C177" s="93" t="str">
        <f t="shared" si="45"/>
        <v>DIO1</v>
      </c>
      <c r="D177" s="94">
        <f t="shared" si="41"/>
        <v>130</v>
      </c>
      <c r="E177" s="94">
        <v>2</v>
      </c>
      <c r="F177" s="94">
        <f t="shared" si="42"/>
        <v>1</v>
      </c>
      <c r="G177" s="94">
        <v>0</v>
      </c>
      <c r="H177" s="171">
        <f t="shared" si="49"/>
        <v>5</v>
      </c>
      <c r="I177" s="163">
        <f t="shared" si="47"/>
        <v>24</v>
      </c>
      <c r="J177" s="172"/>
      <c r="K177" s="124"/>
      <c r="L177" s="92" t="s">
        <v>21</v>
      </c>
      <c r="M177" s="92"/>
      <c r="N177" s="92">
        <v>4</v>
      </c>
      <c r="O177" s="92" t="s">
        <v>466</v>
      </c>
      <c r="P177" s="92" t="s">
        <v>320</v>
      </c>
      <c r="R177" s="92" t="s">
        <v>319</v>
      </c>
      <c r="S177" s="92" t="s">
        <v>18</v>
      </c>
      <c r="T177" s="92" t="s">
        <v>318</v>
      </c>
      <c r="U177" s="92" t="s">
        <v>466</v>
      </c>
      <c r="V177" s="12"/>
      <c r="W177" s="92" t="str">
        <f t="shared" si="43"/>
        <v>2.1\0.5:24</v>
      </c>
      <c r="X177" s="92" t="s">
        <v>465</v>
      </c>
      <c r="Y177" s="94" t="s">
        <v>4</v>
      </c>
      <c r="Z177" s="92"/>
      <c r="AA177" s="9"/>
      <c r="AH177" s="94" t="str">
        <f t="shared" si="48"/>
        <v>F5</v>
      </c>
      <c r="AI177" s="168" t="s">
        <v>159</v>
      </c>
      <c r="AJ177" s="168" t="s">
        <v>158</v>
      </c>
    </row>
    <row r="178" spans="1:36" x14ac:dyDescent="0.3">
      <c r="A178" s="102" t="str">
        <f t="shared" si="46"/>
        <v>BSR130</v>
      </c>
      <c r="B178" s="93" t="str">
        <f t="shared" si="50"/>
        <v>DX01</v>
      </c>
      <c r="C178" s="93" t="str">
        <f t="shared" si="45"/>
        <v>DIO1</v>
      </c>
      <c r="D178" s="94">
        <f t="shared" si="41"/>
        <v>130</v>
      </c>
      <c r="E178" s="94">
        <v>2</v>
      </c>
      <c r="F178" s="94">
        <f t="shared" si="42"/>
        <v>1</v>
      </c>
      <c r="G178" s="94">
        <v>0</v>
      </c>
      <c r="H178" s="171">
        <f t="shared" si="49"/>
        <v>5</v>
      </c>
      <c r="I178" s="163">
        <f t="shared" si="47"/>
        <v>25</v>
      </c>
      <c r="J178" s="172"/>
      <c r="K178" s="124"/>
      <c r="L178" s="92" t="s">
        <v>21</v>
      </c>
      <c r="M178" s="92"/>
      <c r="N178" s="92"/>
      <c r="O178" s="139"/>
      <c r="R178" s="92" t="s">
        <v>302</v>
      </c>
      <c r="S178" s="92" t="s">
        <v>302</v>
      </c>
      <c r="T178" s="12"/>
      <c r="V178" s="37"/>
      <c r="W178" s="92" t="str">
        <f t="shared" si="43"/>
        <v>2.1\0.5:25</v>
      </c>
      <c r="X178" s="92"/>
      <c r="Y178" s="94"/>
      <c r="Z178" s="92"/>
      <c r="AA178" s="9"/>
      <c r="AH178" s="94" t="str">
        <f t="shared" si="48"/>
        <v>F5</v>
      </c>
      <c r="AI178" s="168" t="s">
        <v>157</v>
      </c>
      <c r="AJ178" s="168" t="s">
        <v>156</v>
      </c>
    </row>
    <row r="179" spans="1:36" x14ac:dyDescent="0.3">
      <c r="A179" s="102" t="str">
        <f t="shared" si="46"/>
        <v>BSR130</v>
      </c>
      <c r="B179" s="93" t="str">
        <f t="shared" si="50"/>
        <v>DX01</v>
      </c>
      <c r="C179" s="93" t="str">
        <f t="shared" si="45"/>
        <v>DIO1</v>
      </c>
      <c r="D179" s="94">
        <f t="shared" si="41"/>
        <v>130</v>
      </c>
      <c r="E179" s="94">
        <v>2</v>
      </c>
      <c r="F179" s="94">
        <f t="shared" si="42"/>
        <v>1</v>
      </c>
      <c r="G179" s="94">
        <v>0</v>
      </c>
      <c r="H179" s="171">
        <f t="shared" si="49"/>
        <v>5</v>
      </c>
      <c r="I179" s="163">
        <f t="shared" si="47"/>
        <v>26</v>
      </c>
      <c r="J179" s="172"/>
      <c r="K179" s="124"/>
      <c r="L179" s="92" t="s">
        <v>21</v>
      </c>
      <c r="M179" s="92"/>
      <c r="N179" s="92"/>
      <c r="O179" s="139"/>
      <c r="R179" s="92" t="s">
        <v>302</v>
      </c>
      <c r="S179" s="92" t="s">
        <v>302</v>
      </c>
      <c r="T179" s="12"/>
      <c r="W179" s="92" t="str">
        <f t="shared" si="43"/>
        <v>2.1\0.5:26</v>
      </c>
      <c r="X179" s="92"/>
      <c r="Y179" s="94"/>
      <c r="Z179" s="92"/>
      <c r="AA179" s="9"/>
      <c r="AH179" s="94" t="str">
        <f t="shared" si="48"/>
        <v>F5</v>
      </c>
      <c r="AI179" s="168" t="s">
        <v>154</v>
      </c>
      <c r="AJ179" s="168" t="s">
        <v>153</v>
      </c>
    </row>
    <row r="180" spans="1:36" x14ac:dyDescent="0.3">
      <c r="A180" s="102" t="str">
        <f t="shared" si="46"/>
        <v>BSR130</v>
      </c>
      <c r="B180" s="93" t="str">
        <f t="shared" si="50"/>
        <v>DX01</v>
      </c>
      <c r="C180" s="93" t="str">
        <f t="shared" si="45"/>
        <v>DIO1</v>
      </c>
      <c r="D180" s="94">
        <f t="shared" si="41"/>
        <v>130</v>
      </c>
      <c r="E180" s="94">
        <v>2</v>
      </c>
      <c r="F180" s="94">
        <f t="shared" si="42"/>
        <v>1</v>
      </c>
      <c r="G180" s="94">
        <v>0</v>
      </c>
      <c r="H180" s="171">
        <f t="shared" si="49"/>
        <v>5</v>
      </c>
      <c r="I180" s="163">
        <f t="shared" si="47"/>
        <v>27</v>
      </c>
      <c r="J180" s="172"/>
      <c r="K180" s="124"/>
      <c r="L180" s="92" t="s">
        <v>21</v>
      </c>
      <c r="M180" s="92"/>
      <c r="N180" s="92"/>
      <c r="O180" s="139"/>
      <c r="R180" s="92" t="s">
        <v>302</v>
      </c>
      <c r="S180" s="92" t="s">
        <v>302</v>
      </c>
      <c r="T180" s="13"/>
      <c r="W180" s="92" t="str">
        <f t="shared" si="43"/>
        <v>2.1\0.5:27</v>
      </c>
      <c r="X180" s="92"/>
      <c r="Y180" s="94"/>
      <c r="Z180" s="92"/>
      <c r="AA180" s="9"/>
      <c r="AH180" s="94" t="str">
        <f t="shared" si="48"/>
        <v>F5</v>
      </c>
      <c r="AI180" s="168" t="s">
        <v>152</v>
      </c>
      <c r="AJ180" s="168" t="s">
        <v>151</v>
      </c>
    </row>
    <row r="181" spans="1:36" x14ac:dyDescent="0.3">
      <c r="A181" s="102" t="str">
        <f t="shared" si="46"/>
        <v>BSR130</v>
      </c>
      <c r="B181" s="93" t="str">
        <f t="shared" si="50"/>
        <v>DX01</v>
      </c>
      <c r="C181" s="93" t="str">
        <f t="shared" si="45"/>
        <v>DIO1</v>
      </c>
      <c r="D181" s="94">
        <f t="shared" si="41"/>
        <v>130</v>
      </c>
      <c r="E181" s="94">
        <v>2</v>
      </c>
      <c r="F181" s="94">
        <f t="shared" si="42"/>
        <v>1</v>
      </c>
      <c r="G181" s="94">
        <v>0</v>
      </c>
      <c r="H181" s="171">
        <f t="shared" si="49"/>
        <v>5</v>
      </c>
      <c r="I181" s="163">
        <f t="shared" si="47"/>
        <v>28</v>
      </c>
      <c r="J181" s="172"/>
      <c r="K181" s="124"/>
      <c r="L181" s="92" t="s">
        <v>21</v>
      </c>
      <c r="M181" s="92"/>
      <c r="N181" s="92"/>
      <c r="O181" s="139"/>
      <c r="R181" s="92" t="s">
        <v>302</v>
      </c>
      <c r="S181" s="92" t="s">
        <v>302</v>
      </c>
      <c r="T181" s="12"/>
      <c r="W181" s="92" t="str">
        <f t="shared" si="43"/>
        <v>2.1\0.5:28</v>
      </c>
      <c r="X181" s="92"/>
      <c r="Y181" s="94"/>
      <c r="Z181" s="92"/>
      <c r="AA181" s="9"/>
      <c r="AH181" s="94" t="str">
        <f t="shared" si="48"/>
        <v>F5</v>
      </c>
      <c r="AI181" s="168" t="s">
        <v>148</v>
      </c>
      <c r="AJ181" s="168" t="s">
        <v>147</v>
      </c>
    </row>
    <row r="182" spans="1:36" x14ac:dyDescent="0.3">
      <c r="A182" s="102" t="str">
        <f t="shared" si="46"/>
        <v>BSR130</v>
      </c>
      <c r="B182" s="93" t="str">
        <f t="shared" si="50"/>
        <v>DX01</v>
      </c>
      <c r="C182" s="93" t="str">
        <f t="shared" si="45"/>
        <v>DIO1</v>
      </c>
      <c r="D182" s="94">
        <f t="shared" si="41"/>
        <v>130</v>
      </c>
      <c r="E182" s="94">
        <v>2</v>
      </c>
      <c r="F182" s="94">
        <f t="shared" si="42"/>
        <v>1</v>
      </c>
      <c r="G182" s="94">
        <v>0</v>
      </c>
      <c r="H182" s="171">
        <f t="shared" si="49"/>
        <v>5</v>
      </c>
      <c r="I182" s="163">
        <f t="shared" si="47"/>
        <v>29</v>
      </c>
      <c r="J182" s="172"/>
      <c r="K182" s="124"/>
      <c r="L182" s="92" t="s">
        <v>21</v>
      </c>
      <c r="M182" s="92"/>
      <c r="N182" s="92">
        <v>4</v>
      </c>
      <c r="O182" s="92" t="s">
        <v>574</v>
      </c>
      <c r="P182" s="92" t="s">
        <v>320</v>
      </c>
      <c r="R182" s="92" t="s">
        <v>319</v>
      </c>
      <c r="S182" s="92" t="s">
        <v>18</v>
      </c>
      <c r="T182" s="12" t="s">
        <v>318</v>
      </c>
      <c r="U182" s="92" t="s">
        <v>574</v>
      </c>
      <c r="V182" s="93"/>
      <c r="W182" s="92" t="str">
        <f t="shared" si="43"/>
        <v>2.1\0.5:29</v>
      </c>
      <c r="X182" s="92" t="s">
        <v>573</v>
      </c>
      <c r="Y182" s="94" t="s">
        <v>4</v>
      </c>
      <c r="Z182" s="92"/>
      <c r="AA182" s="9"/>
      <c r="AH182" s="94" t="str">
        <f t="shared" si="48"/>
        <v>F5</v>
      </c>
      <c r="AI182" s="168" t="s">
        <v>146</v>
      </c>
      <c r="AJ182" s="168" t="s">
        <v>145</v>
      </c>
    </row>
    <row r="183" spans="1:36" x14ac:dyDescent="0.3">
      <c r="A183" s="102" t="str">
        <f t="shared" si="46"/>
        <v>BSR130</v>
      </c>
      <c r="B183" s="93" t="str">
        <f t="shared" si="50"/>
        <v>DX01</v>
      </c>
      <c r="C183" s="93" t="str">
        <f t="shared" si="45"/>
        <v>DIO1</v>
      </c>
      <c r="D183" s="94">
        <f t="shared" si="41"/>
        <v>130</v>
      </c>
      <c r="E183" s="94">
        <v>2</v>
      </c>
      <c r="F183" s="94">
        <f t="shared" si="42"/>
        <v>1</v>
      </c>
      <c r="G183" s="94">
        <v>0</v>
      </c>
      <c r="H183" s="171">
        <f t="shared" si="49"/>
        <v>5</v>
      </c>
      <c r="I183" s="163">
        <f t="shared" si="47"/>
        <v>30</v>
      </c>
      <c r="J183" s="172"/>
      <c r="K183" s="124"/>
      <c r="L183" s="92" t="s">
        <v>21</v>
      </c>
      <c r="M183" s="92"/>
      <c r="N183" s="92">
        <v>4</v>
      </c>
      <c r="O183" s="92" t="s">
        <v>574</v>
      </c>
      <c r="P183" s="92" t="s">
        <v>72</v>
      </c>
      <c r="R183" s="92" t="s">
        <v>378</v>
      </c>
      <c r="S183" s="92" t="s">
        <v>24</v>
      </c>
      <c r="T183" s="92" t="s">
        <v>38</v>
      </c>
      <c r="U183" s="92" t="s">
        <v>574</v>
      </c>
      <c r="V183" s="93"/>
      <c r="W183" s="92" t="str">
        <f t="shared" si="43"/>
        <v>2.1\0.5:30</v>
      </c>
      <c r="X183" s="92" t="s">
        <v>573</v>
      </c>
      <c r="Y183" s="94" t="s">
        <v>4</v>
      </c>
      <c r="Z183" s="92"/>
      <c r="AA183" s="9"/>
      <c r="AH183" s="94" t="str">
        <f t="shared" si="48"/>
        <v>F5</v>
      </c>
      <c r="AI183" s="168" t="s">
        <v>142</v>
      </c>
      <c r="AJ183" s="168" t="s">
        <v>141</v>
      </c>
    </row>
    <row r="184" spans="1:36" ht="13.5" thickBot="1" x14ac:dyDescent="0.35">
      <c r="A184" s="102" t="str">
        <f t="shared" si="46"/>
        <v>BSR130</v>
      </c>
      <c r="B184" s="93" t="str">
        <f t="shared" si="50"/>
        <v>DX01</v>
      </c>
      <c r="C184" s="93" t="str">
        <f t="shared" si="45"/>
        <v>DIO1</v>
      </c>
      <c r="D184" s="94">
        <f t="shared" si="41"/>
        <v>130</v>
      </c>
      <c r="E184" s="94">
        <v>2</v>
      </c>
      <c r="F184" s="94">
        <f t="shared" si="42"/>
        <v>1</v>
      </c>
      <c r="G184" s="94">
        <v>0</v>
      </c>
      <c r="H184" s="171">
        <f t="shared" si="49"/>
        <v>5</v>
      </c>
      <c r="I184" s="170">
        <f t="shared" si="47"/>
        <v>31</v>
      </c>
      <c r="J184" s="169"/>
      <c r="K184" s="124"/>
      <c r="L184" s="92" t="s">
        <v>21</v>
      </c>
      <c r="M184" s="92"/>
      <c r="N184" s="92">
        <v>4</v>
      </c>
      <c r="O184" s="92" t="s">
        <v>574</v>
      </c>
      <c r="P184" s="92" t="s">
        <v>41</v>
      </c>
      <c r="R184" s="92" t="s">
        <v>378</v>
      </c>
      <c r="S184" s="92" t="s">
        <v>67</v>
      </c>
      <c r="T184" s="92" t="s">
        <v>38</v>
      </c>
      <c r="U184" s="92" t="s">
        <v>574</v>
      </c>
      <c r="V184" s="93"/>
      <c r="W184" s="92" t="str">
        <f t="shared" si="43"/>
        <v>2.1\0.5:31</v>
      </c>
      <c r="X184" s="92" t="s">
        <v>573</v>
      </c>
      <c r="Y184" s="94" t="s">
        <v>4</v>
      </c>
      <c r="Z184" s="92"/>
      <c r="AA184" s="9"/>
      <c r="AH184" s="94" t="str">
        <f t="shared" si="48"/>
        <v>F5</v>
      </c>
      <c r="AI184" s="168" t="s">
        <v>140</v>
      </c>
      <c r="AJ184" s="168" t="s">
        <v>139</v>
      </c>
    </row>
    <row r="185" spans="1:36" x14ac:dyDescent="0.3">
      <c r="A185" s="158" t="s">
        <v>291</v>
      </c>
      <c r="B185" s="93" t="str">
        <f t="shared" ref="B185:B190" si="51">+B170</f>
        <v>DX01</v>
      </c>
      <c r="C185" s="93" t="str">
        <f t="shared" ref="C185:C216" si="52">+C184</f>
        <v>DIO1</v>
      </c>
      <c r="D185" s="94">
        <f t="shared" si="41"/>
        <v>130</v>
      </c>
      <c r="E185" s="94">
        <v>2</v>
      </c>
      <c r="F185" s="94">
        <v>1</v>
      </c>
      <c r="G185" s="94">
        <v>0</v>
      </c>
      <c r="H185" s="173">
        <v>6</v>
      </c>
      <c r="I185" s="165">
        <v>0</v>
      </c>
      <c r="J185" s="172" t="s">
        <v>316</v>
      </c>
      <c r="K185" s="93" t="s">
        <v>315</v>
      </c>
      <c r="L185" s="92" t="s">
        <v>21</v>
      </c>
      <c r="M185" s="92"/>
      <c r="N185" s="92">
        <v>4</v>
      </c>
      <c r="O185" s="92" t="s">
        <v>565</v>
      </c>
      <c r="P185" s="12" t="s">
        <v>320</v>
      </c>
      <c r="Q185" s="12"/>
      <c r="R185" s="12" t="s">
        <v>572</v>
      </c>
      <c r="S185" s="12" t="s">
        <v>18</v>
      </c>
      <c r="T185" s="92" t="s">
        <v>372</v>
      </c>
      <c r="U185" s="12" t="s">
        <v>565</v>
      </c>
      <c r="W185" s="92" t="str">
        <f t="shared" si="43"/>
        <v>2.1\0.6:0</v>
      </c>
      <c r="X185" s="92" t="s">
        <v>463</v>
      </c>
      <c r="Y185" s="94" t="s">
        <v>4</v>
      </c>
      <c r="Z185" s="277" t="s">
        <v>571</v>
      </c>
      <c r="AA185" s="9"/>
      <c r="AH185" s="94" t="s">
        <v>570</v>
      </c>
      <c r="AI185" s="168" t="s">
        <v>225</v>
      </c>
      <c r="AJ185" s="168" t="s">
        <v>224</v>
      </c>
    </row>
    <row r="186" spans="1:36" x14ac:dyDescent="0.3">
      <c r="A186" s="102" t="str">
        <f t="shared" ref="A186:A216" si="53">A185</f>
        <v>BSR130</v>
      </c>
      <c r="B186" s="93" t="str">
        <f t="shared" si="51"/>
        <v>DX01</v>
      </c>
      <c r="C186" s="93" t="str">
        <f t="shared" si="52"/>
        <v>DIO1</v>
      </c>
      <c r="D186" s="94">
        <f t="shared" si="41"/>
        <v>130</v>
      </c>
      <c r="E186" s="94">
        <v>2</v>
      </c>
      <c r="F186" s="94">
        <f t="shared" ref="F186:F216" si="54">+F185</f>
        <v>1</v>
      </c>
      <c r="G186" s="94">
        <v>0</v>
      </c>
      <c r="H186" s="171">
        <f>H185</f>
        <v>6</v>
      </c>
      <c r="I186" s="163">
        <f t="shared" ref="I186:I216" si="55">+I185+1</f>
        <v>1</v>
      </c>
      <c r="J186" s="172"/>
      <c r="K186" s="92"/>
      <c r="L186" s="92" t="s">
        <v>21</v>
      </c>
      <c r="M186" s="92"/>
      <c r="N186" s="92">
        <v>4</v>
      </c>
      <c r="O186" s="111" t="s">
        <v>565</v>
      </c>
      <c r="P186" s="68" t="s">
        <v>41</v>
      </c>
      <c r="Q186" s="68"/>
      <c r="R186" s="68" t="s">
        <v>370</v>
      </c>
      <c r="S186" s="68" t="s">
        <v>369</v>
      </c>
      <c r="T186" s="111" t="s">
        <v>368</v>
      </c>
      <c r="U186" s="68" t="s">
        <v>565</v>
      </c>
      <c r="V186" s="111"/>
      <c r="W186" s="92" t="str">
        <f t="shared" si="43"/>
        <v>2.1\0.6:1</v>
      </c>
      <c r="X186" s="111" t="s">
        <v>463</v>
      </c>
      <c r="Y186" s="112"/>
      <c r="Z186" s="276"/>
      <c r="AA186" s="9"/>
      <c r="AH186" s="94" t="str">
        <f t="shared" ref="AH186:AH216" si="56">+AH185</f>
        <v>F6</v>
      </c>
      <c r="AI186" s="168" t="s">
        <v>223</v>
      </c>
      <c r="AJ186" s="168" t="s">
        <v>536</v>
      </c>
    </row>
    <row r="187" spans="1:36" x14ac:dyDescent="0.3">
      <c r="A187" s="102" t="str">
        <f t="shared" si="53"/>
        <v>BSR130</v>
      </c>
      <c r="B187" s="93" t="str">
        <f t="shared" si="51"/>
        <v>DX01</v>
      </c>
      <c r="C187" s="93" t="str">
        <f t="shared" si="52"/>
        <v>DIO1</v>
      </c>
      <c r="D187" s="94">
        <f t="shared" si="41"/>
        <v>130</v>
      </c>
      <c r="E187" s="94">
        <v>2</v>
      </c>
      <c r="F187" s="94">
        <f t="shared" si="54"/>
        <v>1</v>
      </c>
      <c r="G187" s="94">
        <v>0</v>
      </c>
      <c r="H187" s="171">
        <f t="shared" ref="H187:H216" si="57">+H186</f>
        <v>6</v>
      </c>
      <c r="I187" s="163">
        <f t="shared" si="55"/>
        <v>2</v>
      </c>
      <c r="J187" s="172"/>
      <c r="K187" s="124"/>
      <c r="L187" s="92" t="s">
        <v>21</v>
      </c>
      <c r="M187" s="92"/>
      <c r="N187" s="92">
        <v>4</v>
      </c>
      <c r="O187" s="92" t="s">
        <v>565</v>
      </c>
      <c r="P187" s="92" t="s">
        <v>367</v>
      </c>
      <c r="R187" s="92" t="s">
        <v>569</v>
      </c>
      <c r="S187" s="12" t="s">
        <v>18</v>
      </c>
      <c r="T187" s="92" t="s">
        <v>365</v>
      </c>
      <c r="U187" s="12" t="s">
        <v>565</v>
      </c>
      <c r="V187" s="93"/>
      <c r="W187" s="92" t="str">
        <f t="shared" si="43"/>
        <v>2.1\0.6:2</v>
      </c>
      <c r="X187" s="92" t="s">
        <v>463</v>
      </c>
      <c r="Y187" s="94" t="s">
        <v>4</v>
      </c>
      <c r="Z187" s="276"/>
      <c r="AA187" s="9"/>
      <c r="AH187" s="94" t="str">
        <f t="shared" si="56"/>
        <v>F6</v>
      </c>
      <c r="AI187" s="168" t="s">
        <v>533</v>
      </c>
      <c r="AJ187" s="168" t="s">
        <v>532</v>
      </c>
    </row>
    <row r="188" spans="1:36" x14ac:dyDescent="0.3">
      <c r="A188" s="102" t="str">
        <f t="shared" si="53"/>
        <v>BSR130</v>
      </c>
      <c r="B188" s="93" t="str">
        <f t="shared" si="51"/>
        <v>DX01</v>
      </c>
      <c r="C188" s="93" t="str">
        <f t="shared" si="52"/>
        <v>DIO1</v>
      </c>
      <c r="D188" s="94">
        <f t="shared" si="41"/>
        <v>130</v>
      </c>
      <c r="E188" s="94">
        <v>2</v>
      </c>
      <c r="F188" s="94">
        <f t="shared" si="54"/>
        <v>1</v>
      </c>
      <c r="G188" s="94">
        <v>0</v>
      </c>
      <c r="H188" s="171">
        <f t="shared" si="57"/>
        <v>6</v>
      </c>
      <c r="I188" s="163">
        <f t="shared" si="55"/>
        <v>3</v>
      </c>
      <c r="J188" s="172"/>
      <c r="K188" s="124"/>
      <c r="L188" s="92" t="s">
        <v>21</v>
      </c>
      <c r="M188" s="92"/>
      <c r="N188" s="92">
        <v>4</v>
      </c>
      <c r="O188" s="92" t="s">
        <v>565</v>
      </c>
      <c r="P188" s="92" t="s">
        <v>364</v>
      </c>
      <c r="R188" s="105" t="s">
        <v>568</v>
      </c>
      <c r="S188" s="92" t="s">
        <v>18</v>
      </c>
      <c r="T188" s="92" t="s">
        <v>362</v>
      </c>
      <c r="U188" s="12" t="s">
        <v>565</v>
      </c>
      <c r="V188" s="93"/>
      <c r="W188" s="92" t="str">
        <f t="shared" si="43"/>
        <v>2.1\0.6:3</v>
      </c>
      <c r="X188" s="92" t="s">
        <v>463</v>
      </c>
      <c r="Y188" s="94" t="s">
        <v>4</v>
      </c>
      <c r="Z188" s="276"/>
      <c r="AA188" s="9"/>
      <c r="AH188" s="94" t="str">
        <f t="shared" si="56"/>
        <v>F6</v>
      </c>
      <c r="AI188" s="168" t="s">
        <v>531</v>
      </c>
      <c r="AJ188" s="168" t="s">
        <v>530</v>
      </c>
    </row>
    <row r="189" spans="1:36" x14ac:dyDescent="0.3">
      <c r="A189" s="102" t="str">
        <f t="shared" si="53"/>
        <v>BSR130</v>
      </c>
      <c r="B189" s="93" t="str">
        <f t="shared" si="51"/>
        <v>DX01</v>
      </c>
      <c r="C189" s="93" t="str">
        <f t="shared" si="52"/>
        <v>DIO1</v>
      </c>
      <c r="D189" s="94">
        <f t="shared" si="41"/>
        <v>130</v>
      </c>
      <c r="E189" s="94">
        <v>2</v>
      </c>
      <c r="F189" s="94">
        <f t="shared" si="54"/>
        <v>1</v>
      </c>
      <c r="G189" s="94">
        <v>0</v>
      </c>
      <c r="H189" s="171">
        <f t="shared" si="57"/>
        <v>6</v>
      </c>
      <c r="I189" s="163">
        <f t="shared" si="55"/>
        <v>4</v>
      </c>
      <c r="J189" s="172"/>
      <c r="K189" s="124"/>
      <c r="L189" s="92" t="s">
        <v>21</v>
      </c>
      <c r="M189" s="92"/>
      <c r="N189" s="92">
        <v>4</v>
      </c>
      <c r="O189" s="92" t="s">
        <v>565</v>
      </c>
      <c r="P189" s="92" t="s">
        <v>361</v>
      </c>
      <c r="R189" s="92" t="s">
        <v>567</v>
      </c>
      <c r="S189" s="92" t="s">
        <v>18</v>
      </c>
      <c r="T189" s="92" t="s">
        <v>359</v>
      </c>
      <c r="U189" s="12" t="s">
        <v>565</v>
      </c>
      <c r="V189" s="93"/>
      <c r="W189" s="92" t="str">
        <f t="shared" si="43"/>
        <v>2.1\0.6:4</v>
      </c>
      <c r="X189" s="92" t="s">
        <v>463</v>
      </c>
      <c r="Y189" s="94" t="s">
        <v>4</v>
      </c>
      <c r="Z189" s="276"/>
      <c r="AA189" s="9"/>
      <c r="AH189" s="94" t="str">
        <f t="shared" si="56"/>
        <v>F6</v>
      </c>
      <c r="AI189" s="168" t="s">
        <v>215</v>
      </c>
      <c r="AJ189" s="168" t="s">
        <v>214</v>
      </c>
    </row>
    <row r="190" spans="1:36" x14ac:dyDescent="0.3">
      <c r="A190" s="102" t="str">
        <f t="shared" si="53"/>
        <v>BSR130</v>
      </c>
      <c r="B190" s="93" t="str">
        <f t="shared" si="51"/>
        <v>DX01</v>
      </c>
      <c r="C190" s="93" t="str">
        <f t="shared" si="52"/>
        <v>DIO1</v>
      </c>
      <c r="D190" s="94">
        <f t="shared" si="41"/>
        <v>130</v>
      </c>
      <c r="E190" s="94">
        <v>2</v>
      </c>
      <c r="F190" s="94">
        <f t="shared" si="54"/>
        <v>1</v>
      </c>
      <c r="G190" s="94">
        <v>0</v>
      </c>
      <c r="H190" s="171">
        <f t="shared" si="57"/>
        <v>6</v>
      </c>
      <c r="I190" s="163">
        <f t="shared" si="55"/>
        <v>5</v>
      </c>
      <c r="J190" s="172"/>
      <c r="K190" s="124"/>
      <c r="L190" s="92" t="s">
        <v>21</v>
      </c>
      <c r="M190" s="92"/>
      <c r="N190" s="92">
        <v>4</v>
      </c>
      <c r="O190" s="92" t="s">
        <v>565</v>
      </c>
      <c r="P190" s="92" t="s">
        <v>358</v>
      </c>
      <c r="R190" s="92" t="s">
        <v>566</v>
      </c>
      <c r="S190" s="92" t="s">
        <v>18</v>
      </c>
      <c r="T190" s="92" t="s">
        <v>356</v>
      </c>
      <c r="U190" s="12" t="s">
        <v>565</v>
      </c>
      <c r="V190" s="93"/>
      <c r="W190" s="92" t="str">
        <f t="shared" si="43"/>
        <v>2.1\0.6:5</v>
      </c>
      <c r="X190" s="92" t="s">
        <v>463</v>
      </c>
      <c r="Y190" s="94" t="s">
        <v>4</v>
      </c>
      <c r="Z190" s="276"/>
      <c r="AA190" s="9"/>
      <c r="AH190" s="94" t="str">
        <f t="shared" si="56"/>
        <v>F6</v>
      </c>
      <c r="AI190" s="168" t="s">
        <v>213</v>
      </c>
      <c r="AJ190" s="168" t="s">
        <v>528</v>
      </c>
    </row>
    <row r="191" spans="1:36" x14ac:dyDescent="0.3">
      <c r="A191" s="102" t="str">
        <f t="shared" si="53"/>
        <v>BSR130</v>
      </c>
      <c r="B191" s="93" t="str">
        <f t="shared" ref="B191:B216" si="58">+B190</f>
        <v>DX01</v>
      </c>
      <c r="C191" s="93" t="str">
        <f t="shared" si="52"/>
        <v>DIO1</v>
      </c>
      <c r="D191" s="94">
        <f t="shared" si="41"/>
        <v>130</v>
      </c>
      <c r="E191" s="94">
        <v>2</v>
      </c>
      <c r="F191" s="94">
        <f t="shared" si="54"/>
        <v>1</v>
      </c>
      <c r="G191" s="94">
        <v>0</v>
      </c>
      <c r="H191" s="171">
        <f t="shared" si="57"/>
        <v>6</v>
      </c>
      <c r="I191" s="163">
        <f t="shared" si="55"/>
        <v>6</v>
      </c>
      <c r="J191" s="172"/>
      <c r="K191" s="124"/>
      <c r="L191" s="92" t="s">
        <v>21</v>
      </c>
      <c r="M191" s="92"/>
      <c r="N191" s="92"/>
      <c r="O191" s="139"/>
      <c r="R191" s="92" t="s">
        <v>302</v>
      </c>
      <c r="S191" s="92" t="s">
        <v>302</v>
      </c>
      <c r="U191" s="12"/>
      <c r="V191" s="93"/>
      <c r="W191" s="92" t="str">
        <f t="shared" si="43"/>
        <v>2.1\0.6:6</v>
      </c>
      <c r="X191" s="92"/>
      <c r="Y191" s="94"/>
      <c r="Z191" s="278" t="s">
        <v>564</v>
      </c>
      <c r="AA191" s="9"/>
      <c r="AH191" s="94" t="str">
        <f t="shared" si="56"/>
        <v>F6</v>
      </c>
      <c r="AI191" s="168" t="s">
        <v>211</v>
      </c>
      <c r="AJ191" s="168" t="s">
        <v>210</v>
      </c>
    </row>
    <row r="192" spans="1:36" x14ac:dyDescent="0.3">
      <c r="A192" s="102" t="str">
        <f t="shared" si="53"/>
        <v>BSR130</v>
      </c>
      <c r="B192" s="93" t="str">
        <f t="shared" si="58"/>
        <v>DX01</v>
      </c>
      <c r="C192" s="93" t="str">
        <f t="shared" si="52"/>
        <v>DIO1</v>
      </c>
      <c r="D192" s="94">
        <f t="shared" si="41"/>
        <v>130</v>
      </c>
      <c r="E192" s="94">
        <v>2</v>
      </c>
      <c r="F192" s="94">
        <f t="shared" si="54"/>
        <v>1</v>
      </c>
      <c r="G192" s="94">
        <v>0</v>
      </c>
      <c r="H192" s="171">
        <f t="shared" si="57"/>
        <v>6</v>
      </c>
      <c r="I192" s="163">
        <f t="shared" si="55"/>
        <v>7</v>
      </c>
      <c r="J192" s="172"/>
      <c r="K192" s="124"/>
      <c r="L192" s="92" t="s">
        <v>21</v>
      </c>
      <c r="M192" s="92"/>
      <c r="N192" s="92"/>
      <c r="O192" s="139"/>
      <c r="R192" s="92" t="s">
        <v>302</v>
      </c>
      <c r="S192" s="92" t="s">
        <v>302</v>
      </c>
      <c r="U192" s="12"/>
      <c r="V192" s="93"/>
      <c r="W192" s="92" t="str">
        <f t="shared" si="43"/>
        <v>2.1\0.6:7</v>
      </c>
      <c r="X192" s="92"/>
      <c r="Y192" s="94"/>
      <c r="Z192" s="278"/>
      <c r="AA192" s="9"/>
      <c r="AH192" s="94" t="str">
        <f t="shared" si="56"/>
        <v>F6</v>
      </c>
      <c r="AI192" s="168" t="s">
        <v>209</v>
      </c>
      <c r="AJ192" s="168" t="s">
        <v>208</v>
      </c>
    </row>
    <row r="193" spans="1:36" x14ac:dyDescent="0.3">
      <c r="A193" s="102" t="str">
        <f t="shared" si="53"/>
        <v>BSR130</v>
      </c>
      <c r="B193" s="93" t="str">
        <f t="shared" si="58"/>
        <v>DX01</v>
      </c>
      <c r="C193" s="93" t="str">
        <f t="shared" si="52"/>
        <v>DIO1</v>
      </c>
      <c r="D193" s="94">
        <f t="shared" si="41"/>
        <v>130</v>
      </c>
      <c r="E193" s="94">
        <v>2</v>
      </c>
      <c r="F193" s="94">
        <f t="shared" si="54"/>
        <v>1</v>
      </c>
      <c r="G193" s="94">
        <v>0</v>
      </c>
      <c r="H193" s="171">
        <f t="shared" si="57"/>
        <v>6</v>
      </c>
      <c r="I193" s="163">
        <f t="shared" si="55"/>
        <v>8</v>
      </c>
      <c r="J193" s="172"/>
      <c r="K193" s="124"/>
      <c r="L193" s="92" t="s">
        <v>21</v>
      </c>
      <c r="M193" s="92"/>
      <c r="N193" s="92"/>
      <c r="O193" s="139"/>
      <c r="R193" s="92" t="s">
        <v>302</v>
      </c>
      <c r="S193" s="92" t="s">
        <v>302</v>
      </c>
      <c r="U193" s="12"/>
      <c r="V193" s="93"/>
      <c r="W193" s="92" t="str">
        <f t="shared" si="43"/>
        <v>2.1\0.6:8</v>
      </c>
      <c r="X193" s="92"/>
      <c r="Y193" s="94"/>
      <c r="Z193" s="92"/>
      <c r="AA193" s="9"/>
      <c r="AH193" s="94" t="str">
        <f t="shared" si="56"/>
        <v>F6</v>
      </c>
      <c r="AI193" s="168" t="s">
        <v>206</v>
      </c>
      <c r="AJ193" s="168" t="s">
        <v>205</v>
      </c>
    </row>
    <row r="194" spans="1:36" x14ac:dyDescent="0.3">
      <c r="A194" s="102" t="str">
        <f t="shared" si="53"/>
        <v>BSR130</v>
      </c>
      <c r="B194" s="93" t="str">
        <f t="shared" si="58"/>
        <v>DX01</v>
      </c>
      <c r="C194" s="93" t="str">
        <f t="shared" si="52"/>
        <v>DIO1</v>
      </c>
      <c r="D194" s="94">
        <f t="shared" si="41"/>
        <v>130</v>
      </c>
      <c r="E194" s="94">
        <v>2</v>
      </c>
      <c r="F194" s="94">
        <f t="shared" si="54"/>
        <v>1</v>
      </c>
      <c r="G194" s="94">
        <v>0</v>
      </c>
      <c r="H194" s="171">
        <f t="shared" si="57"/>
        <v>6</v>
      </c>
      <c r="I194" s="163">
        <f t="shared" si="55"/>
        <v>9</v>
      </c>
      <c r="J194" s="172"/>
      <c r="K194" s="124"/>
      <c r="L194" s="92" t="s">
        <v>21</v>
      </c>
      <c r="M194" s="92"/>
      <c r="N194" s="92"/>
      <c r="O194" s="139"/>
      <c r="R194" s="92" t="s">
        <v>302</v>
      </c>
      <c r="S194" s="92" t="s">
        <v>302</v>
      </c>
      <c r="U194" s="12"/>
      <c r="V194" s="93"/>
      <c r="W194" s="92" t="str">
        <f t="shared" si="43"/>
        <v>2.1\0.6:9</v>
      </c>
      <c r="X194" s="92"/>
      <c r="Y194" s="94"/>
      <c r="Z194" s="92"/>
      <c r="AA194" s="9"/>
      <c r="AH194" s="94" t="str">
        <f t="shared" si="56"/>
        <v>F6</v>
      </c>
      <c r="AI194" s="168" t="s">
        <v>204</v>
      </c>
      <c r="AJ194" s="168" t="s">
        <v>203</v>
      </c>
    </row>
    <row r="195" spans="1:36" x14ac:dyDescent="0.3">
      <c r="A195" s="102" t="str">
        <f t="shared" si="53"/>
        <v>BSR130</v>
      </c>
      <c r="B195" s="93" t="str">
        <f t="shared" si="58"/>
        <v>DX01</v>
      </c>
      <c r="C195" s="93" t="str">
        <f t="shared" si="52"/>
        <v>DIO1</v>
      </c>
      <c r="D195" s="94">
        <f t="shared" si="41"/>
        <v>130</v>
      </c>
      <c r="E195" s="94">
        <v>2</v>
      </c>
      <c r="F195" s="94">
        <f t="shared" si="54"/>
        <v>1</v>
      </c>
      <c r="G195" s="94">
        <v>0</v>
      </c>
      <c r="H195" s="171">
        <f t="shared" si="57"/>
        <v>6</v>
      </c>
      <c r="I195" s="163">
        <f t="shared" si="55"/>
        <v>10</v>
      </c>
      <c r="J195" s="172"/>
      <c r="K195" s="124"/>
      <c r="L195" s="92" t="s">
        <v>21</v>
      </c>
      <c r="M195" s="92"/>
      <c r="N195" s="92">
        <v>4</v>
      </c>
      <c r="O195" s="92" t="s">
        <v>513</v>
      </c>
      <c r="P195" s="92" t="s">
        <v>61</v>
      </c>
      <c r="R195" s="95" t="s">
        <v>60</v>
      </c>
      <c r="S195" s="92" t="s">
        <v>18</v>
      </c>
      <c r="T195" s="92" t="s">
        <v>524</v>
      </c>
      <c r="U195" s="12" t="s">
        <v>513</v>
      </c>
      <c r="V195" s="93"/>
      <c r="W195" s="92" t="str">
        <f t="shared" si="43"/>
        <v>2.1\0.6:10</v>
      </c>
      <c r="X195" s="92" t="s">
        <v>562</v>
      </c>
      <c r="Y195" s="94">
        <v>0</v>
      </c>
      <c r="Z195" s="111" t="s">
        <v>561</v>
      </c>
      <c r="AA195" s="9"/>
      <c r="AH195" s="94" t="str">
        <f t="shared" si="56"/>
        <v>F6</v>
      </c>
      <c r="AI195" s="168" t="s">
        <v>199</v>
      </c>
      <c r="AJ195" s="168" t="s">
        <v>198</v>
      </c>
    </row>
    <row r="196" spans="1:36" x14ac:dyDescent="0.3">
      <c r="A196" s="102" t="str">
        <f t="shared" si="53"/>
        <v>BSR130</v>
      </c>
      <c r="B196" s="93" t="str">
        <f t="shared" si="58"/>
        <v>DX01</v>
      </c>
      <c r="C196" s="93" t="str">
        <f t="shared" si="52"/>
        <v>DIO1</v>
      </c>
      <c r="D196" s="94">
        <f t="shared" si="41"/>
        <v>130</v>
      </c>
      <c r="E196" s="94">
        <v>2</v>
      </c>
      <c r="F196" s="94">
        <f t="shared" si="54"/>
        <v>1</v>
      </c>
      <c r="G196" s="94">
        <v>0</v>
      </c>
      <c r="H196" s="171">
        <f t="shared" si="57"/>
        <v>6</v>
      </c>
      <c r="I196" s="163">
        <f t="shared" si="55"/>
        <v>11</v>
      </c>
      <c r="J196" s="172"/>
      <c r="K196" s="124"/>
      <c r="L196" s="92" t="s">
        <v>21</v>
      </c>
      <c r="M196" s="92"/>
      <c r="N196" s="92">
        <v>4</v>
      </c>
      <c r="O196" s="92" t="s">
        <v>563</v>
      </c>
      <c r="P196" s="12" t="s">
        <v>61</v>
      </c>
      <c r="Q196" s="12"/>
      <c r="R196" s="12" t="s">
        <v>60</v>
      </c>
      <c r="S196" s="12" t="s">
        <v>18</v>
      </c>
      <c r="T196" s="92" t="s">
        <v>518</v>
      </c>
      <c r="U196" s="12" t="s">
        <v>563</v>
      </c>
      <c r="V196" s="93"/>
      <c r="W196" s="92" t="str">
        <f t="shared" si="43"/>
        <v>2.1\0.6:11</v>
      </c>
      <c r="X196" s="92" t="s">
        <v>562</v>
      </c>
      <c r="Y196" s="94">
        <v>0</v>
      </c>
      <c r="Z196" s="111" t="s">
        <v>561</v>
      </c>
      <c r="AA196" s="9"/>
      <c r="AH196" s="94" t="str">
        <f t="shared" si="56"/>
        <v>F6</v>
      </c>
      <c r="AI196" s="168" t="s">
        <v>197</v>
      </c>
      <c r="AJ196" s="168" t="s">
        <v>196</v>
      </c>
    </row>
    <row r="197" spans="1:36" x14ac:dyDescent="0.3">
      <c r="A197" s="102" t="str">
        <f t="shared" si="53"/>
        <v>BSR130</v>
      </c>
      <c r="B197" s="93" t="str">
        <f t="shared" si="58"/>
        <v>DX01</v>
      </c>
      <c r="C197" s="93" t="str">
        <f t="shared" si="52"/>
        <v>DIO1</v>
      </c>
      <c r="D197" s="94">
        <f t="shared" si="41"/>
        <v>130</v>
      </c>
      <c r="E197" s="94">
        <v>2</v>
      </c>
      <c r="F197" s="94">
        <f t="shared" si="54"/>
        <v>1</v>
      </c>
      <c r="G197" s="94">
        <v>0</v>
      </c>
      <c r="H197" s="171">
        <f t="shared" si="57"/>
        <v>6</v>
      </c>
      <c r="I197" s="163">
        <f t="shared" si="55"/>
        <v>12</v>
      </c>
      <c r="J197" s="172"/>
      <c r="K197" s="124"/>
      <c r="L197" s="92" t="s">
        <v>21</v>
      </c>
      <c r="M197" s="92"/>
      <c r="N197" s="92">
        <v>4</v>
      </c>
      <c r="O197" s="92" t="s">
        <v>464</v>
      </c>
      <c r="P197" s="12" t="s">
        <v>61</v>
      </c>
      <c r="Q197" s="12"/>
      <c r="R197" s="12" t="s">
        <v>60</v>
      </c>
      <c r="S197" s="12" t="s">
        <v>18</v>
      </c>
      <c r="T197" s="92" t="s">
        <v>510</v>
      </c>
      <c r="U197" s="12" t="s">
        <v>464</v>
      </c>
      <c r="V197" s="93"/>
      <c r="W197" s="92" t="str">
        <f t="shared" si="43"/>
        <v>2.1\0.6:12</v>
      </c>
      <c r="X197" s="92" t="s">
        <v>560</v>
      </c>
      <c r="Y197" s="94">
        <v>0</v>
      </c>
      <c r="Z197" s="111" t="s">
        <v>557</v>
      </c>
      <c r="AA197" s="9"/>
      <c r="AH197" s="94" t="str">
        <f t="shared" si="56"/>
        <v>F6</v>
      </c>
      <c r="AI197" s="168" t="s">
        <v>193</v>
      </c>
      <c r="AJ197" s="168" t="s">
        <v>192</v>
      </c>
    </row>
    <row r="198" spans="1:36" x14ac:dyDescent="0.3">
      <c r="A198" s="102" t="str">
        <f t="shared" si="53"/>
        <v>BSR130</v>
      </c>
      <c r="B198" s="93" t="str">
        <f t="shared" si="58"/>
        <v>DX01</v>
      </c>
      <c r="C198" s="93" t="str">
        <f t="shared" si="52"/>
        <v>DIO1</v>
      </c>
      <c r="D198" s="94">
        <f t="shared" si="41"/>
        <v>130</v>
      </c>
      <c r="E198" s="94">
        <v>2</v>
      </c>
      <c r="F198" s="94">
        <f t="shared" si="54"/>
        <v>1</v>
      </c>
      <c r="G198" s="94">
        <v>0</v>
      </c>
      <c r="H198" s="171">
        <f t="shared" si="57"/>
        <v>6</v>
      </c>
      <c r="I198" s="163">
        <f t="shared" si="55"/>
        <v>13</v>
      </c>
      <c r="J198" s="172"/>
      <c r="K198" s="124"/>
      <c r="L198" s="92" t="s">
        <v>21</v>
      </c>
      <c r="M198" s="92"/>
      <c r="N198" s="92">
        <v>4</v>
      </c>
      <c r="O198" s="92" t="s">
        <v>492</v>
      </c>
      <c r="P198" s="92" t="s">
        <v>61</v>
      </c>
      <c r="R198" s="92" t="s">
        <v>60</v>
      </c>
      <c r="S198" s="92" t="s">
        <v>18</v>
      </c>
      <c r="T198" s="92" t="s">
        <v>494</v>
      </c>
      <c r="U198" s="92" t="s">
        <v>492</v>
      </c>
      <c r="V198" s="93"/>
      <c r="W198" s="92" t="str">
        <f t="shared" si="43"/>
        <v>2.1\0.6:13</v>
      </c>
      <c r="X198" s="92" t="s">
        <v>559</v>
      </c>
      <c r="Y198" s="94">
        <v>0</v>
      </c>
      <c r="Z198" s="111" t="s">
        <v>557</v>
      </c>
      <c r="AA198" s="9"/>
      <c r="AH198" s="94" t="str">
        <f t="shared" si="56"/>
        <v>F6</v>
      </c>
      <c r="AI198" s="168" t="s">
        <v>191</v>
      </c>
      <c r="AJ198" s="168" t="s">
        <v>190</v>
      </c>
    </row>
    <row r="199" spans="1:36" x14ac:dyDescent="0.3">
      <c r="A199" s="102" t="str">
        <f t="shared" si="53"/>
        <v>BSR130</v>
      </c>
      <c r="B199" s="93" t="str">
        <f t="shared" si="58"/>
        <v>DX01</v>
      </c>
      <c r="C199" s="93" t="str">
        <f t="shared" si="52"/>
        <v>DIO1</v>
      </c>
      <c r="D199" s="94">
        <f t="shared" si="41"/>
        <v>130</v>
      </c>
      <c r="E199" s="94">
        <v>2</v>
      </c>
      <c r="F199" s="94">
        <f t="shared" si="54"/>
        <v>1</v>
      </c>
      <c r="G199" s="94">
        <v>0</v>
      </c>
      <c r="H199" s="171">
        <f t="shared" si="57"/>
        <v>6</v>
      </c>
      <c r="I199" s="163">
        <f t="shared" si="55"/>
        <v>14</v>
      </c>
      <c r="J199" s="172"/>
      <c r="K199" s="124"/>
      <c r="L199" s="92" t="s">
        <v>21</v>
      </c>
      <c r="M199" s="92"/>
      <c r="N199" s="92"/>
      <c r="O199" s="139"/>
      <c r="S199" s="92" t="s">
        <v>302</v>
      </c>
      <c r="V199" s="93"/>
      <c r="W199" s="92" t="str">
        <f t="shared" si="43"/>
        <v>2.1\0.6:14</v>
      </c>
      <c r="X199" s="111" t="s">
        <v>558</v>
      </c>
      <c r="Y199" s="112" t="s">
        <v>4</v>
      </c>
      <c r="Z199" s="111" t="s">
        <v>557</v>
      </c>
      <c r="AA199" s="9"/>
      <c r="AH199" s="94" t="str">
        <f t="shared" si="56"/>
        <v>F6</v>
      </c>
      <c r="AI199" s="168" t="s">
        <v>187</v>
      </c>
      <c r="AJ199" s="168" t="s">
        <v>186</v>
      </c>
    </row>
    <row r="200" spans="1:36" x14ac:dyDescent="0.3">
      <c r="A200" s="102" t="str">
        <f t="shared" si="53"/>
        <v>BSR130</v>
      </c>
      <c r="B200" s="93" t="str">
        <f t="shared" si="58"/>
        <v>DX01</v>
      </c>
      <c r="C200" s="93" t="str">
        <f t="shared" si="52"/>
        <v>DIO1</v>
      </c>
      <c r="D200" s="94">
        <f t="shared" si="41"/>
        <v>130</v>
      </c>
      <c r="E200" s="94">
        <v>2</v>
      </c>
      <c r="F200" s="94">
        <f t="shared" si="54"/>
        <v>1</v>
      </c>
      <c r="G200" s="94">
        <v>0</v>
      </c>
      <c r="H200" s="171">
        <f t="shared" si="57"/>
        <v>6</v>
      </c>
      <c r="I200" s="163">
        <f t="shared" si="55"/>
        <v>15</v>
      </c>
      <c r="J200" s="172"/>
      <c r="K200" s="124"/>
      <c r="L200" s="92" t="s">
        <v>21</v>
      </c>
      <c r="M200" s="92"/>
      <c r="N200" s="92"/>
      <c r="O200" s="139"/>
      <c r="S200" s="92" t="s">
        <v>302</v>
      </c>
      <c r="V200" s="93"/>
      <c r="W200" s="92" t="str">
        <f t="shared" si="43"/>
        <v>2.1\0.6:15</v>
      </c>
      <c r="X200" s="92"/>
      <c r="Z200" s="92"/>
      <c r="AA200" s="9"/>
      <c r="AH200" s="94" t="str">
        <f t="shared" si="56"/>
        <v>F6</v>
      </c>
      <c r="AI200" s="168" t="s">
        <v>185</v>
      </c>
      <c r="AJ200" s="168" t="s">
        <v>184</v>
      </c>
    </row>
    <row r="201" spans="1:36" x14ac:dyDescent="0.3">
      <c r="A201" s="102" t="str">
        <f t="shared" si="53"/>
        <v>BSR130</v>
      </c>
      <c r="B201" s="93" t="str">
        <f t="shared" si="58"/>
        <v>DX01</v>
      </c>
      <c r="C201" s="93" t="str">
        <f t="shared" si="52"/>
        <v>DIO1</v>
      </c>
      <c r="D201" s="94">
        <f t="shared" si="41"/>
        <v>130</v>
      </c>
      <c r="E201" s="94">
        <v>2</v>
      </c>
      <c r="F201" s="94">
        <f t="shared" si="54"/>
        <v>1</v>
      </c>
      <c r="G201" s="94">
        <v>0</v>
      </c>
      <c r="H201" s="171">
        <f t="shared" si="57"/>
        <v>6</v>
      </c>
      <c r="I201" s="163">
        <f t="shared" si="55"/>
        <v>16</v>
      </c>
      <c r="J201" s="172"/>
      <c r="K201" s="93"/>
      <c r="L201" s="92" t="s">
        <v>21</v>
      </c>
      <c r="M201" s="92"/>
      <c r="N201" s="92"/>
      <c r="O201" s="139"/>
      <c r="S201" s="92" t="s">
        <v>302</v>
      </c>
      <c r="V201" s="93"/>
      <c r="W201" s="92" t="str">
        <f t="shared" si="43"/>
        <v>2.1\0.6:16</v>
      </c>
      <c r="X201" s="92"/>
      <c r="Z201" s="92"/>
      <c r="AA201" s="9"/>
      <c r="AH201" s="94" t="str">
        <f t="shared" si="56"/>
        <v>F6</v>
      </c>
      <c r="AI201" s="168" t="s">
        <v>181</v>
      </c>
      <c r="AJ201" s="168" t="s">
        <v>180</v>
      </c>
    </row>
    <row r="202" spans="1:36" x14ac:dyDescent="0.3">
      <c r="A202" s="102" t="str">
        <f t="shared" si="53"/>
        <v>BSR130</v>
      </c>
      <c r="B202" s="93" t="str">
        <f t="shared" si="58"/>
        <v>DX01</v>
      </c>
      <c r="C202" s="93" t="str">
        <f t="shared" si="52"/>
        <v>DIO1</v>
      </c>
      <c r="D202" s="94">
        <f t="shared" si="41"/>
        <v>130</v>
      </c>
      <c r="E202" s="94">
        <v>2</v>
      </c>
      <c r="F202" s="94">
        <f t="shared" si="54"/>
        <v>1</v>
      </c>
      <c r="G202" s="94">
        <v>0</v>
      </c>
      <c r="H202" s="171">
        <f t="shared" si="57"/>
        <v>6</v>
      </c>
      <c r="I202" s="163">
        <f t="shared" si="55"/>
        <v>17</v>
      </c>
      <c r="J202" s="172"/>
      <c r="K202" s="124"/>
      <c r="L202" s="92" t="s">
        <v>21</v>
      </c>
      <c r="M202" s="92"/>
      <c r="N202" s="92"/>
      <c r="O202" s="139"/>
      <c r="S202" s="92" t="s">
        <v>302</v>
      </c>
      <c r="V202" s="93"/>
      <c r="W202" s="92" t="str">
        <f t="shared" si="43"/>
        <v>2.1\0.6:17</v>
      </c>
      <c r="X202" s="111" t="s">
        <v>552</v>
      </c>
      <c r="Y202" s="112">
        <v>0</v>
      </c>
      <c r="Z202" s="92"/>
      <c r="AA202" s="9"/>
      <c r="AH202" s="94" t="str">
        <f t="shared" si="56"/>
        <v>F6</v>
      </c>
      <c r="AI202" s="168" t="s">
        <v>179</v>
      </c>
      <c r="AJ202" s="168" t="s">
        <v>178</v>
      </c>
    </row>
    <row r="203" spans="1:36" x14ac:dyDescent="0.3">
      <c r="A203" s="102" t="str">
        <f t="shared" si="53"/>
        <v>BSR130</v>
      </c>
      <c r="B203" s="93" t="str">
        <f t="shared" si="58"/>
        <v>DX01</v>
      </c>
      <c r="C203" s="93" t="str">
        <f t="shared" si="52"/>
        <v>DIO1</v>
      </c>
      <c r="D203" s="94">
        <f t="shared" si="41"/>
        <v>130</v>
      </c>
      <c r="E203" s="94">
        <v>2</v>
      </c>
      <c r="F203" s="94">
        <f t="shared" si="54"/>
        <v>1</v>
      </c>
      <c r="G203" s="94">
        <v>0</v>
      </c>
      <c r="H203" s="171">
        <f t="shared" si="57"/>
        <v>6</v>
      </c>
      <c r="I203" s="163">
        <f t="shared" si="55"/>
        <v>18</v>
      </c>
      <c r="J203" s="172"/>
      <c r="K203" s="124"/>
      <c r="L203" s="92" t="s">
        <v>21</v>
      </c>
      <c r="M203" s="92"/>
      <c r="N203" s="92"/>
      <c r="O203" s="139"/>
      <c r="S203" s="92" t="s">
        <v>302</v>
      </c>
      <c r="V203" s="93"/>
      <c r="W203" s="92" t="str">
        <f t="shared" si="43"/>
        <v>2.1\0.6:18</v>
      </c>
      <c r="X203" s="111" t="s">
        <v>556</v>
      </c>
      <c r="Y203" s="112" t="s">
        <v>4</v>
      </c>
      <c r="Z203" s="111" t="s">
        <v>555</v>
      </c>
      <c r="AA203" s="9"/>
      <c r="AH203" s="94" t="str">
        <f t="shared" si="56"/>
        <v>F6</v>
      </c>
      <c r="AI203" s="168" t="s">
        <v>175</v>
      </c>
      <c r="AJ203" s="168" t="s">
        <v>174</v>
      </c>
    </row>
    <row r="204" spans="1:36" x14ac:dyDescent="0.3">
      <c r="A204" s="102" t="str">
        <f t="shared" si="53"/>
        <v>BSR130</v>
      </c>
      <c r="B204" s="93" t="str">
        <f t="shared" si="58"/>
        <v>DX01</v>
      </c>
      <c r="C204" s="93" t="str">
        <f t="shared" si="52"/>
        <v>DIO1</v>
      </c>
      <c r="D204" s="94">
        <f t="shared" si="41"/>
        <v>130</v>
      </c>
      <c r="E204" s="94">
        <v>2</v>
      </c>
      <c r="F204" s="94">
        <f t="shared" si="54"/>
        <v>1</v>
      </c>
      <c r="G204" s="94">
        <v>0</v>
      </c>
      <c r="H204" s="171">
        <f t="shared" si="57"/>
        <v>6</v>
      </c>
      <c r="I204" s="163">
        <f t="shared" si="55"/>
        <v>19</v>
      </c>
      <c r="J204" s="172"/>
      <c r="K204" s="124"/>
      <c r="L204" s="92" t="s">
        <v>21</v>
      </c>
      <c r="M204" s="92"/>
      <c r="N204" s="92"/>
      <c r="O204" s="139"/>
      <c r="S204" s="92" t="s">
        <v>302</v>
      </c>
      <c r="V204" s="168"/>
      <c r="W204" s="92" t="str">
        <f t="shared" si="43"/>
        <v>2.1\0.6:19</v>
      </c>
      <c r="X204" s="111" t="s">
        <v>556</v>
      </c>
      <c r="Y204" s="112" t="s">
        <v>4</v>
      </c>
      <c r="Z204" s="111" t="s">
        <v>555</v>
      </c>
      <c r="AA204" s="9"/>
      <c r="AH204" s="94" t="str">
        <f t="shared" si="56"/>
        <v>F6</v>
      </c>
      <c r="AI204" s="168" t="s">
        <v>173</v>
      </c>
      <c r="AJ204" s="168" t="s">
        <v>172</v>
      </c>
    </row>
    <row r="205" spans="1:36" x14ac:dyDescent="0.3">
      <c r="A205" s="102" t="str">
        <f t="shared" si="53"/>
        <v>BSR130</v>
      </c>
      <c r="B205" s="93" t="str">
        <f t="shared" si="58"/>
        <v>DX01</v>
      </c>
      <c r="C205" s="93" t="str">
        <f t="shared" si="52"/>
        <v>DIO1</v>
      </c>
      <c r="D205" s="94">
        <f t="shared" si="41"/>
        <v>130</v>
      </c>
      <c r="E205" s="94">
        <v>2</v>
      </c>
      <c r="F205" s="94">
        <f t="shared" si="54"/>
        <v>1</v>
      </c>
      <c r="G205" s="94">
        <v>0</v>
      </c>
      <c r="H205" s="171">
        <f t="shared" si="57"/>
        <v>6</v>
      </c>
      <c r="I205" s="163">
        <f t="shared" si="55"/>
        <v>20</v>
      </c>
      <c r="J205" s="172"/>
      <c r="K205" s="124"/>
      <c r="L205" s="92" t="s">
        <v>21</v>
      </c>
      <c r="M205" s="92"/>
      <c r="N205" s="92"/>
      <c r="O205" s="92"/>
      <c r="S205" s="92" t="s">
        <v>302</v>
      </c>
      <c r="V205" s="12"/>
      <c r="W205" s="92" t="str">
        <f t="shared" si="43"/>
        <v>2.1\0.6:20</v>
      </c>
      <c r="X205" s="111" t="s">
        <v>556</v>
      </c>
      <c r="Y205" s="112" t="s">
        <v>4</v>
      </c>
      <c r="Z205" s="111" t="s">
        <v>555</v>
      </c>
      <c r="AA205" s="9"/>
      <c r="AH205" s="94" t="str">
        <f t="shared" si="56"/>
        <v>F6</v>
      </c>
      <c r="AI205" s="168" t="s">
        <v>170</v>
      </c>
      <c r="AJ205" s="168" t="s">
        <v>169</v>
      </c>
    </row>
    <row r="206" spans="1:36" x14ac:dyDescent="0.3">
      <c r="A206" s="102" t="str">
        <f t="shared" si="53"/>
        <v>BSR130</v>
      </c>
      <c r="B206" s="93" t="str">
        <f t="shared" si="58"/>
        <v>DX01</v>
      </c>
      <c r="C206" s="93" t="str">
        <f t="shared" si="52"/>
        <v>DIO1</v>
      </c>
      <c r="D206" s="94">
        <f t="shared" si="41"/>
        <v>130</v>
      </c>
      <c r="E206" s="94">
        <v>2</v>
      </c>
      <c r="F206" s="94">
        <f t="shared" si="54"/>
        <v>1</v>
      </c>
      <c r="G206" s="94">
        <v>0</v>
      </c>
      <c r="H206" s="171">
        <f t="shared" si="57"/>
        <v>6</v>
      </c>
      <c r="I206" s="163">
        <f t="shared" si="55"/>
        <v>21</v>
      </c>
      <c r="J206" s="172"/>
      <c r="K206" s="124"/>
      <c r="L206" s="92" t="s">
        <v>21</v>
      </c>
      <c r="M206" s="92"/>
      <c r="N206" s="92"/>
      <c r="O206" s="92"/>
      <c r="P206" s="12"/>
      <c r="Q206" s="12"/>
      <c r="R206" s="12"/>
      <c r="S206" s="12" t="s">
        <v>302</v>
      </c>
      <c r="U206" s="13"/>
      <c r="V206" s="12"/>
      <c r="W206" s="92" t="str">
        <f t="shared" si="43"/>
        <v>2.1\0.6:21</v>
      </c>
      <c r="X206" s="92"/>
      <c r="Z206" s="92"/>
      <c r="AA206" s="9"/>
      <c r="AH206" s="94" t="str">
        <f t="shared" si="56"/>
        <v>F6</v>
      </c>
      <c r="AI206" s="168" t="s">
        <v>168</v>
      </c>
      <c r="AJ206" s="168" t="s">
        <v>167</v>
      </c>
    </row>
    <row r="207" spans="1:36" x14ac:dyDescent="0.3">
      <c r="A207" s="102" t="str">
        <f t="shared" si="53"/>
        <v>BSR130</v>
      </c>
      <c r="B207" s="93" t="str">
        <f t="shared" si="58"/>
        <v>DX01</v>
      </c>
      <c r="C207" s="93" t="str">
        <f t="shared" si="52"/>
        <v>DIO1</v>
      </c>
      <c r="D207" s="94">
        <f t="shared" si="41"/>
        <v>130</v>
      </c>
      <c r="E207" s="94">
        <v>2</v>
      </c>
      <c r="F207" s="94">
        <f t="shared" si="54"/>
        <v>1</v>
      </c>
      <c r="G207" s="94">
        <v>0</v>
      </c>
      <c r="H207" s="171">
        <f t="shared" si="57"/>
        <v>6</v>
      </c>
      <c r="I207" s="163">
        <f t="shared" si="55"/>
        <v>22</v>
      </c>
      <c r="J207" s="172"/>
      <c r="K207" s="124"/>
      <c r="L207" s="92" t="s">
        <v>21</v>
      </c>
      <c r="M207" s="92"/>
      <c r="N207" s="92"/>
      <c r="O207" s="92"/>
      <c r="P207" s="12"/>
      <c r="Q207" s="12"/>
      <c r="R207" s="12"/>
      <c r="S207" s="12" t="s">
        <v>302</v>
      </c>
      <c r="U207" s="13"/>
      <c r="V207" s="12"/>
      <c r="W207" s="92" t="str">
        <f t="shared" si="43"/>
        <v>2.1\0.6:22</v>
      </c>
      <c r="X207" s="111" t="s">
        <v>552</v>
      </c>
      <c r="Y207" s="112">
        <v>0</v>
      </c>
      <c r="Z207" s="92"/>
      <c r="AA207" s="9"/>
      <c r="AH207" s="94" t="str">
        <f t="shared" si="56"/>
        <v>F6</v>
      </c>
      <c r="AI207" s="168" t="s">
        <v>165</v>
      </c>
      <c r="AJ207" s="168" t="s">
        <v>164</v>
      </c>
    </row>
    <row r="208" spans="1:36" x14ac:dyDescent="0.3">
      <c r="A208" s="102" t="str">
        <f t="shared" si="53"/>
        <v>BSR130</v>
      </c>
      <c r="B208" s="93" t="str">
        <f t="shared" si="58"/>
        <v>DX01</v>
      </c>
      <c r="C208" s="93" t="str">
        <f t="shared" si="52"/>
        <v>DIO1</v>
      </c>
      <c r="D208" s="94">
        <f t="shared" si="41"/>
        <v>130</v>
      </c>
      <c r="E208" s="94">
        <v>2</v>
      </c>
      <c r="F208" s="94">
        <f t="shared" si="54"/>
        <v>1</v>
      </c>
      <c r="G208" s="94">
        <v>0</v>
      </c>
      <c r="H208" s="171">
        <f t="shared" si="57"/>
        <v>6</v>
      </c>
      <c r="I208" s="163">
        <f t="shared" si="55"/>
        <v>23</v>
      </c>
      <c r="J208" s="172"/>
      <c r="K208" s="124"/>
      <c r="L208" s="92" t="s">
        <v>21</v>
      </c>
      <c r="M208" s="92"/>
      <c r="N208" s="92"/>
      <c r="O208" s="92"/>
      <c r="S208" s="92" t="s">
        <v>302</v>
      </c>
      <c r="V208" s="12"/>
      <c r="W208" s="92" t="str">
        <f t="shared" si="43"/>
        <v>2.1\0.6:23</v>
      </c>
      <c r="X208" s="111" t="s">
        <v>554</v>
      </c>
      <c r="Y208" s="112" t="s">
        <v>4</v>
      </c>
      <c r="Z208" s="111" t="s">
        <v>553</v>
      </c>
      <c r="AA208" s="9"/>
      <c r="AH208" s="94" t="str">
        <f t="shared" si="56"/>
        <v>F6</v>
      </c>
      <c r="AI208" s="168" t="s">
        <v>163</v>
      </c>
      <c r="AJ208" s="168" t="s">
        <v>162</v>
      </c>
    </row>
    <row r="209" spans="1:36" x14ac:dyDescent="0.3">
      <c r="A209" s="102" t="str">
        <f t="shared" si="53"/>
        <v>BSR130</v>
      </c>
      <c r="B209" s="93" t="str">
        <f t="shared" si="58"/>
        <v>DX01</v>
      </c>
      <c r="C209" s="93" t="str">
        <f t="shared" si="52"/>
        <v>DIO1</v>
      </c>
      <c r="D209" s="94">
        <f t="shared" si="41"/>
        <v>130</v>
      </c>
      <c r="E209" s="94">
        <v>2</v>
      </c>
      <c r="F209" s="94">
        <f t="shared" si="54"/>
        <v>1</v>
      </c>
      <c r="G209" s="94">
        <v>0</v>
      </c>
      <c r="H209" s="171">
        <f t="shared" si="57"/>
        <v>6</v>
      </c>
      <c r="I209" s="163">
        <f t="shared" si="55"/>
        <v>24</v>
      </c>
      <c r="J209" s="172"/>
      <c r="K209" s="124"/>
      <c r="L209" s="92" t="s">
        <v>21</v>
      </c>
      <c r="M209" s="92"/>
      <c r="N209" s="92"/>
      <c r="O209" s="92"/>
      <c r="P209" s="12"/>
      <c r="Q209" s="12"/>
      <c r="R209" s="12"/>
      <c r="S209" s="12" t="s">
        <v>302</v>
      </c>
      <c r="U209" s="13"/>
      <c r="V209" s="12"/>
      <c r="W209" s="92" t="str">
        <f t="shared" si="43"/>
        <v>2.1\0.6:24</v>
      </c>
      <c r="X209" s="111" t="s">
        <v>554</v>
      </c>
      <c r="Y209" s="112" t="s">
        <v>4</v>
      </c>
      <c r="Z209" s="111" t="s">
        <v>553</v>
      </c>
      <c r="AA209" s="9"/>
      <c r="AH209" s="94" t="str">
        <f t="shared" si="56"/>
        <v>F6</v>
      </c>
      <c r="AI209" s="168" t="s">
        <v>159</v>
      </c>
      <c r="AJ209" s="168" t="s">
        <v>158</v>
      </c>
    </row>
    <row r="210" spans="1:36" x14ac:dyDescent="0.3">
      <c r="A210" s="102" t="str">
        <f t="shared" si="53"/>
        <v>BSR130</v>
      </c>
      <c r="B210" s="93" t="str">
        <f t="shared" si="58"/>
        <v>DX01</v>
      </c>
      <c r="C210" s="93" t="str">
        <f t="shared" si="52"/>
        <v>DIO1</v>
      </c>
      <c r="D210" s="94">
        <f t="shared" si="41"/>
        <v>130</v>
      </c>
      <c r="E210" s="94">
        <v>2</v>
      </c>
      <c r="F210" s="94">
        <f t="shared" si="54"/>
        <v>1</v>
      </c>
      <c r="G210" s="94">
        <v>0</v>
      </c>
      <c r="H210" s="171">
        <f t="shared" si="57"/>
        <v>6</v>
      </c>
      <c r="I210" s="163">
        <f t="shared" si="55"/>
        <v>25</v>
      </c>
      <c r="J210" s="172"/>
      <c r="K210" s="124"/>
      <c r="L210" s="92" t="s">
        <v>21</v>
      </c>
      <c r="M210" s="92"/>
      <c r="N210" s="92"/>
      <c r="O210" s="92"/>
      <c r="P210" s="12"/>
      <c r="Q210" s="12"/>
      <c r="R210" s="12"/>
      <c r="S210" s="12" t="s">
        <v>302</v>
      </c>
      <c r="V210" s="37"/>
      <c r="W210" s="92" t="str">
        <f t="shared" si="43"/>
        <v>2.1\0.6:25</v>
      </c>
      <c r="X210" s="111" t="s">
        <v>554</v>
      </c>
      <c r="Y210" s="112" t="s">
        <v>4</v>
      </c>
      <c r="Z210" s="111" t="s">
        <v>553</v>
      </c>
      <c r="AA210" s="9"/>
      <c r="AH210" s="94" t="str">
        <f t="shared" si="56"/>
        <v>F6</v>
      </c>
      <c r="AI210" s="168" t="s">
        <v>157</v>
      </c>
      <c r="AJ210" s="168" t="s">
        <v>156</v>
      </c>
    </row>
    <row r="211" spans="1:36" x14ac:dyDescent="0.3">
      <c r="A211" s="102" t="str">
        <f t="shared" si="53"/>
        <v>BSR130</v>
      </c>
      <c r="B211" s="93" t="str">
        <f t="shared" si="58"/>
        <v>DX01</v>
      </c>
      <c r="C211" s="93" t="str">
        <f t="shared" si="52"/>
        <v>DIO1</v>
      </c>
      <c r="D211" s="94">
        <f t="shared" si="41"/>
        <v>130</v>
      </c>
      <c r="E211" s="94">
        <v>2</v>
      </c>
      <c r="F211" s="94">
        <f t="shared" si="54"/>
        <v>1</v>
      </c>
      <c r="G211" s="94">
        <v>0</v>
      </c>
      <c r="H211" s="171">
        <f t="shared" si="57"/>
        <v>6</v>
      </c>
      <c r="I211" s="163">
        <f t="shared" si="55"/>
        <v>26</v>
      </c>
      <c r="J211" s="172"/>
      <c r="K211" s="124"/>
      <c r="L211" s="92" t="s">
        <v>21</v>
      </c>
      <c r="M211" s="92"/>
      <c r="N211" s="92"/>
      <c r="O211" s="92"/>
      <c r="P211" s="12"/>
      <c r="Q211" s="12"/>
      <c r="R211" s="12"/>
      <c r="S211" s="12" t="s">
        <v>302</v>
      </c>
      <c r="W211" s="92" t="str">
        <f t="shared" si="43"/>
        <v>2.1\0.6:26</v>
      </c>
      <c r="X211" s="92"/>
      <c r="Y211" s="94"/>
      <c r="Z211" s="92"/>
      <c r="AA211" s="9"/>
      <c r="AH211" s="94" t="str">
        <f t="shared" si="56"/>
        <v>F6</v>
      </c>
      <c r="AI211" s="168" t="s">
        <v>154</v>
      </c>
      <c r="AJ211" s="168" t="s">
        <v>153</v>
      </c>
    </row>
    <row r="212" spans="1:36" x14ac:dyDescent="0.3">
      <c r="A212" s="102" t="str">
        <f t="shared" si="53"/>
        <v>BSR130</v>
      </c>
      <c r="B212" s="93" t="str">
        <f t="shared" si="58"/>
        <v>DX01</v>
      </c>
      <c r="C212" s="93" t="str">
        <f t="shared" si="52"/>
        <v>DIO1</v>
      </c>
      <c r="D212" s="94">
        <f t="shared" si="41"/>
        <v>130</v>
      </c>
      <c r="E212" s="94">
        <v>2</v>
      </c>
      <c r="F212" s="94">
        <f t="shared" si="54"/>
        <v>1</v>
      </c>
      <c r="G212" s="94">
        <v>0</v>
      </c>
      <c r="H212" s="171">
        <f t="shared" si="57"/>
        <v>6</v>
      </c>
      <c r="I212" s="163">
        <f t="shared" si="55"/>
        <v>27</v>
      </c>
      <c r="J212" s="172"/>
      <c r="K212" s="124"/>
      <c r="L212" s="92" t="s">
        <v>21</v>
      </c>
      <c r="M212" s="92"/>
      <c r="N212" s="92"/>
      <c r="O212" s="92"/>
      <c r="P212" s="12"/>
      <c r="Q212" s="12"/>
      <c r="R212" s="12"/>
      <c r="S212" s="12" t="s">
        <v>302</v>
      </c>
      <c r="W212" s="92" t="str">
        <f t="shared" si="43"/>
        <v>2.1\0.6:27</v>
      </c>
      <c r="X212" s="111" t="s">
        <v>552</v>
      </c>
      <c r="Y212" s="112">
        <v>0</v>
      </c>
      <c r="Z212" s="92"/>
      <c r="AA212" s="9"/>
      <c r="AH212" s="94" t="str">
        <f t="shared" si="56"/>
        <v>F6</v>
      </c>
      <c r="AI212" s="168" t="s">
        <v>152</v>
      </c>
      <c r="AJ212" s="168" t="s">
        <v>151</v>
      </c>
    </row>
    <row r="213" spans="1:36" x14ac:dyDescent="0.3">
      <c r="A213" s="102" t="str">
        <f t="shared" si="53"/>
        <v>BSR130</v>
      </c>
      <c r="B213" s="93" t="str">
        <f t="shared" si="58"/>
        <v>DX01</v>
      </c>
      <c r="C213" s="93" t="str">
        <f t="shared" si="52"/>
        <v>DIO1</v>
      </c>
      <c r="D213" s="94">
        <f t="shared" si="41"/>
        <v>130</v>
      </c>
      <c r="E213" s="94">
        <v>2</v>
      </c>
      <c r="F213" s="94">
        <f t="shared" si="54"/>
        <v>1</v>
      </c>
      <c r="G213" s="94">
        <v>0</v>
      </c>
      <c r="H213" s="171">
        <f t="shared" si="57"/>
        <v>6</v>
      </c>
      <c r="I213" s="163">
        <f t="shared" si="55"/>
        <v>28</v>
      </c>
      <c r="J213" s="172"/>
      <c r="K213" s="124"/>
      <c r="L213" s="92" t="s">
        <v>21</v>
      </c>
      <c r="M213" s="92"/>
      <c r="N213" s="92"/>
      <c r="O213" s="92"/>
      <c r="S213" s="92" t="s">
        <v>302</v>
      </c>
      <c r="W213" s="92" t="str">
        <f t="shared" si="43"/>
        <v>2.1\0.6:28</v>
      </c>
      <c r="X213" s="111" t="s">
        <v>551</v>
      </c>
      <c r="Y213" s="112" t="s">
        <v>4</v>
      </c>
      <c r="Z213" s="111" t="s">
        <v>550</v>
      </c>
      <c r="AA213" s="9"/>
      <c r="AH213" s="94" t="str">
        <f t="shared" si="56"/>
        <v>F6</v>
      </c>
      <c r="AI213" s="168" t="s">
        <v>148</v>
      </c>
      <c r="AJ213" s="168" t="s">
        <v>147</v>
      </c>
    </row>
    <row r="214" spans="1:36" x14ac:dyDescent="0.3">
      <c r="A214" s="102" t="str">
        <f t="shared" si="53"/>
        <v>BSR130</v>
      </c>
      <c r="B214" s="93" t="str">
        <f t="shared" si="58"/>
        <v>DX01</v>
      </c>
      <c r="C214" s="93" t="str">
        <f t="shared" si="52"/>
        <v>DIO1</v>
      </c>
      <c r="D214" s="94">
        <f t="shared" ref="D214:D248" si="59">$D$5</f>
        <v>130</v>
      </c>
      <c r="E214" s="94">
        <v>2</v>
      </c>
      <c r="F214" s="94">
        <f t="shared" si="54"/>
        <v>1</v>
      </c>
      <c r="G214" s="94">
        <v>0</v>
      </c>
      <c r="H214" s="171">
        <f t="shared" si="57"/>
        <v>6</v>
      </c>
      <c r="I214" s="163">
        <f t="shared" si="55"/>
        <v>29</v>
      </c>
      <c r="J214" s="172"/>
      <c r="K214" s="124"/>
      <c r="L214" s="92" t="s">
        <v>21</v>
      </c>
      <c r="M214" s="92"/>
      <c r="N214" s="92"/>
      <c r="O214" s="92"/>
      <c r="P214" s="12"/>
      <c r="Q214" s="12"/>
      <c r="R214" s="12"/>
      <c r="S214" s="12" t="s">
        <v>302</v>
      </c>
      <c r="V214" s="93"/>
      <c r="W214" s="92" t="str">
        <f t="shared" si="43"/>
        <v>2.1\0.6:29</v>
      </c>
      <c r="X214" s="111" t="s">
        <v>551</v>
      </c>
      <c r="Y214" s="112" t="s">
        <v>4</v>
      </c>
      <c r="Z214" s="111" t="s">
        <v>550</v>
      </c>
      <c r="AA214" s="9"/>
      <c r="AH214" s="94" t="str">
        <f t="shared" si="56"/>
        <v>F6</v>
      </c>
      <c r="AI214" s="168" t="s">
        <v>146</v>
      </c>
      <c r="AJ214" s="168" t="s">
        <v>145</v>
      </c>
    </row>
    <row r="215" spans="1:36" x14ac:dyDescent="0.3">
      <c r="A215" s="102" t="str">
        <f t="shared" si="53"/>
        <v>BSR130</v>
      </c>
      <c r="B215" s="93" t="str">
        <f t="shared" si="58"/>
        <v>DX01</v>
      </c>
      <c r="C215" s="93" t="str">
        <f t="shared" si="52"/>
        <v>DIO1</v>
      </c>
      <c r="D215" s="94">
        <f t="shared" si="59"/>
        <v>130</v>
      </c>
      <c r="E215" s="94">
        <v>2</v>
      </c>
      <c r="F215" s="94">
        <f t="shared" si="54"/>
        <v>1</v>
      </c>
      <c r="G215" s="94">
        <v>0</v>
      </c>
      <c r="H215" s="171">
        <f t="shared" si="57"/>
        <v>6</v>
      </c>
      <c r="I215" s="163">
        <f t="shared" si="55"/>
        <v>30</v>
      </c>
      <c r="J215" s="172"/>
      <c r="K215" s="124"/>
      <c r="L215" s="92" t="s">
        <v>21</v>
      </c>
      <c r="M215" s="92"/>
      <c r="N215" s="92"/>
      <c r="O215" s="92"/>
      <c r="P215" s="12"/>
      <c r="Q215" s="12"/>
      <c r="R215" s="12"/>
      <c r="S215" s="12" t="s">
        <v>302</v>
      </c>
      <c r="V215" s="93"/>
      <c r="W215" s="92" t="str">
        <f t="shared" si="43"/>
        <v>2.1\0.6:30</v>
      </c>
      <c r="X215" s="111" t="s">
        <v>551</v>
      </c>
      <c r="Y215" s="112" t="s">
        <v>4</v>
      </c>
      <c r="Z215" s="111" t="s">
        <v>550</v>
      </c>
      <c r="AA215" s="9"/>
      <c r="AH215" s="94" t="str">
        <f t="shared" si="56"/>
        <v>F6</v>
      </c>
      <c r="AI215" s="168" t="s">
        <v>142</v>
      </c>
      <c r="AJ215" s="168" t="s">
        <v>141</v>
      </c>
    </row>
    <row r="216" spans="1:36" ht="13.5" thickBot="1" x14ac:dyDescent="0.35">
      <c r="A216" s="102" t="str">
        <f t="shared" si="53"/>
        <v>BSR130</v>
      </c>
      <c r="B216" s="93" t="str">
        <f t="shared" si="58"/>
        <v>DX01</v>
      </c>
      <c r="C216" s="93" t="str">
        <f t="shared" si="52"/>
        <v>DIO1</v>
      </c>
      <c r="D216" s="94">
        <f t="shared" si="59"/>
        <v>130</v>
      </c>
      <c r="E216" s="94">
        <v>2</v>
      </c>
      <c r="F216" s="94">
        <f t="shared" si="54"/>
        <v>1</v>
      </c>
      <c r="G216" s="94">
        <v>0</v>
      </c>
      <c r="H216" s="171">
        <f t="shared" si="57"/>
        <v>6</v>
      </c>
      <c r="I216" s="170">
        <f t="shared" si="55"/>
        <v>31</v>
      </c>
      <c r="J216" s="169"/>
      <c r="K216" s="124"/>
      <c r="L216" s="92" t="s">
        <v>21</v>
      </c>
      <c r="M216" s="92"/>
      <c r="N216" s="92"/>
      <c r="O216" s="92"/>
      <c r="Q216" s="93"/>
      <c r="R216" s="93"/>
      <c r="S216" s="93" t="s">
        <v>302</v>
      </c>
      <c r="U216" s="93"/>
      <c r="V216" s="93"/>
      <c r="W216" s="92" t="str">
        <f t="shared" ref="W216:W248" si="60">+CONCATENATE(E216,".",F216,"\",G216,".",H216,":",I216)</f>
        <v>2.1\0.6:31</v>
      </c>
      <c r="X216" s="92"/>
      <c r="Y216" s="94"/>
      <c r="Z216" s="92"/>
      <c r="AA216" s="9"/>
      <c r="AB216" s="95"/>
      <c r="AH216" s="94" t="str">
        <f t="shared" si="56"/>
        <v>F6</v>
      </c>
      <c r="AI216" s="168" t="s">
        <v>140</v>
      </c>
      <c r="AJ216" s="168" t="s">
        <v>139</v>
      </c>
    </row>
    <row r="217" spans="1:36" x14ac:dyDescent="0.3">
      <c r="A217" s="158" t="s">
        <v>291</v>
      </c>
      <c r="B217" s="92" t="s">
        <v>535</v>
      </c>
      <c r="C217" s="93" t="s">
        <v>459</v>
      </c>
      <c r="D217" s="94">
        <f t="shared" si="59"/>
        <v>130</v>
      </c>
      <c r="E217" s="94">
        <v>2</v>
      </c>
      <c r="F217" s="94">
        <v>1</v>
      </c>
      <c r="G217" s="94">
        <v>0</v>
      </c>
      <c r="H217" s="167">
        <f>H185+1</f>
        <v>7</v>
      </c>
      <c r="I217" s="165">
        <v>0</v>
      </c>
      <c r="J217" s="188" t="s">
        <v>549</v>
      </c>
      <c r="K217" s="93" t="s">
        <v>548</v>
      </c>
      <c r="L217" s="124" t="s">
        <v>42</v>
      </c>
      <c r="M217" s="124"/>
      <c r="N217" s="92">
        <v>4</v>
      </c>
      <c r="O217" s="92" t="s">
        <v>547</v>
      </c>
      <c r="P217" s="12" t="s">
        <v>52</v>
      </c>
      <c r="Q217" s="12"/>
      <c r="R217" s="12" t="s">
        <v>51</v>
      </c>
      <c r="S217" s="12"/>
      <c r="U217" s="12" t="s">
        <v>547</v>
      </c>
      <c r="V217" s="93"/>
      <c r="W217" s="92" t="str">
        <f t="shared" si="60"/>
        <v>2.1\0.7:0</v>
      </c>
      <c r="X217" s="92" t="s">
        <v>546</v>
      </c>
      <c r="Y217" s="94" t="s">
        <v>4</v>
      </c>
      <c r="Z217" s="92"/>
      <c r="AA217" s="9"/>
      <c r="AB217" s="104"/>
      <c r="AH217" s="94" t="s">
        <v>539</v>
      </c>
      <c r="AI217" s="168">
        <v>1</v>
      </c>
      <c r="AJ217" s="168">
        <v>2</v>
      </c>
    </row>
    <row r="218" spans="1:36" x14ac:dyDescent="0.3">
      <c r="A218" s="102" t="str">
        <f t="shared" ref="A218:A232" si="61">A217</f>
        <v>BSR130</v>
      </c>
      <c r="B218" s="93" t="str">
        <f t="shared" ref="B218:B248" si="62">+B217</f>
        <v>DX01</v>
      </c>
      <c r="C218" s="93" t="str">
        <f t="shared" ref="C218:C248" si="63">+C217</f>
        <v>DIO1</v>
      </c>
      <c r="D218" s="94">
        <f t="shared" si="59"/>
        <v>130</v>
      </c>
      <c r="E218" s="94">
        <v>2</v>
      </c>
      <c r="F218" s="94">
        <f t="shared" ref="F218:F248" si="64">+F217</f>
        <v>1</v>
      </c>
      <c r="G218" s="94">
        <v>0</v>
      </c>
      <c r="H218" s="171">
        <f>H217</f>
        <v>7</v>
      </c>
      <c r="I218" s="163">
        <f t="shared" ref="I218:I232" si="65">+I217+1</f>
        <v>1</v>
      </c>
      <c r="J218" s="187"/>
      <c r="K218" s="124"/>
      <c r="L218" s="124" t="s">
        <v>42</v>
      </c>
      <c r="M218" s="124"/>
      <c r="N218" s="92">
        <v>4</v>
      </c>
      <c r="O218" s="92" t="s">
        <v>545</v>
      </c>
      <c r="P218" s="12" t="s">
        <v>52</v>
      </c>
      <c r="Q218" s="12"/>
      <c r="R218" s="12" t="s">
        <v>51</v>
      </c>
      <c r="S218" s="12"/>
      <c r="U218" s="12" t="s">
        <v>545</v>
      </c>
      <c r="V218" s="93"/>
      <c r="W218" s="92" t="str">
        <f t="shared" si="60"/>
        <v>2.1\0.7:1</v>
      </c>
      <c r="X218" s="92" t="s">
        <v>490</v>
      </c>
      <c r="Y218" s="94" t="s">
        <v>4</v>
      </c>
      <c r="Z218" s="92"/>
      <c r="AA218" s="9"/>
      <c r="AB218" s="104"/>
      <c r="AH218" s="94" t="s">
        <v>539</v>
      </c>
      <c r="AI218" s="168">
        <v>3</v>
      </c>
      <c r="AJ218" s="168">
        <v>4</v>
      </c>
    </row>
    <row r="219" spans="1:36" x14ac:dyDescent="0.3">
      <c r="A219" s="102" t="str">
        <f t="shared" si="61"/>
        <v>BSR130</v>
      </c>
      <c r="B219" s="93" t="str">
        <f t="shared" si="62"/>
        <v>DX01</v>
      </c>
      <c r="C219" s="93" t="str">
        <f t="shared" si="63"/>
        <v>DIO1</v>
      </c>
      <c r="D219" s="94">
        <f t="shared" si="59"/>
        <v>130</v>
      </c>
      <c r="E219" s="94">
        <v>2</v>
      </c>
      <c r="F219" s="94">
        <f t="shared" si="64"/>
        <v>1</v>
      </c>
      <c r="G219" s="94">
        <v>0</v>
      </c>
      <c r="H219" s="164">
        <f t="shared" ref="H219:H232" si="66">+H218</f>
        <v>7</v>
      </c>
      <c r="I219" s="163">
        <f t="shared" si="65"/>
        <v>2</v>
      </c>
      <c r="J219" s="187"/>
      <c r="K219" s="113"/>
      <c r="L219" s="124" t="s">
        <v>42</v>
      </c>
      <c r="M219" s="124"/>
      <c r="N219" s="104">
        <v>5</v>
      </c>
      <c r="O219" s="92" t="s">
        <v>87</v>
      </c>
      <c r="P219" s="92" t="s">
        <v>48</v>
      </c>
      <c r="R219" s="92" t="s">
        <v>543</v>
      </c>
      <c r="U219" s="92" t="s">
        <v>87</v>
      </c>
      <c r="V219" s="93"/>
      <c r="W219" s="92" t="str">
        <f t="shared" si="60"/>
        <v>2.1\0.7:2</v>
      </c>
      <c r="X219" s="92" t="s">
        <v>544</v>
      </c>
      <c r="Y219" s="94" t="s">
        <v>541</v>
      </c>
      <c r="Z219" s="93"/>
      <c r="AA219" s="9"/>
      <c r="AB219" s="104"/>
      <c r="AH219" s="94" t="s">
        <v>539</v>
      </c>
      <c r="AI219" s="168">
        <v>5</v>
      </c>
      <c r="AJ219" s="168">
        <v>6</v>
      </c>
    </row>
    <row r="220" spans="1:36" x14ac:dyDescent="0.3">
      <c r="A220" s="102" t="str">
        <f t="shared" si="61"/>
        <v>BSR130</v>
      </c>
      <c r="B220" s="93" t="str">
        <f t="shared" si="62"/>
        <v>DX01</v>
      </c>
      <c r="C220" s="93" t="str">
        <f t="shared" si="63"/>
        <v>DIO1</v>
      </c>
      <c r="D220" s="94">
        <f t="shared" si="59"/>
        <v>130</v>
      </c>
      <c r="E220" s="94">
        <v>2</v>
      </c>
      <c r="F220" s="94">
        <f t="shared" si="64"/>
        <v>1</v>
      </c>
      <c r="G220" s="94">
        <v>0</v>
      </c>
      <c r="H220" s="164">
        <f t="shared" si="66"/>
        <v>7</v>
      </c>
      <c r="I220" s="163">
        <f t="shared" si="65"/>
        <v>3</v>
      </c>
      <c r="J220" s="187"/>
      <c r="K220" s="113"/>
      <c r="L220" s="124" t="s">
        <v>42</v>
      </c>
      <c r="M220" s="124"/>
      <c r="N220" s="104">
        <v>5</v>
      </c>
      <c r="O220" s="92" t="s">
        <v>85</v>
      </c>
      <c r="P220" s="92" t="s">
        <v>48</v>
      </c>
      <c r="R220" s="92" t="s">
        <v>543</v>
      </c>
      <c r="U220" s="92" t="s">
        <v>85</v>
      </c>
      <c r="V220" s="93"/>
      <c r="W220" s="92" t="str">
        <f t="shared" si="60"/>
        <v>2.1\0.7:3</v>
      </c>
      <c r="X220" s="92" t="s">
        <v>542</v>
      </c>
      <c r="Y220" s="94" t="s">
        <v>541</v>
      </c>
      <c r="Z220" s="93"/>
      <c r="AA220" s="9"/>
      <c r="AB220" s="104"/>
      <c r="AH220" s="94" t="s">
        <v>539</v>
      </c>
      <c r="AI220" s="168">
        <v>7</v>
      </c>
      <c r="AJ220" s="168">
        <v>8</v>
      </c>
    </row>
    <row r="221" spans="1:36" x14ac:dyDescent="0.3">
      <c r="A221" s="102" t="str">
        <f t="shared" si="61"/>
        <v>BSR130</v>
      </c>
      <c r="B221" s="93" t="str">
        <f t="shared" si="62"/>
        <v>DX01</v>
      </c>
      <c r="C221" s="93" t="str">
        <f t="shared" si="63"/>
        <v>DIO1</v>
      </c>
      <c r="D221" s="94">
        <f t="shared" si="59"/>
        <v>130</v>
      </c>
      <c r="E221" s="94">
        <v>2</v>
      </c>
      <c r="F221" s="94">
        <f t="shared" si="64"/>
        <v>1</v>
      </c>
      <c r="G221" s="94">
        <v>0</v>
      </c>
      <c r="H221" s="164">
        <f t="shared" si="66"/>
        <v>7</v>
      </c>
      <c r="I221" s="163">
        <f t="shared" si="65"/>
        <v>4</v>
      </c>
      <c r="J221" s="187"/>
      <c r="K221" s="113"/>
      <c r="L221" s="124" t="s">
        <v>42</v>
      </c>
      <c r="M221" s="124"/>
      <c r="N221" s="92"/>
      <c r="O221" s="92"/>
      <c r="R221" s="92" t="s">
        <v>302</v>
      </c>
      <c r="V221" s="93"/>
      <c r="W221" s="92" t="str">
        <f t="shared" si="60"/>
        <v>2.1\0.7:4</v>
      </c>
      <c r="X221" s="92"/>
      <c r="Y221" s="94"/>
      <c r="Z221" s="93"/>
      <c r="AA221" s="9"/>
      <c r="AB221" s="104"/>
      <c r="AH221" s="94" t="s">
        <v>539</v>
      </c>
      <c r="AI221" s="168">
        <v>9</v>
      </c>
      <c r="AJ221" s="168">
        <v>10</v>
      </c>
    </row>
    <row r="222" spans="1:36" x14ac:dyDescent="0.3">
      <c r="A222" s="102" t="str">
        <f t="shared" si="61"/>
        <v>BSR130</v>
      </c>
      <c r="B222" s="93" t="str">
        <f t="shared" si="62"/>
        <v>DX01</v>
      </c>
      <c r="C222" s="93" t="str">
        <f t="shared" si="63"/>
        <v>DIO1</v>
      </c>
      <c r="D222" s="94">
        <f t="shared" si="59"/>
        <v>130</v>
      </c>
      <c r="E222" s="94">
        <v>2</v>
      </c>
      <c r="F222" s="94">
        <f t="shared" si="64"/>
        <v>1</v>
      </c>
      <c r="G222" s="94">
        <v>0</v>
      </c>
      <c r="H222" s="164">
        <f t="shared" si="66"/>
        <v>7</v>
      </c>
      <c r="I222" s="163">
        <f t="shared" si="65"/>
        <v>5</v>
      </c>
      <c r="J222" s="187"/>
      <c r="K222" s="113"/>
      <c r="L222" s="124" t="s">
        <v>42</v>
      </c>
      <c r="M222" s="124"/>
      <c r="N222" s="92"/>
      <c r="O222" s="92"/>
      <c r="P222" s="12"/>
      <c r="Q222" s="12"/>
      <c r="R222" s="12" t="s">
        <v>302</v>
      </c>
      <c r="S222" s="12"/>
      <c r="U222" s="12"/>
      <c r="V222" s="93"/>
      <c r="W222" s="92" t="str">
        <f t="shared" si="60"/>
        <v>2.1\0.7:5</v>
      </c>
      <c r="X222" s="92"/>
      <c r="Y222" s="113"/>
      <c r="Z222" s="93"/>
      <c r="AA222" s="9"/>
      <c r="AB222" s="104"/>
      <c r="AH222" s="94" t="s">
        <v>539</v>
      </c>
      <c r="AI222" s="168">
        <v>11</v>
      </c>
      <c r="AJ222" s="168">
        <v>12</v>
      </c>
    </row>
    <row r="223" spans="1:36" x14ac:dyDescent="0.3">
      <c r="A223" s="102" t="str">
        <f t="shared" si="61"/>
        <v>BSR130</v>
      </c>
      <c r="B223" s="93" t="str">
        <f t="shared" si="62"/>
        <v>DX01</v>
      </c>
      <c r="C223" s="93" t="str">
        <f t="shared" si="63"/>
        <v>DIO1</v>
      </c>
      <c r="D223" s="94">
        <f t="shared" si="59"/>
        <v>130</v>
      </c>
      <c r="E223" s="94">
        <v>2</v>
      </c>
      <c r="F223" s="94">
        <f t="shared" si="64"/>
        <v>1</v>
      </c>
      <c r="G223" s="94">
        <v>0</v>
      </c>
      <c r="H223" s="164">
        <f t="shared" si="66"/>
        <v>7</v>
      </c>
      <c r="I223" s="163">
        <f t="shared" si="65"/>
        <v>6</v>
      </c>
      <c r="J223" s="187"/>
      <c r="K223" s="113"/>
      <c r="L223" s="124" t="s">
        <v>42</v>
      </c>
      <c r="M223" s="124"/>
      <c r="N223" s="92"/>
      <c r="O223" s="92"/>
      <c r="P223" s="12"/>
      <c r="Q223" s="12"/>
      <c r="R223" s="12" t="s">
        <v>302</v>
      </c>
      <c r="S223" s="12"/>
      <c r="U223" s="12"/>
      <c r="V223" s="93"/>
      <c r="W223" s="92" t="str">
        <f t="shared" si="60"/>
        <v>2.1\0.7:6</v>
      </c>
      <c r="X223" s="92"/>
      <c r="Y223" s="113"/>
      <c r="Z223" s="93"/>
      <c r="AA223" s="9"/>
      <c r="AB223" s="104"/>
      <c r="AH223" s="94" t="s">
        <v>539</v>
      </c>
      <c r="AI223" s="168">
        <v>13</v>
      </c>
      <c r="AJ223" s="168">
        <v>14</v>
      </c>
    </row>
    <row r="224" spans="1:36" x14ac:dyDescent="0.3">
      <c r="A224" s="102" t="str">
        <f t="shared" si="61"/>
        <v>BSR130</v>
      </c>
      <c r="B224" s="93" t="str">
        <f t="shared" si="62"/>
        <v>DX01</v>
      </c>
      <c r="C224" s="93" t="str">
        <f t="shared" si="63"/>
        <v>DIO1</v>
      </c>
      <c r="D224" s="94">
        <f t="shared" si="59"/>
        <v>130</v>
      </c>
      <c r="E224" s="94">
        <v>2</v>
      </c>
      <c r="F224" s="94">
        <f t="shared" si="64"/>
        <v>1</v>
      </c>
      <c r="G224" s="94">
        <v>0</v>
      </c>
      <c r="H224" s="164">
        <f t="shared" si="66"/>
        <v>7</v>
      </c>
      <c r="I224" s="163">
        <f t="shared" si="65"/>
        <v>7</v>
      </c>
      <c r="J224" s="187"/>
      <c r="K224" s="113"/>
      <c r="L224" s="124" t="s">
        <v>42</v>
      </c>
      <c r="M224" s="124"/>
      <c r="N224" s="92"/>
      <c r="O224" s="92"/>
      <c r="P224" s="12"/>
      <c r="Q224" s="12"/>
      <c r="R224" s="12" t="s">
        <v>302</v>
      </c>
      <c r="S224" s="12"/>
      <c r="U224" s="12"/>
      <c r="V224" s="93"/>
      <c r="W224" s="92" t="str">
        <f t="shared" si="60"/>
        <v>2.1\0.7:7</v>
      </c>
      <c r="X224" s="92"/>
      <c r="Y224" s="113"/>
      <c r="Z224" s="93"/>
      <c r="AA224" s="9"/>
      <c r="AB224" s="104"/>
      <c r="AH224" s="94" t="s">
        <v>539</v>
      </c>
      <c r="AI224" s="168">
        <v>15</v>
      </c>
      <c r="AJ224" s="168">
        <v>16</v>
      </c>
    </row>
    <row r="225" spans="1:36" x14ac:dyDescent="0.3">
      <c r="A225" s="102" t="str">
        <f t="shared" si="61"/>
        <v>BSR130</v>
      </c>
      <c r="B225" s="93" t="str">
        <f t="shared" si="62"/>
        <v>DX01</v>
      </c>
      <c r="C225" s="93" t="str">
        <f t="shared" si="63"/>
        <v>DIO1</v>
      </c>
      <c r="D225" s="94">
        <f t="shared" si="59"/>
        <v>130</v>
      </c>
      <c r="E225" s="94">
        <v>2</v>
      </c>
      <c r="F225" s="94">
        <f t="shared" si="64"/>
        <v>1</v>
      </c>
      <c r="G225" s="94">
        <v>0</v>
      </c>
      <c r="H225" s="164">
        <f t="shared" si="66"/>
        <v>7</v>
      </c>
      <c r="I225" s="163">
        <f t="shared" si="65"/>
        <v>8</v>
      </c>
      <c r="J225" s="187"/>
      <c r="K225" s="113"/>
      <c r="L225" s="124" t="s">
        <v>42</v>
      </c>
      <c r="M225" s="124"/>
      <c r="N225" s="92"/>
      <c r="O225" s="92"/>
      <c r="P225" s="12"/>
      <c r="Q225" s="12"/>
      <c r="R225" s="12" t="s">
        <v>302</v>
      </c>
      <c r="S225" s="12"/>
      <c r="U225" s="12"/>
      <c r="V225" s="93"/>
      <c r="W225" s="92" t="str">
        <f t="shared" si="60"/>
        <v>2.1\0.7:8</v>
      </c>
      <c r="X225" s="92"/>
      <c r="Y225" s="113"/>
      <c r="Z225" s="93"/>
      <c r="AA225" s="9"/>
      <c r="AB225" s="104"/>
      <c r="AH225" s="94" t="s">
        <v>539</v>
      </c>
      <c r="AI225" s="168">
        <v>17</v>
      </c>
      <c r="AJ225" s="168">
        <v>18</v>
      </c>
    </row>
    <row r="226" spans="1:36" x14ac:dyDescent="0.3">
      <c r="A226" s="102" t="str">
        <f t="shared" si="61"/>
        <v>BSR130</v>
      </c>
      <c r="B226" s="93" t="str">
        <f t="shared" si="62"/>
        <v>DX01</v>
      </c>
      <c r="C226" s="93" t="str">
        <f t="shared" si="63"/>
        <v>DIO1</v>
      </c>
      <c r="D226" s="94">
        <f t="shared" si="59"/>
        <v>130</v>
      </c>
      <c r="E226" s="94">
        <v>2</v>
      </c>
      <c r="F226" s="94">
        <f t="shared" si="64"/>
        <v>1</v>
      </c>
      <c r="G226" s="94">
        <v>0</v>
      </c>
      <c r="H226" s="164">
        <f t="shared" si="66"/>
        <v>7</v>
      </c>
      <c r="I226" s="163">
        <f t="shared" si="65"/>
        <v>9</v>
      </c>
      <c r="J226" s="187"/>
      <c r="K226" s="113"/>
      <c r="L226" s="124" t="s">
        <v>42</v>
      </c>
      <c r="M226" s="124"/>
      <c r="N226" s="92"/>
      <c r="O226" s="92"/>
      <c r="P226" s="12"/>
      <c r="Q226" s="12"/>
      <c r="R226" s="12" t="s">
        <v>302</v>
      </c>
      <c r="S226" s="12"/>
      <c r="U226" s="12"/>
      <c r="V226" s="93"/>
      <c r="W226" s="92" t="str">
        <f t="shared" si="60"/>
        <v>2.1\0.7:9</v>
      </c>
      <c r="X226" s="92"/>
      <c r="Y226" s="113"/>
      <c r="Z226" s="93"/>
      <c r="AA226" s="9"/>
      <c r="AB226" s="104"/>
      <c r="AH226" s="94" t="s">
        <v>539</v>
      </c>
      <c r="AI226" s="168">
        <v>19</v>
      </c>
      <c r="AJ226" s="168">
        <v>20</v>
      </c>
    </row>
    <row r="227" spans="1:36" x14ac:dyDescent="0.3">
      <c r="A227" s="102" t="str">
        <f t="shared" si="61"/>
        <v>BSR130</v>
      </c>
      <c r="B227" s="93" t="str">
        <f t="shared" si="62"/>
        <v>DX01</v>
      </c>
      <c r="C227" s="93" t="str">
        <f t="shared" si="63"/>
        <v>DIO1</v>
      </c>
      <c r="D227" s="94">
        <f t="shared" si="59"/>
        <v>130</v>
      </c>
      <c r="E227" s="94">
        <v>2</v>
      </c>
      <c r="F227" s="94">
        <f t="shared" si="64"/>
        <v>1</v>
      </c>
      <c r="G227" s="94">
        <v>0</v>
      </c>
      <c r="H227" s="164">
        <f t="shared" si="66"/>
        <v>7</v>
      </c>
      <c r="I227" s="163">
        <f t="shared" si="65"/>
        <v>10</v>
      </c>
      <c r="J227" s="187"/>
      <c r="K227" s="113"/>
      <c r="L227" s="124" t="s">
        <v>42</v>
      </c>
      <c r="M227" s="124"/>
      <c r="N227" s="104"/>
      <c r="O227" s="92"/>
      <c r="P227" s="12"/>
      <c r="Q227" s="12"/>
      <c r="R227" s="12" t="s">
        <v>302</v>
      </c>
      <c r="S227" s="12"/>
      <c r="U227" s="12"/>
      <c r="V227" s="93"/>
      <c r="W227" s="92" t="str">
        <f t="shared" si="60"/>
        <v>2.1\0.7:10</v>
      </c>
      <c r="X227" s="92"/>
      <c r="Y227" s="113"/>
      <c r="Z227" s="93"/>
      <c r="AA227" s="9"/>
      <c r="AB227" s="104"/>
      <c r="AH227" s="94" t="s">
        <v>539</v>
      </c>
      <c r="AI227" s="168">
        <v>21</v>
      </c>
      <c r="AJ227" s="168">
        <v>22</v>
      </c>
    </row>
    <row r="228" spans="1:36" x14ac:dyDescent="0.3">
      <c r="A228" s="102" t="str">
        <f t="shared" si="61"/>
        <v>BSR130</v>
      </c>
      <c r="B228" s="93" t="str">
        <f t="shared" si="62"/>
        <v>DX01</v>
      </c>
      <c r="C228" s="93" t="str">
        <f t="shared" si="63"/>
        <v>DIO1</v>
      </c>
      <c r="D228" s="94">
        <f t="shared" si="59"/>
        <v>130</v>
      </c>
      <c r="E228" s="94">
        <v>2</v>
      </c>
      <c r="F228" s="94">
        <f t="shared" si="64"/>
        <v>1</v>
      </c>
      <c r="G228" s="94">
        <v>0</v>
      </c>
      <c r="H228" s="164">
        <f t="shared" si="66"/>
        <v>7</v>
      </c>
      <c r="I228" s="163">
        <f t="shared" si="65"/>
        <v>11</v>
      </c>
      <c r="J228" s="187"/>
      <c r="K228" s="113"/>
      <c r="L228" s="124" t="s">
        <v>42</v>
      </c>
      <c r="M228" s="124"/>
      <c r="N228" s="104"/>
      <c r="O228" s="92"/>
      <c r="P228" s="12"/>
      <c r="Q228" s="12"/>
      <c r="R228" s="12" t="s">
        <v>302</v>
      </c>
      <c r="S228" s="12"/>
      <c r="U228" s="12"/>
      <c r="V228" s="93"/>
      <c r="W228" s="92" t="str">
        <f t="shared" si="60"/>
        <v>2.1\0.7:11</v>
      </c>
      <c r="X228" s="92"/>
      <c r="Y228" s="113"/>
      <c r="Z228" s="93"/>
      <c r="AA228" s="9"/>
      <c r="AB228" s="104"/>
      <c r="AH228" s="94" t="s">
        <v>539</v>
      </c>
      <c r="AI228" s="168">
        <v>23</v>
      </c>
      <c r="AJ228" s="168">
        <v>24</v>
      </c>
    </row>
    <row r="229" spans="1:36" x14ac:dyDescent="0.3">
      <c r="A229" s="102" t="str">
        <f t="shared" si="61"/>
        <v>BSR130</v>
      </c>
      <c r="B229" s="93" t="str">
        <f t="shared" si="62"/>
        <v>DX01</v>
      </c>
      <c r="C229" s="93" t="str">
        <f t="shared" si="63"/>
        <v>DIO1</v>
      </c>
      <c r="D229" s="94">
        <f t="shared" si="59"/>
        <v>130</v>
      </c>
      <c r="E229" s="94">
        <v>2</v>
      </c>
      <c r="F229" s="94">
        <f t="shared" si="64"/>
        <v>1</v>
      </c>
      <c r="G229" s="94">
        <v>0</v>
      </c>
      <c r="H229" s="164">
        <f t="shared" si="66"/>
        <v>7</v>
      </c>
      <c r="I229" s="163">
        <f t="shared" si="65"/>
        <v>12</v>
      </c>
      <c r="J229" s="187"/>
      <c r="K229" s="113"/>
      <c r="L229" s="124" t="s">
        <v>42</v>
      </c>
      <c r="M229" s="124"/>
      <c r="N229" s="104"/>
      <c r="O229" s="92"/>
      <c r="P229" s="12"/>
      <c r="Q229" s="12"/>
      <c r="R229" s="12" t="s">
        <v>302</v>
      </c>
      <c r="S229" s="12"/>
      <c r="U229" s="12"/>
      <c r="V229" s="93"/>
      <c r="W229" s="92" t="str">
        <f t="shared" si="60"/>
        <v>2.1\0.7:12</v>
      </c>
      <c r="X229" s="92"/>
      <c r="Y229" s="113"/>
      <c r="Z229" s="93"/>
      <c r="AA229" s="9"/>
      <c r="AB229" s="104"/>
      <c r="AH229" s="94" t="s">
        <v>539</v>
      </c>
      <c r="AI229" s="168">
        <v>25</v>
      </c>
      <c r="AJ229" s="168">
        <v>26</v>
      </c>
    </row>
    <row r="230" spans="1:36" x14ac:dyDescent="0.3">
      <c r="A230" s="102" t="str">
        <f t="shared" si="61"/>
        <v>BSR130</v>
      </c>
      <c r="B230" s="93" t="str">
        <f t="shared" si="62"/>
        <v>DX01</v>
      </c>
      <c r="C230" s="93" t="str">
        <f t="shared" si="63"/>
        <v>DIO1</v>
      </c>
      <c r="D230" s="94">
        <f t="shared" si="59"/>
        <v>130</v>
      </c>
      <c r="E230" s="94">
        <v>2</v>
      </c>
      <c r="F230" s="94">
        <f t="shared" si="64"/>
        <v>1</v>
      </c>
      <c r="G230" s="94">
        <v>0</v>
      </c>
      <c r="H230" s="164">
        <f t="shared" si="66"/>
        <v>7</v>
      </c>
      <c r="I230" s="163">
        <f t="shared" si="65"/>
        <v>13</v>
      </c>
      <c r="J230" s="187"/>
      <c r="K230" s="113"/>
      <c r="L230" s="124" t="s">
        <v>42</v>
      </c>
      <c r="M230" s="124"/>
      <c r="N230" s="104"/>
      <c r="O230" s="92"/>
      <c r="P230" s="12"/>
      <c r="Q230" s="12"/>
      <c r="R230" s="12" t="s">
        <v>302</v>
      </c>
      <c r="S230" s="12"/>
      <c r="U230" s="12"/>
      <c r="V230" s="93"/>
      <c r="W230" s="92" t="str">
        <f t="shared" si="60"/>
        <v>2.1\0.7:13</v>
      </c>
      <c r="X230" s="92"/>
      <c r="Y230" s="113"/>
      <c r="Z230" s="93"/>
      <c r="AA230" s="9"/>
      <c r="AB230" s="104"/>
      <c r="AH230" s="94" t="s">
        <v>539</v>
      </c>
      <c r="AI230" s="168">
        <v>27</v>
      </c>
      <c r="AJ230" s="168">
        <v>28</v>
      </c>
    </row>
    <row r="231" spans="1:36" x14ac:dyDescent="0.3">
      <c r="A231" s="102" t="str">
        <f t="shared" si="61"/>
        <v>BSR130</v>
      </c>
      <c r="B231" s="93" t="str">
        <f t="shared" si="62"/>
        <v>DX01</v>
      </c>
      <c r="C231" s="93" t="str">
        <f t="shared" si="63"/>
        <v>DIO1</v>
      </c>
      <c r="D231" s="94">
        <f t="shared" si="59"/>
        <v>130</v>
      </c>
      <c r="E231" s="94">
        <v>2</v>
      </c>
      <c r="F231" s="94">
        <f t="shared" si="64"/>
        <v>1</v>
      </c>
      <c r="G231" s="94">
        <v>0</v>
      </c>
      <c r="H231" s="164">
        <f t="shared" si="66"/>
        <v>7</v>
      </c>
      <c r="I231" s="163">
        <f t="shared" si="65"/>
        <v>14</v>
      </c>
      <c r="J231" s="187"/>
      <c r="K231" s="113"/>
      <c r="L231" s="124" t="s">
        <v>42</v>
      </c>
      <c r="M231" s="124"/>
      <c r="N231" s="92"/>
      <c r="O231" s="92"/>
      <c r="P231" s="12"/>
      <c r="Q231" s="12"/>
      <c r="R231" s="12" t="s">
        <v>302</v>
      </c>
      <c r="S231" s="12"/>
      <c r="U231" s="12"/>
      <c r="V231" s="93"/>
      <c r="W231" s="92" t="str">
        <f t="shared" si="60"/>
        <v>2.1\0.7:14</v>
      </c>
      <c r="X231" s="92"/>
      <c r="Y231" s="113"/>
      <c r="Z231" s="93"/>
      <c r="AA231" s="9"/>
      <c r="AB231" s="104"/>
      <c r="AH231" s="94" t="s">
        <v>539</v>
      </c>
      <c r="AI231" s="168">
        <v>29</v>
      </c>
      <c r="AJ231" s="168">
        <v>30</v>
      </c>
    </row>
    <row r="232" spans="1:36" ht="13.5" thickBot="1" x14ac:dyDescent="0.35">
      <c r="A232" s="102" t="str">
        <f t="shared" si="61"/>
        <v>BSR130</v>
      </c>
      <c r="B232" s="93" t="str">
        <f t="shared" si="62"/>
        <v>DX01</v>
      </c>
      <c r="C232" s="93" t="str">
        <f t="shared" si="63"/>
        <v>DIO1</v>
      </c>
      <c r="D232" s="94">
        <f t="shared" si="59"/>
        <v>130</v>
      </c>
      <c r="E232" s="94">
        <v>2</v>
      </c>
      <c r="F232" s="94">
        <f t="shared" si="64"/>
        <v>1</v>
      </c>
      <c r="G232" s="94">
        <v>0</v>
      </c>
      <c r="H232" s="164">
        <f t="shared" si="66"/>
        <v>7</v>
      </c>
      <c r="I232" s="170">
        <f t="shared" si="65"/>
        <v>15</v>
      </c>
      <c r="J232" s="186"/>
      <c r="K232" s="113"/>
      <c r="L232" s="124" t="s">
        <v>42</v>
      </c>
      <c r="M232" s="124"/>
      <c r="N232" s="92">
        <v>4</v>
      </c>
      <c r="O232" s="92" t="s">
        <v>393</v>
      </c>
      <c r="P232" s="12" t="s">
        <v>52</v>
      </c>
      <c r="Q232" s="12"/>
      <c r="R232" s="12" t="s">
        <v>540</v>
      </c>
      <c r="S232" s="12"/>
      <c r="U232" s="12" t="s">
        <v>393</v>
      </c>
      <c r="V232" s="93"/>
      <c r="W232" s="92" t="str">
        <f t="shared" si="60"/>
        <v>2.1\0.7:15</v>
      </c>
      <c r="X232" s="92"/>
      <c r="Y232" s="94"/>
      <c r="Z232" s="93"/>
      <c r="AA232" s="9"/>
      <c r="AB232" s="104"/>
      <c r="AH232" s="94" t="s">
        <v>539</v>
      </c>
      <c r="AI232" s="168">
        <v>31</v>
      </c>
      <c r="AJ232" s="168">
        <v>32</v>
      </c>
    </row>
    <row r="233" spans="1:36" x14ac:dyDescent="0.3">
      <c r="A233" s="158" t="s">
        <v>291</v>
      </c>
      <c r="B233" s="93" t="str">
        <f t="shared" si="62"/>
        <v>DX01</v>
      </c>
      <c r="C233" s="93" t="str">
        <f t="shared" si="63"/>
        <v>DIO1</v>
      </c>
      <c r="D233" s="94">
        <f t="shared" si="59"/>
        <v>130</v>
      </c>
      <c r="E233" s="94">
        <v>2</v>
      </c>
      <c r="F233" s="94">
        <f t="shared" si="64"/>
        <v>1</v>
      </c>
      <c r="G233" s="94">
        <v>0</v>
      </c>
      <c r="H233" s="166">
        <f>H217+1</f>
        <v>8</v>
      </c>
      <c r="I233" s="165">
        <v>0</v>
      </c>
      <c r="J233" s="92"/>
      <c r="K233" s="41" t="s">
        <v>300</v>
      </c>
      <c r="L233" s="105"/>
      <c r="M233" s="105"/>
      <c r="N233" s="92"/>
      <c r="O233" s="92"/>
      <c r="P233" s="103"/>
      <c r="Q233" s="103"/>
      <c r="R233" s="103"/>
      <c r="S233" s="103"/>
      <c r="U233" s="103"/>
      <c r="W233" s="92" t="str">
        <f t="shared" si="60"/>
        <v>2.1\0.8:0</v>
      </c>
      <c r="Z233" s="93"/>
      <c r="AA233" s="104"/>
      <c r="AB233" s="104"/>
    </row>
    <row r="234" spans="1:36" x14ac:dyDescent="0.3">
      <c r="A234" s="102" t="str">
        <f>A233</f>
        <v>BSR130</v>
      </c>
      <c r="B234" s="93" t="str">
        <f t="shared" si="62"/>
        <v>DX01</v>
      </c>
      <c r="C234" s="93" t="str">
        <f t="shared" si="63"/>
        <v>DIO1</v>
      </c>
      <c r="D234" s="94">
        <f t="shared" si="59"/>
        <v>130</v>
      </c>
      <c r="E234" s="94">
        <v>2</v>
      </c>
      <c r="F234" s="94">
        <f t="shared" si="64"/>
        <v>1</v>
      </c>
      <c r="G234" s="94">
        <v>0</v>
      </c>
      <c r="H234" s="164">
        <f>+H233</f>
        <v>8</v>
      </c>
      <c r="I234" s="163">
        <f>+I233+1</f>
        <v>1</v>
      </c>
      <c r="J234" s="92"/>
      <c r="K234" s="94"/>
      <c r="L234" s="105"/>
      <c r="M234" s="105"/>
      <c r="N234" s="92"/>
      <c r="O234" s="92"/>
      <c r="P234" s="103"/>
      <c r="Q234" s="103"/>
      <c r="R234" s="103"/>
      <c r="S234" s="103"/>
      <c r="U234" s="103"/>
      <c r="W234" s="92" t="str">
        <f t="shared" si="60"/>
        <v>2.1\0.8:1</v>
      </c>
      <c r="Z234" s="93"/>
      <c r="AA234" s="104"/>
      <c r="AB234" s="104"/>
    </row>
    <row r="235" spans="1:36" x14ac:dyDescent="0.3">
      <c r="A235" s="102" t="str">
        <f>A234</f>
        <v>BSR130</v>
      </c>
      <c r="B235" s="93" t="str">
        <f t="shared" si="62"/>
        <v>DX01</v>
      </c>
      <c r="C235" s="93" t="str">
        <f t="shared" si="63"/>
        <v>DIO1</v>
      </c>
      <c r="D235" s="94">
        <f t="shared" si="59"/>
        <v>130</v>
      </c>
      <c r="E235" s="94">
        <v>2</v>
      </c>
      <c r="F235" s="94">
        <f t="shared" si="64"/>
        <v>1</v>
      </c>
      <c r="G235" s="94">
        <v>0</v>
      </c>
      <c r="H235" s="164">
        <f>+H234</f>
        <v>8</v>
      </c>
      <c r="I235" s="163">
        <f>+I234+1</f>
        <v>2</v>
      </c>
      <c r="J235" s="92"/>
      <c r="K235" s="94"/>
      <c r="L235" s="105"/>
      <c r="M235" s="105"/>
      <c r="N235" s="92"/>
      <c r="O235" s="92"/>
      <c r="P235" s="103"/>
      <c r="Q235" s="103"/>
      <c r="R235" s="103"/>
      <c r="S235" s="103"/>
      <c r="U235" s="103"/>
      <c r="W235" s="92" t="str">
        <f t="shared" si="60"/>
        <v>2.1\0.8:2</v>
      </c>
      <c r="Z235" s="93"/>
      <c r="AA235" s="104"/>
      <c r="AB235" s="104"/>
    </row>
    <row r="236" spans="1:36" ht="13.5" thickBot="1" x14ac:dyDescent="0.35">
      <c r="A236" s="102" t="str">
        <f>A235</f>
        <v>BSR130</v>
      </c>
      <c r="B236" s="93" t="str">
        <f t="shared" si="62"/>
        <v>DX01</v>
      </c>
      <c r="C236" s="93" t="str">
        <f t="shared" si="63"/>
        <v>DIO1</v>
      </c>
      <c r="D236" s="94">
        <f t="shared" si="59"/>
        <v>130</v>
      </c>
      <c r="E236" s="94">
        <v>2</v>
      </c>
      <c r="F236" s="94">
        <f t="shared" si="64"/>
        <v>1</v>
      </c>
      <c r="G236" s="94">
        <v>0</v>
      </c>
      <c r="H236" s="164">
        <f>+H235</f>
        <v>8</v>
      </c>
      <c r="I236" s="163">
        <f>+I235+1</f>
        <v>3</v>
      </c>
      <c r="J236" s="92"/>
      <c r="K236" s="94"/>
      <c r="L236" s="105"/>
      <c r="M236" s="105"/>
      <c r="N236" s="92"/>
      <c r="O236" s="92"/>
      <c r="P236" s="103"/>
      <c r="Q236" s="103"/>
      <c r="R236" s="103"/>
      <c r="S236" s="103"/>
      <c r="U236" s="103"/>
      <c r="W236" s="92" t="str">
        <f t="shared" si="60"/>
        <v>2.1\0.8:3</v>
      </c>
      <c r="Z236" s="93"/>
      <c r="AA236" s="104"/>
      <c r="AB236" s="104"/>
    </row>
    <row r="237" spans="1:36" x14ac:dyDescent="0.3">
      <c r="A237" s="158" t="s">
        <v>291</v>
      </c>
      <c r="B237" s="93" t="str">
        <f t="shared" si="62"/>
        <v>DX01</v>
      </c>
      <c r="C237" s="93" t="str">
        <f t="shared" si="63"/>
        <v>DIO1</v>
      </c>
      <c r="D237" s="94">
        <f t="shared" si="59"/>
        <v>130</v>
      </c>
      <c r="E237" s="94">
        <v>2</v>
      </c>
      <c r="F237" s="94">
        <f t="shared" si="64"/>
        <v>1</v>
      </c>
      <c r="G237" s="94">
        <v>0</v>
      </c>
      <c r="H237" s="167">
        <f>H233+1</f>
        <v>9</v>
      </c>
      <c r="I237" s="165">
        <v>0</v>
      </c>
      <c r="J237" s="92"/>
      <c r="K237" s="41" t="s">
        <v>300</v>
      </c>
      <c r="L237" s="105"/>
      <c r="M237" s="105"/>
      <c r="N237" s="92"/>
      <c r="O237" s="92"/>
      <c r="P237" s="103"/>
      <c r="Q237" s="103"/>
      <c r="R237" s="103"/>
      <c r="S237" s="103"/>
      <c r="U237" s="103"/>
      <c r="W237" s="92" t="str">
        <f t="shared" si="60"/>
        <v>2.1\0.9:0</v>
      </c>
      <c r="Z237" s="93"/>
      <c r="AA237" s="104"/>
      <c r="AB237" s="104"/>
    </row>
    <row r="238" spans="1:36" x14ac:dyDescent="0.3">
      <c r="A238" s="102" t="str">
        <f>A237</f>
        <v>BSR130</v>
      </c>
      <c r="B238" s="93" t="str">
        <f t="shared" si="62"/>
        <v>DX01</v>
      </c>
      <c r="C238" s="93" t="str">
        <f t="shared" si="63"/>
        <v>DIO1</v>
      </c>
      <c r="D238" s="94">
        <f t="shared" si="59"/>
        <v>130</v>
      </c>
      <c r="E238" s="94">
        <v>2</v>
      </c>
      <c r="F238" s="94">
        <f t="shared" si="64"/>
        <v>1</v>
      </c>
      <c r="G238" s="94">
        <v>0</v>
      </c>
      <c r="H238" s="164">
        <f>+H237</f>
        <v>9</v>
      </c>
      <c r="I238" s="163">
        <f>+I237+1</f>
        <v>1</v>
      </c>
      <c r="J238" s="92"/>
      <c r="K238" s="94"/>
      <c r="L238" s="105"/>
      <c r="M238" s="105"/>
      <c r="N238" s="92"/>
      <c r="O238" s="92"/>
      <c r="P238" s="103"/>
      <c r="Q238" s="103"/>
      <c r="R238" s="103"/>
      <c r="S238" s="103"/>
      <c r="U238" s="103"/>
      <c r="W238" s="92" t="str">
        <f t="shared" si="60"/>
        <v>2.1\0.9:1</v>
      </c>
      <c r="Z238" s="93"/>
      <c r="AA238" s="104"/>
      <c r="AB238" s="104"/>
    </row>
    <row r="239" spans="1:36" x14ac:dyDescent="0.3">
      <c r="A239" s="102" t="str">
        <f>A238</f>
        <v>BSR130</v>
      </c>
      <c r="B239" s="93" t="str">
        <f t="shared" si="62"/>
        <v>DX01</v>
      </c>
      <c r="C239" s="93" t="str">
        <f t="shared" si="63"/>
        <v>DIO1</v>
      </c>
      <c r="D239" s="94">
        <f t="shared" si="59"/>
        <v>130</v>
      </c>
      <c r="E239" s="94">
        <v>2</v>
      </c>
      <c r="F239" s="94">
        <f t="shared" si="64"/>
        <v>1</v>
      </c>
      <c r="G239" s="94">
        <v>0</v>
      </c>
      <c r="H239" s="164">
        <f>+H238</f>
        <v>9</v>
      </c>
      <c r="I239" s="163">
        <f>+I238+1</f>
        <v>2</v>
      </c>
      <c r="J239" s="92"/>
      <c r="K239" s="94"/>
      <c r="L239" s="105"/>
      <c r="M239" s="105"/>
      <c r="N239" s="92"/>
      <c r="O239" s="92"/>
      <c r="P239" s="103"/>
      <c r="Q239" s="103"/>
      <c r="R239" s="103"/>
      <c r="S239" s="103"/>
      <c r="U239" s="103"/>
      <c r="W239" s="92" t="str">
        <f t="shared" si="60"/>
        <v>2.1\0.9:2</v>
      </c>
      <c r="Z239" s="93"/>
      <c r="AA239" s="104"/>
      <c r="AB239" s="104"/>
    </row>
    <row r="240" spans="1:36" ht="13.5" thickBot="1" x14ac:dyDescent="0.35">
      <c r="A240" s="102" t="str">
        <f>A239</f>
        <v>BSR130</v>
      </c>
      <c r="B240" s="93" t="str">
        <f t="shared" si="62"/>
        <v>DX01</v>
      </c>
      <c r="C240" s="93" t="str">
        <f t="shared" si="63"/>
        <v>DIO1</v>
      </c>
      <c r="D240" s="94">
        <f t="shared" si="59"/>
        <v>130</v>
      </c>
      <c r="E240" s="94">
        <v>2</v>
      </c>
      <c r="F240" s="94">
        <f t="shared" si="64"/>
        <v>1</v>
      </c>
      <c r="G240" s="94">
        <v>0</v>
      </c>
      <c r="H240" s="164">
        <f>+H239</f>
        <v>9</v>
      </c>
      <c r="I240" s="163">
        <f>+I239+1</f>
        <v>3</v>
      </c>
      <c r="J240" s="92"/>
      <c r="K240" s="94"/>
      <c r="L240" s="105"/>
      <c r="M240" s="105"/>
      <c r="N240" s="92"/>
      <c r="O240" s="92"/>
      <c r="P240" s="103"/>
      <c r="Q240" s="103"/>
      <c r="R240" s="103"/>
      <c r="S240" s="103"/>
      <c r="U240" s="103"/>
      <c r="W240" s="92" t="str">
        <f t="shared" si="60"/>
        <v>2.1\0.9:3</v>
      </c>
      <c r="Z240" s="93"/>
      <c r="AA240" s="104"/>
      <c r="AB240" s="104"/>
    </row>
    <row r="241" spans="1:38" x14ac:dyDescent="0.3">
      <c r="A241" s="158" t="s">
        <v>291</v>
      </c>
      <c r="B241" s="93" t="str">
        <f t="shared" si="62"/>
        <v>DX01</v>
      </c>
      <c r="C241" s="93" t="str">
        <f t="shared" si="63"/>
        <v>DIO1</v>
      </c>
      <c r="D241" s="94">
        <f t="shared" si="59"/>
        <v>130</v>
      </c>
      <c r="E241" s="94">
        <v>2</v>
      </c>
      <c r="F241" s="94">
        <f t="shared" si="64"/>
        <v>1</v>
      </c>
      <c r="G241" s="94">
        <v>0</v>
      </c>
      <c r="H241" s="166">
        <f>H237+1</f>
        <v>10</v>
      </c>
      <c r="I241" s="165">
        <v>0</v>
      </c>
      <c r="J241" s="92"/>
      <c r="K241" s="41" t="s">
        <v>300</v>
      </c>
      <c r="L241" s="105"/>
      <c r="M241" s="105"/>
      <c r="N241" s="92"/>
      <c r="O241" s="92"/>
      <c r="P241" s="103"/>
      <c r="Q241" s="103"/>
      <c r="R241" s="103"/>
      <c r="S241" s="103"/>
      <c r="U241" s="103"/>
      <c r="W241" s="92" t="str">
        <f t="shared" si="60"/>
        <v>2.1\0.10:0</v>
      </c>
      <c r="Z241" s="93"/>
      <c r="AA241" s="104"/>
      <c r="AB241" s="104"/>
    </row>
    <row r="242" spans="1:38" x14ac:dyDescent="0.3">
      <c r="A242" s="102" t="str">
        <f>A241</f>
        <v>BSR130</v>
      </c>
      <c r="B242" s="93" t="str">
        <f t="shared" si="62"/>
        <v>DX01</v>
      </c>
      <c r="C242" s="93" t="str">
        <f t="shared" si="63"/>
        <v>DIO1</v>
      </c>
      <c r="D242" s="94">
        <f t="shared" si="59"/>
        <v>130</v>
      </c>
      <c r="E242" s="94">
        <v>2</v>
      </c>
      <c r="F242" s="94">
        <f t="shared" si="64"/>
        <v>1</v>
      </c>
      <c r="G242" s="94">
        <v>0</v>
      </c>
      <c r="H242" s="164">
        <f>+H241</f>
        <v>10</v>
      </c>
      <c r="I242" s="163">
        <f>+I241+1</f>
        <v>1</v>
      </c>
      <c r="J242" s="92"/>
      <c r="K242" s="94"/>
      <c r="L242" s="105"/>
      <c r="M242" s="105"/>
      <c r="N242" s="92"/>
      <c r="O242" s="92"/>
      <c r="P242" s="103"/>
      <c r="Q242" s="103"/>
      <c r="R242" s="103"/>
      <c r="S242" s="103"/>
      <c r="U242" s="103"/>
      <c r="W242" s="92" t="str">
        <f t="shared" si="60"/>
        <v>2.1\0.10:1</v>
      </c>
      <c r="Z242" s="93"/>
      <c r="AA242" s="104"/>
      <c r="AB242" s="104"/>
    </row>
    <row r="243" spans="1:38" x14ac:dyDescent="0.3">
      <c r="A243" s="102" t="str">
        <f>A242</f>
        <v>BSR130</v>
      </c>
      <c r="B243" s="93" t="str">
        <f t="shared" si="62"/>
        <v>DX01</v>
      </c>
      <c r="C243" s="93" t="str">
        <f t="shared" si="63"/>
        <v>DIO1</v>
      </c>
      <c r="D243" s="94">
        <f t="shared" si="59"/>
        <v>130</v>
      </c>
      <c r="E243" s="94">
        <v>2</v>
      </c>
      <c r="F243" s="94">
        <f t="shared" si="64"/>
        <v>1</v>
      </c>
      <c r="G243" s="94">
        <v>0</v>
      </c>
      <c r="H243" s="164">
        <f>+H242</f>
        <v>10</v>
      </c>
      <c r="I243" s="163">
        <f>+I242+1</f>
        <v>2</v>
      </c>
      <c r="J243" s="92"/>
      <c r="K243" s="94"/>
      <c r="L243" s="105"/>
      <c r="M243" s="105"/>
      <c r="N243" s="92"/>
      <c r="O243" s="92"/>
      <c r="P243" s="103"/>
      <c r="Q243" s="103"/>
      <c r="R243" s="103"/>
      <c r="S243" s="103"/>
      <c r="U243" s="103"/>
      <c r="W243" s="92" t="str">
        <f t="shared" si="60"/>
        <v>2.1\0.10:2</v>
      </c>
      <c r="Z243" s="93"/>
      <c r="AA243" s="104"/>
      <c r="AB243" s="104"/>
    </row>
    <row r="244" spans="1:38" ht="13.5" thickBot="1" x14ac:dyDescent="0.35">
      <c r="A244" s="102" t="str">
        <f>A243</f>
        <v>BSR130</v>
      </c>
      <c r="B244" s="93" t="str">
        <f t="shared" si="62"/>
        <v>DX01</v>
      </c>
      <c r="C244" s="93" t="str">
        <f t="shared" si="63"/>
        <v>DIO1</v>
      </c>
      <c r="D244" s="94">
        <f t="shared" si="59"/>
        <v>130</v>
      </c>
      <c r="E244" s="94">
        <v>2</v>
      </c>
      <c r="F244" s="94">
        <f t="shared" si="64"/>
        <v>1</v>
      </c>
      <c r="G244" s="94">
        <v>0</v>
      </c>
      <c r="H244" s="164">
        <f>+H243</f>
        <v>10</v>
      </c>
      <c r="I244" s="163">
        <f>+I243+1</f>
        <v>3</v>
      </c>
      <c r="J244" s="92"/>
      <c r="K244" s="94"/>
      <c r="L244" s="105"/>
      <c r="M244" s="105"/>
      <c r="N244" s="92"/>
      <c r="O244" s="92"/>
      <c r="P244" s="103"/>
      <c r="Q244" s="103"/>
      <c r="R244" s="103"/>
      <c r="S244" s="103"/>
      <c r="U244" s="103"/>
      <c r="W244" s="92" t="str">
        <f t="shared" si="60"/>
        <v>2.1\0.10:3</v>
      </c>
      <c r="Z244" s="93"/>
      <c r="AA244" s="104"/>
      <c r="AB244" s="104"/>
    </row>
    <row r="245" spans="1:38" x14ac:dyDescent="0.3">
      <c r="A245" s="158" t="s">
        <v>291</v>
      </c>
      <c r="B245" s="93" t="str">
        <f t="shared" si="62"/>
        <v>DX01</v>
      </c>
      <c r="C245" s="93" t="str">
        <f t="shared" si="63"/>
        <v>DIO1</v>
      </c>
      <c r="D245" s="94">
        <f t="shared" si="59"/>
        <v>130</v>
      </c>
      <c r="E245" s="94">
        <v>2</v>
      </c>
      <c r="F245" s="94">
        <f t="shared" si="64"/>
        <v>1</v>
      </c>
      <c r="G245" s="94">
        <v>0</v>
      </c>
      <c r="H245" s="166">
        <f>H241+1</f>
        <v>11</v>
      </c>
      <c r="I245" s="165">
        <v>0</v>
      </c>
      <c r="J245" s="92"/>
      <c r="K245" s="41" t="s">
        <v>300</v>
      </c>
      <c r="L245" s="105"/>
      <c r="M245" s="105"/>
      <c r="N245" s="92"/>
      <c r="O245" s="92"/>
      <c r="P245" s="103"/>
      <c r="Q245" s="103"/>
      <c r="R245" s="103"/>
      <c r="S245" s="103"/>
      <c r="U245" s="103"/>
      <c r="W245" s="92" t="str">
        <f t="shared" si="60"/>
        <v>2.1\0.11:0</v>
      </c>
      <c r="Z245" s="93"/>
      <c r="AA245" s="104"/>
      <c r="AB245" s="104"/>
    </row>
    <row r="246" spans="1:38" x14ac:dyDescent="0.3">
      <c r="A246" s="102" t="str">
        <f>A245</f>
        <v>BSR130</v>
      </c>
      <c r="B246" s="93" t="str">
        <f t="shared" si="62"/>
        <v>DX01</v>
      </c>
      <c r="C246" s="93" t="str">
        <f t="shared" si="63"/>
        <v>DIO1</v>
      </c>
      <c r="D246" s="94">
        <f t="shared" si="59"/>
        <v>130</v>
      </c>
      <c r="E246" s="94">
        <v>2</v>
      </c>
      <c r="F246" s="94">
        <f t="shared" si="64"/>
        <v>1</v>
      </c>
      <c r="G246" s="94">
        <v>0</v>
      </c>
      <c r="H246" s="164">
        <f>+H245</f>
        <v>11</v>
      </c>
      <c r="I246" s="163">
        <f>+I245+1</f>
        <v>1</v>
      </c>
      <c r="J246" s="92"/>
      <c r="K246" s="94"/>
      <c r="L246" s="105"/>
      <c r="M246" s="105"/>
      <c r="N246" s="92"/>
      <c r="O246" s="92"/>
      <c r="P246" s="103"/>
      <c r="Q246" s="103"/>
      <c r="R246" s="103"/>
      <c r="S246" s="103"/>
      <c r="U246" s="103"/>
      <c r="W246" s="92" t="str">
        <f t="shared" si="60"/>
        <v>2.1\0.11:1</v>
      </c>
      <c r="Z246" s="93"/>
      <c r="AA246" s="104"/>
      <c r="AB246" s="104"/>
    </row>
    <row r="247" spans="1:38" x14ac:dyDescent="0.3">
      <c r="A247" s="102" t="str">
        <f>A246</f>
        <v>BSR130</v>
      </c>
      <c r="B247" s="93" t="str">
        <f t="shared" si="62"/>
        <v>DX01</v>
      </c>
      <c r="C247" s="93" t="str">
        <f t="shared" si="63"/>
        <v>DIO1</v>
      </c>
      <c r="D247" s="94">
        <f t="shared" si="59"/>
        <v>130</v>
      </c>
      <c r="E247" s="94">
        <v>2</v>
      </c>
      <c r="F247" s="94">
        <f t="shared" si="64"/>
        <v>1</v>
      </c>
      <c r="G247" s="94">
        <v>0</v>
      </c>
      <c r="H247" s="164">
        <f>+H246</f>
        <v>11</v>
      </c>
      <c r="I247" s="163">
        <f>+I246+1</f>
        <v>2</v>
      </c>
      <c r="J247" s="92"/>
      <c r="K247" s="94"/>
      <c r="L247" s="105"/>
      <c r="M247" s="105"/>
      <c r="N247" s="92"/>
      <c r="O247" s="92"/>
      <c r="P247" s="103"/>
      <c r="Q247" s="103"/>
      <c r="R247" s="103"/>
      <c r="S247" s="103"/>
      <c r="U247" s="103"/>
      <c r="W247" s="92" t="str">
        <f t="shared" si="60"/>
        <v>2.1\0.11:2</v>
      </c>
      <c r="Z247" s="93"/>
      <c r="AA247" s="104"/>
      <c r="AB247" s="104"/>
    </row>
    <row r="248" spans="1:38" x14ac:dyDescent="0.3">
      <c r="A248" s="102" t="str">
        <f>A247</f>
        <v>BSR130</v>
      </c>
      <c r="B248" s="93" t="str">
        <f t="shared" si="62"/>
        <v>DX01</v>
      </c>
      <c r="C248" s="93" t="str">
        <f t="shared" si="63"/>
        <v>DIO1</v>
      </c>
      <c r="D248" s="94">
        <f t="shared" si="59"/>
        <v>130</v>
      </c>
      <c r="E248" s="94">
        <v>2</v>
      </c>
      <c r="F248" s="94">
        <f t="shared" si="64"/>
        <v>1</v>
      </c>
      <c r="G248" s="94">
        <v>0</v>
      </c>
      <c r="H248" s="164">
        <f>+H247</f>
        <v>11</v>
      </c>
      <c r="I248" s="163">
        <f>+I247+1</f>
        <v>3</v>
      </c>
      <c r="J248" s="92"/>
      <c r="K248" s="94"/>
      <c r="L248" s="105"/>
      <c r="M248" s="105"/>
      <c r="N248" s="92"/>
      <c r="O248" s="92"/>
      <c r="P248" s="103"/>
      <c r="Q248" s="103"/>
      <c r="R248" s="103"/>
      <c r="S248" s="103"/>
      <c r="U248" s="103"/>
      <c r="W248" s="92" t="str">
        <f t="shared" si="60"/>
        <v>2.1\0.11:3</v>
      </c>
      <c r="Z248" s="93"/>
      <c r="AA248" s="104"/>
      <c r="AB248" s="104"/>
    </row>
    <row r="249" spans="1:38" ht="13.5" thickBot="1" x14ac:dyDescent="0.35">
      <c r="B249" s="93"/>
      <c r="C249" s="93"/>
      <c r="D249" s="113"/>
      <c r="E249" s="140"/>
      <c r="F249" s="113"/>
      <c r="G249" s="113"/>
      <c r="H249" s="164"/>
      <c r="I249" s="164"/>
      <c r="J249" s="92"/>
      <c r="K249" s="94"/>
      <c r="L249" s="105"/>
      <c r="M249" s="105"/>
      <c r="P249" s="96"/>
      <c r="Q249" s="96"/>
      <c r="R249" s="96"/>
      <c r="S249" s="96"/>
      <c r="Z249" s="93"/>
      <c r="AA249" s="9"/>
      <c r="AB249" s="9"/>
    </row>
    <row r="250" spans="1:38" ht="15" thickBot="1" x14ac:dyDescent="0.4">
      <c r="A250" s="185" t="s">
        <v>291</v>
      </c>
      <c r="B250" s="92" t="s">
        <v>535</v>
      </c>
      <c r="C250" s="92"/>
      <c r="D250" s="93">
        <v>130</v>
      </c>
      <c r="E250" s="94"/>
      <c r="F250" s="94"/>
      <c r="G250" s="94"/>
      <c r="H250" s="102"/>
      <c r="I250" s="182"/>
      <c r="J250" s="181"/>
      <c r="K250" s="142" t="s">
        <v>117</v>
      </c>
      <c r="L250" s="104"/>
      <c r="M250" s="92"/>
      <c r="N250" s="93">
        <v>4</v>
      </c>
      <c r="O250" s="93"/>
      <c r="R250" s="142" t="s">
        <v>538</v>
      </c>
      <c r="T250" s="92" t="s">
        <v>524</v>
      </c>
      <c r="U250" s="92" t="s">
        <v>513</v>
      </c>
      <c r="Z250" s="93"/>
      <c r="AA250" s="9"/>
      <c r="AB250" s="9"/>
      <c r="AH250" s="141" t="s">
        <v>537</v>
      </c>
      <c r="AI250" s="141" t="s">
        <v>225</v>
      </c>
      <c r="AJ250" s="141" t="s">
        <v>224</v>
      </c>
      <c r="AK250" s="141" t="s">
        <v>223</v>
      </c>
      <c r="AL250" s="141" t="s">
        <v>536</v>
      </c>
    </row>
    <row r="251" spans="1:38" ht="15" thickBot="1" x14ac:dyDescent="0.4">
      <c r="A251" s="102" t="str">
        <f>A250</f>
        <v>BSR130</v>
      </c>
      <c r="B251" s="92" t="s">
        <v>535</v>
      </c>
      <c r="C251" s="92"/>
      <c r="D251" s="93">
        <v>130</v>
      </c>
      <c r="E251" s="184"/>
      <c r="F251" s="184"/>
      <c r="G251" s="184"/>
      <c r="H251" s="104"/>
      <c r="I251" s="182"/>
      <c r="J251" s="181"/>
      <c r="K251" s="142" t="s">
        <v>117</v>
      </c>
      <c r="L251" s="104"/>
      <c r="M251" s="92"/>
      <c r="N251" s="93">
        <v>4</v>
      </c>
      <c r="O251" s="93"/>
      <c r="R251" s="142" t="s">
        <v>534</v>
      </c>
      <c r="T251" s="92" t="s">
        <v>518</v>
      </c>
      <c r="U251" s="92" t="s">
        <v>513</v>
      </c>
      <c r="Z251" s="93"/>
      <c r="AA251" s="9"/>
      <c r="AB251" s="9"/>
      <c r="AH251" s="141" t="str">
        <f t="shared" ref="AH251:AH256" si="67">+AH250</f>
        <v>F12</v>
      </c>
      <c r="AI251" s="141" t="s">
        <v>533</v>
      </c>
      <c r="AJ251" s="141" t="s">
        <v>532</v>
      </c>
      <c r="AK251" s="141" t="s">
        <v>531</v>
      </c>
      <c r="AL251" s="141" t="s">
        <v>530</v>
      </c>
    </row>
    <row r="252" spans="1:38" ht="14.5" x14ac:dyDescent="0.35">
      <c r="B252" s="93"/>
      <c r="C252" s="93"/>
      <c r="D252" s="113"/>
      <c r="E252" s="140"/>
      <c r="F252" s="113"/>
      <c r="G252" s="113"/>
      <c r="H252" s="164"/>
      <c r="I252" s="164"/>
      <c r="J252" s="92"/>
      <c r="K252" s="94"/>
      <c r="L252" s="105"/>
      <c r="M252" s="105"/>
      <c r="N252" s="93">
        <v>4</v>
      </c>
      <c r="O252" s="93"/>
      <c r="P252" s="96"/>
      <c r="Q252" s="96"/>
      <c r="R252" s="142" t="s">
        <v>529</v>
      </c>
      <c r="S252" s="96"/>
      <c r="T252" s="92" t="s">
        <v>106</v>
      </c>
      <c r="U252" s="92" t="s">
        <v>513</v>
      </c>
      <c r="Z252" s="93"/>
      <c r="AA252" s="9"/>
      <c r="AB252" s="9"/>
      <c r="AH252" s="141" t="str">
        <f t="shared" si="67"/>
        <v>F12</v>
      </c>
      <c r="AI252" s="141" t="s">
        <v>215</v>
      </c>
      <c r="AJ252" s="141" t="s">
        <v>214</v>
      </c>
      <c r="AK252" s="141" t="s">
        <v>213</v>
      </c>
      <c r="AL252" s="141" t="s">
        <v>528</v>
      </c>
    </row>
    <row r="253" spans="1:38" ht="14.5" x14ac:dyDescent="0.35">
      <c r="B253" s="93"/>
      <c r="C253" s="93"/>
      <c r="D253" s="113"/>
      <c r="E253" s="140"/>
      <c r="F253" s="113"/>
      <c r="G253" s="113"/>
      <c r="H253" s="164"/>
      <c r="I253" s="164"/>
      <c r="J253" s="92"/>
      <c r="K253" s="94"/>
      <c r="L253" s="105"/>
      <c r="M253" s="105"/>
      <c r="N253" s="93">
        <v>4</v>
      </c>
      <c r="O253" s="93"/>
      <c r="P253" s="96"/>
      <c r="Q253" s="96"/>
      <c r="R253" s="142" t="s">
        <v>527</v>
      </c>
      <c r="S253" s="96"/>
      <c r="T253" s="92" t="s">
        <v>106</v>
      </c>
      <c r="U253" s="92" t="s">
        <v>526</v>
      </c>
      <c r="Z253" s="93"/>
      <c r="AA253" s="9"/>
      <c r="AB253" s="9"/>
      <c r="AH253" s="141" t="str">
        <f t="shared" si="67"/>
        <v>F12</v>
      </c>
      <c r="AI253" s="141" t="s">
        <v>211</v>
      </c>
      <c r="AJ253" s="141" t="s">
        <v>210</v>
      </c>
      <c r="AK253" s="141" t="s">
        <v>209</v>
      </c>
      <c r="AL253" s="141" t="s">
        <v>208</v>
      </c>
    </row>
    <row r="254" spans="1:38" ht="15" thickBot="1" x14ac:dyDescent="0.4">
      <c r="B254" s="93"/>
      <c r="C254" s="93"/>
      <c r="D254" s="93">
        <v>130</v>
      </c>
      <c r="E254" s="140"/>
      <c r="F254" s="113"/>
      <c r="G254" s="113"/>
      <c r="H254" s="164"/>
      <c r="I254" s="164"/>
      <c r="J254" s="92"/>
      <c r="K254" s="142" t="s">
        <v>117</v>
      </c>
      <c r="L254" s="105"/>
      <c r="M254" s="105"/>
      <c r="N254" s="93">
        <v>4</v>
      </c>
      <c r="O254" s="93"/>
      <c r="P254" s="96"/>
      <c r="Q254" s="96"/>
      <c r="R254" s="142" t="s">
        <v>525</v>
      </c>
      <c r="S254" s="96"/>
      <c r="T254" s="92" t="s">
        <v>524</v>
      </c>
      <c r="U254" s="92" t="s">
        <v>513</v>
      </c>
      <c r="Z254" s="93"/>
      <c r="AA254" s="9"/>
      <c r="AB254" s="9"/>
      <c r="AH254" s="141" t="str">
        <f t="shared" si="67"/>
        <v>F12</v>
      </c>
      <c r="AI254" s="141" t="s">
        <v>206</v>
      </c>
      <c r="AJ254" s="141" t="s">
        <v>205</v>
      </c>
      <c r="AK254" s="141" t="s">
        <v>204</v>
      </c>
      <c r="AL254" s="141" t="s">
        <v>203</v>
      </c>
    </row>
    <row r="255" spans="1:38" ht="15" thickBot="1" x14ac:dyDescent="0.4">
      <c r="B255" s="93"/>
      <c r="C255" s="93"/>
      <c r="D255" s="93">
        <v>130</v>
      </c>
      <c r="E255" s="140"/>
      <c r="F255" s="113"/>
      <c r="G255" s="113"/>
      <c r="H255" s="164"/>
      <c r="I255" s="182"/>
      <c r="J255" s="181"/>
      <c r="K255" s="142" t="s">
        <v>125</v>
      </c>
      <c r="L255" s="105"/>
      <c r="M255" s="105"/>
      <c r="N255" s="93">
        <v>4</v>
      </c>
      <c r="O255" s="93"/>
      <c r="P255" s="96"/>
      <c r="Q255" s="96"/>
      <c r="R255" s="142" t="s">
        <v>523</v>
      </c>
      <c r="S255" s="96"/>
      <c r="T255" s="92" t="s">
        <v>522</v>
      </c>
      <c r="U255" s="92" t="s">
        <v>513</v>
      </c>
      <c r="Z255" s="93"/>
      <c r="AA255" s="9"/>
      <c r="AB255" s="9"/>
      <c r="AH255" s="141" t="str">
        <f t="shared" si="67"/>
        <v>F12</v>
      </c>
      <c r="AI255" s="141" t="s">
        <v>199</v>
      </c>
      <c r="AJ255" s="141" t="s">
        <v>198</v>
      </c>
      <c r="AK255" s="141" t="s">
        <v>197</v>
      </c>
      <c r="AL255" s="141" t="s">
        <v>196</v>
      </c>
    </row>
    <row r="256" spans="1:38" ht="15" thickBot="1" x14ac:dyDescent="0.4">
      <c r="B256" s="93"/>
      <c r="C256" s="93"/>
      <c r="D256" s="93">
        <v>130</v>
      </c>
      <c r="E256" s="140"/>
      <c r="F256" s="113"/>
      <c r="G256" s="113"/>
      <c r="H256" s="164"/>
      <c r="I256" s="182"/>
      <c r="J256" s="181"/>
      <c r="K256" s="142" t="s">
        <v>138</v>
      </c>
      <c r="L256" s="105"/>
      <c r="M256" s="105"/>
      <c r="N256" s="93">
        <v>4</v>
      </c>
      <c r="O256" s="93"/>
      <c r="P256" s="96"/>
      <c r="Q256" s="96"/>
      <c r="R256" s="142" t="s">
        <v>521</v>
      </c>
      <c r="S256" s="96"/>
      <c r="T256" s="92" t="s">
        <v>520</v>
      </c>
      <c r="U256" s="92" t="s">
        <v>513</v>
      </c>
      <c r="Z256" s="93"/>
      <c r="AA256" s="9"/>
      <c r="AB256" s="9"/>
      <c r="AH256" s="141" t="str">
        <f t="shared" si="67"/>
        <v>F12</v>
      </c>
      <c r="AI256" s="141" t="s">
        <v>193</v>
      </c>
      <c r="AJ256" s="141" t="s">
        <v>192</v>
      </c>
      <c r="AK256" s="141" t="s">
        <v>191</v>
      </c>
      <c r="AL256" s="141" t="s">
        <v>190</v>
      </c>
    </row>
    <row r="257" spans="2:38" ht="15" thickBot="1" x14ac:dyDescent="0.4">
      <c r="B257" s="93"/>
      <c r="C257" s="93"/>
      <c r="D257" s="93">
        <v>130</v>
      </c>
      <c r="E257" s="140"/>
      <c r="F257" s="113"/>
      <c r="G257" s="113"/>
      <c r="H257" s="164"/>
      <c r="I257" s="164"/>
      <c r="J257" s="92"/>
      <c r="K257" s="142" t="s">
        <v>117</v>
      </c>
      <c r="L257" s="105"/>
      <c r="M257" s="105"/>
      <c r="N257" s="93">
        <v>4</v>
      </c>
      <c r="O257" s="93"/>
      <c r="P257" s="96"/>
      <c r="Q257" s="96"/>
      <c r="R257" s="142" t="s">
        <v>519</v>
      </c>
      <c r="S257" s="96"/>
      <c r="T257" s="92" t="s">
        <v>518</v>
      </c>
      <c r="U257" s="92" t="s">
        <v>513</v>
      </c>
      <c r="Z257" s="93"/>
      <c r="AA257" s="9"/>
      <c r="AB257" s="9"/>
      <c r="AH257" s="141" t="str">
        <f>+AH255</f>
        <v>F12</v>
      </c>
      <c r="AI257" s="141" t="s">
        <v>187</v>
      </c>
      <c r="AJ257" s="141" t="s">
        <v>186</v>
      </c>
      <c r="AK257" s="141" t="s">
        <v>185</v>
      </c>
      <c r="AL257" s="141" t="s">
        <v>184</v>
      </c>
    </row>
    <row r="258" spans="2:38" ht="15" thickBot="1" x14ac:dyDescent="0.4">
      <c r="B258" s="93"/>
      <c r="C258" s="93"/>
      <c r="D258" s="93">
        <v>130</v>
      </c>
      <c r="E258" s="140"/>
      <c r="F258" s="113"/>
      <c r="G258" s="113"/>
      <c r="H258" s="164"/>
      <c r="I258" s="182"/>
      <c r="J258" s="181"/>
      <c r="K258" s="142" t="s">
        <v>125</v>
      </c>
      <c r="L258" s="105"/>
      <c r="M258" s="105"/>
      <c r="N258" s="93">
        <v>4</v>
      </c>
      <c r="O258" s="93"/>
      <c r="P258" s="96"/>
      <c r="Q258" s="96"/>
      <c r="R258" s="142" t="s">
        <v>517</v>
      </c>
      <c r="S258" s="96"/>
      <c r="T258" s="92" t="s">
        <v>516</v>
      </c>
      <c r="U258" s="92" t="s">
        <v>513</v>
      </c>
      <c r="Z258" s="93"/>
      <c r="AA258" s="9"/>
      <c r="AB258" s="9"/>
      <c r="AH258" s="141" t="str">
        <f>+AH257</f>
        <v>F12</v>
      </c>
      <c r="AI258" s="141" t="s">
        <v>181</v>
      </c>
      <c r="AJ258" s="141" t="s">
        <v>180</v>
      </c>
      <c r="AK258" s="141" t="s">
        <v>179</v>
      </c>
      <c r="AL258" s="141" t="s">
        <v>178</v>
      </c>
    </row>
    <row r="259" spans="2:38" ht="15" thickBot="1" x14ac:dyDescent="0.4">
      <c r="B259" s="93"/>
      <c r="C259" s="93"/>
      <c r="D259" s="93">
        <v>130</v>
      </c>
      <c r="E259" s="140"/>
      <c r="F259" s="113"/>
      <c r="G259" s="113"/>
      <c r="H259" s="164"/>
      <c r="I259" s="182"/>
      <c r="J259" s="181"/>
      <c r="K259" s="142" t="s">
        <v>138</v>
      </c>
      <c r="L259" s="105"/>
      <c r="M259" s="105"/>
      <c r="N259" s="93">
        <v>4</v>
      </c>
      <c r="O259" s="93"/>
      <c r="P259" s="96"/>
      <c r="Q259" s="96"/>
      <c r="R259" s="142" t="s">
        <v>515</v>
      </c>
      <c r="S259" s="96"/>
      <c r="T259" s="92" t="s">
        <v>514</v>
      </c>
      <c r="U259" s="92" t="s">
        <v>513</v>
      </c>
      <c r="Z259" s="93"/>
      <c r="AA259" s="9"/>
      <c r="AB259" s="9"/>
      <c r="AH259" s="141" t="str">
        <f>+AH258</f>
        <v>F12</v>
      </c>
      <c r="AI259" s="141" t="s">
        <v>175</v>
      </c>
      <c r="AJ259" s="141" t="s">
        <v>174</v>
      </c>
      <c r="AK259" s="141" t="s">
        <v>173</v>
      </c>
      <c r="AL259" s="141" t="s">
        <v>172</v>
      </c>
    </row>
    <row r="260" spans="2:38" ht="15" thickBot="1" x14ac:dyDescent="0.4">
      <c r="B260" s="93"/>
      <c r="C260" s="93"/>
      <c r="D260" s="93">
        <v>130</v>
      </c>
      <c r="E260" s="140"/>
      <c r="F260" s="113"/>
      <c r="G260" s="113"/>
      <c r="H260" s="164"/>
      <c r="I260" s="164"/>
      <c r="J260" s="92"/>
      <c r="K260" s="142" t="s">
        <v>117</v>
      </c>
      <c r="L260" s="105"/>
      <c r="M260" s="105"/>
      <c r="N260" s="93">
        <v>4</v>
      </c>
      <c r="O260" s="93"/>
      <c r="P260" s="96"/>
      <c r="Q260" s="96"/>
      <c r="R260" s="142" t="s">
        <v>512</v>
      </c>
      <c r="S260" s="96"/>
      <c r="T260" s="92" t="s">
        <v>510</v>
      </c>
      <c r="U260" s="92" t="s">
        <v>464</v>
      </c>
      <c r="Z260" s="93"/>
      <c r="AA260" s="9"/>
      <c r="AB260" s="9"/>
      <c r="AH260" s="141" t="str">
        <f>+AH259</f>
        <v>F12</v>
      </c>
      <c r="AI260" s="141" t="s">
        <v>170</v>
      </c>
      <c r="AJ260" s="141" t="s">
        <v>169</v>
      </c>
      <c r="AK260" s="141" t="s">
        <v>168</v>
      </c>
      <c r="AL260" s="141" t="s">
        <v>167</v>
      </c>
    </row>
    <row r="261" spans="2:38" ht="15" thickBot="1" x14ac:dyDescent="0.4">
      <c r="B261" s="93"/>
      <c r="C261" s="93"/>
      <c r="D261" s="93">
        <v>130</v>
      </c>
      <c r="E261" s="140"/>
      <c r="F261" s="113"/>
      <c r="G261" s="113"/>
      <c r="H261" s="164"/>
      <c r="I261" s="182"/>
      <c r="J261" s="181"/>
      <c r="K261" s="142" t="s">
        <v>117</v>
      </c>
      <c r="L261" s="105"/>
      <c r="M261" s="105"/>
      <c r="N261" s="93">
        <v>4</v>
      </c>
      <c r="O261" s="93"/>
      <c r="P261" s="96"/>
      <c r="Q261" s="96"/>
      <c r="R261" s="142" t="s">
        <v>511</v>
      </c>
      <c r="S261" s="96"/>
      <c r="T261" s="92" t="s">
        <v>510</v>
      </c>
      <c r="U261" s="92" t="s">
        <v>464</v>
      </c>
      <c r="Z261" s="93"/>
      <c r="AA261" s="9"/>
      <c r="AB261" s="9"/>
      <c r="AH261" s="141" t="str">
        <f>+AH260</f>
        <v>F12</v>
      </c>
      <c r="AI261" s="141" t="s">
        <v>165</v>
      </c>
      <c r="AJ261" s="141" t="s">
        <v>158</v>
      </c>
      <c r="AK261" s="141" t="s">
        <v>157</v>
      </c>
      <c r="AL261" s="141" t="s">
        <v>156</v>
      </c>
    </row>
    <row r="262" spans="2:38" ht="14.5" x14ac:dyDescent="0.35">
      <c r="B262" s="93"/>
      <c r="C262" s="93"/>
      <c r="D262" s="113"/>
      <c r="E262" s="140"/>
      <c r="F262" s="113"/>
      <c r="G262" s="113"/>
      <c r="H262" s="164"/>
      <c r="I262" s="164"/>
      <c r="J262" s="92"/>
      <c r="K262" s="94"/>
      <c r="L262" s="105"/>
      <c r="M262" s="105"/>
      <c r="N262" s="93">
        <v>4</v>
      </c>
      <c r="O262" s="93"/>
      <c r="P262" s="96"/>
      <c r="Q262" s="96"/>
      <c r="R262" s="142" t="s">
        <v>509</v>
      </c>
      <c r="S262" s="96"/>
      <c r="T262" s="92" t="s">
        <v>106</v>
      </c>
      <c r="U262" s="92" t="s">
        <v>466</v>
      </c>
      <c r="Z262" s="93"/>
      <c r="AA262" s="9"/>
      <c r="AB262" s="9"/>
      <c r="AH262" s="183" t="str">
        <f>+AH261</f>
        <v>F12</v>
      </c>
      <c r="AI262" s="183" t="s">
        <v>159</v>
      </c>
      <c r="AJ262" s="183" t="s">
        <v>158</v>
      </c>
      <c r="AK262" s="183" t="s">
        <v>157</v>
      </c>
      <c r="AL262" s="183" t="s">
        <v>156</v>
      </c>
    </row>
    <row r="263" spans="2:38" ht="14.5" x14ac:dyDescent="0.35">
      <c r="B263" s="93"/>
      <c r="C263" s="93"/>
      <c r="D263" s="113"/>
      <c r="E263" s="140"/>
      <c r="F263" s="113"/>
      <c r="G263" s="113"/>
      <c r="H263" s="164"/>
      <c r="I263" s="164"/>
      <c r="J263" s="92"/>
      <c r="K263" s="94"/>
      <c r="L263" s="105"/>
      <c r="M263" s="105"/>
      <c r="P263" s="96"/>
      <c r="Q263" s="96"/>
      <c r="R263" s="96"/>
      <c r="S263" s="96"/>
      <c r="Z263" s="93"/>
      <c r="AA263" s="9"/>
      <c r="AB263" s="9"/>
      <c r="AH263" s="141" t="str">
        <f>+AH261</f>
        <v>F12</v>
      </c>
      <c r="AI263" s="141" t="s">
        <v>154</v>
      </c>
      <c r="AJ263" s="141" t="s">
        <v>153</v>
      </c>
      <c r="AK263" s="141" t="s">
        <v>152</v>
      </c>
      <c r="AL263" s="141" t="s">
        <v>151</v>
      </c>
    </row>
    <row r="264" spans="2:38" ht="14.5" x14ac:dyDescent="0.35">
      <c r="B264" s="93"/>
      <c r="C264" s="93"/>
      <c r="D264" s="113"/>
      <c r="E264" s="140"/>
      <c r="F264" s="113"/>
      <c r="G264" s="113"/>
      <c r="H264" s="164"/>
      <c r="I264" s="164"/>
      <c r="J264" s="92"/>
      <c r="K264" s="94"/>
      <c r="L264" s="105"/>
      <c r="M264" s="105"/>
      <c r="P264" s="96"/>
      <c r="Q264" s="96"/>
      <c r="R264" s="96"/>
      <c r="S264" s="96"/>
      <c r="Z264" s="93"/>
      <c r="AA264" s="9"/>
      <c r="AB264" s="9"/>
      <c r="AH264" s="183" t="str">
        <f>+AH262</f>
        <v>F12</v>
      </c>
      <c r="AI264" s="183" t="s">
        <v>154</v>
      </c>
      <c r="AJ264" s="183" t="s">
        <v>153</v>
      </c>
      <c r="AK264" s="183" t="s">
        <v>152</v>
      </c>
      <c r="AL264" s="183" t="s">
        <v>151</v>
      </c>
    </row>
    <row r="265" spans="2:38" ht="14.5" x14ac:dyDescent="0.35">
      <c r="B265" s="93"/>
      <c r="C265" s="93"/>
      <c r="D265" s="113"/>
      <c r="E265" s="140"/>
      <c r="F265" s="113"/>
      <c r="G265" s="113"/>
      <c r="H265" s="164"/>
      <c r="I265" s="164"/>
      <c r="J265" s="92"/>
      <c r="K265" s="94"/>
      <c r="L265" s="105"/>
      <c r="M265" s="105"/>
      <c r="P265" s="96"/>
      <c r="Q265" s="96"/>
      <c r="R265" s="96"/>
      <c r="S265" s="96"/>
      <c r="Z265" s="93"/>
      <c r="AA265" s="9"/>
      <c r="AB265" s="9"/>
      <c r="AH265" s="141" t="str">
        <f>+AH264</f>
        <v>F12</v>
      </c>
      <c r="AI265" s="141" t="s">
        <v>148</v>
      </c>
      <c r="AJ265" s="141" t="s">
        <v>147</v>
      </c>
      <c r="AK265" s="141" t="s">
        <v>146</v>
      </c>
      <c r="AL265" s="141" t="s">
        <v>145</v>
      </c>
    </row>
    <row r="266" spans="2:38" ht="14.5" x14ac:dyDescent="0.35">
      <c r="B266" s="93"/>
      <c r="C266" s="93"/>
      <c r="D266" s="113"/>
      <c r="E266" s="140"/>
      <c r="F266" s="113"/>
      <c r="G266" s="113"/>
      <c r="H266" s="164"/>
      <c r="I266" s="164"/>
      <c r="J266" s="92"/>
      <c r="K266" s="94"/>
      <c r="L266" s="105"/>
      <c r="M266" s="105"/>
      <c r="P266" s="96"/>
      <c r="Q266" s="96"/>
      <c r="R266" s="96"/>
      <c r="S266" s="96"/>
      <c r="Z266" s="93"/>
      <c r="AA266" s="9"/>
      <c r="AB266" s="9"/>
      <c r="AH266" s="141" t="str">
        <f>+AH264</f>
        <v>F12</v>
      </c>
      <c r="AI266" s="141" t="s">
        <v>135</v>
      </c>
      <c r="AJ266" s="141" t="s">
        <v>134</v>
      </c>
      <c r="AK266" s="141" t="s">
        <v>133</v>
      </c>
      <c r="AL266" s="141" t="s">
        <v>132</v>
      </c>
    </row>
    <row r="267" spans="2:38" ht="14.5" x14ac:dyDescent="0.35">
      <c r="B267" s="93"/>
      <c r="C267" s="93"/>
      <c r="D267" s="113"/>
      <c r="E267" s="140"/>
      <c r="F267" s="113"/>
      <c r="Z267" s="93"/>
      <c r="AA267" s="9"/>
      <c r="AB267" s="9"/>
      <c r="AH267" s="141" t="str">
        <f>+AH265</f>
        <v>F12</v>
      </c>
      <c r="AI267" s="141" t="s">
        <v>129</v>
      </c>
      <c r="AJ267" s="141" t="s">
        <v>128</v>
      </c>
      <c r="AK267" s="141" t="s">
        <v>127</v>
      </c>
      <c r="AL267" s="141" t="s">
        <v>126</v>
      </c>
    </row>
    <row r="268" spans="2:38" ht="14.5" x14ac:dyDescent="0.35">
      <c r="B268" s="93"/>
      <c r="C268" s="93"/>
      <c r="D268" s="113"/>
      <c r="E268" s="140"/>
      <c r="F268" s="113"/>
      <c r="Z268" s="93"/>
      <c r="AA268" s="9"/>
      <c r="AB268" s="9"/>
      <c r="AH268" s="141" t="str">
        <f>+AH267</f>
        <v>F12</v>
      </c>
      <c r="AI268" s="141" t="s">
        <v>121</v>
      </c>
      <c r="AJ268" s="141" t="s">
        <v>120</v>
      </c>
      <c r="AK268" s="141" t="s">
        <v>119</v>
      </c>
      <c r="AL268" s="141" t="s">
        <v>118</v>
      </c>
    </row>
    <row r="269" spans="2:38" ht="14.5" x14ac:dyDescent="0.35">
      <c r="B269" s="93"/>
      <c r="C269" s="93"/>
      <c r="D269" s="113"/>
      <c r="E269" s="140"/>
      <c r="F269" s="113"/>
      <c r="Z269" s="93"/>
      <c r="AA269" s="9"/>
      <c r="AB269" s="9"/>
      <c r="AH269" s="141" t="str">
        <f>+AH268</f>
        <v>F12</v>
      </c>
      <c r="AI269" s="141" t="s">
        <v>114</v>
      </c>
      <c r="AJ269" s="141" t="s">
        <v>113</v>
      </c>
      <c r="AK269" s="141" t="s">
        <v>112</v>
      </c>
      <c r="AL269" s="141" t="s">
        <v>111</v>
      </c>
    </row>
    <row r="270" spans="2:38" ht="14.5" x14ac:dyDescent="0.35">
      <c r="B270" s="93"/>
      <c r="C270" s="93"/>
      <c r="D270" s="113"/>
      <c r="E270" s="140"/>
      <c r="F270" s="113"/>
      <c r="Z270" s="93"/>
      <c r="AA270" s="9"/>
      <c r="AB270" s="9"/>
      <c r="AH270" s="141" t="str">
        <f>+AH269</f>
        <v>F12</v>
      </c>
      <c r="AI270" s="141" t="s">
        <v>508</v>
      </c>
      <c r="AJ270" s="141" t="s">
        <v>507</v>
      </c>
      <c r="AK270" s="141" t="s">
        <v>506</v>
      </c>
      <c r="AL270" s="141" t="s">
        <v>505</v>
      </c>
    </row>
    <row r="271" spans="2:38" ht="14.5" x14ac:dyDescent="0.35">
      <c r="B271" s="93"/>
      <c r="C271" s="93"/>
      <c r="D271" s="113"/>
      <c r="E271" s="140"/>
      <c r="F271" s="113"/>
      <c r="G271" s="113"/>
      <c r="H271" s="164"/>
      <c r="I271" s="164"/>
      <c r="J271" s="92"/>
      <c r="K271" s="94"/>
      <c r="L271" s="105"/>
      <c r="M271" s="105"/>
      <c r="P271" s="96"/>
      <c r="Q271" s="96"/>
      <c r="R271" s="96"/>
      <c r="S271" s="96"/>
      <c r="Z271" s="93"/>
      <c r="AA271" s="9"/>
      <c r="AB271" s="9"/>
      <c r="AH271" s="141" t="str">
        <f t="shared" ref="AH271:AH280" si="68">+AH269</f>
        <v>F12</v>
      </c>
      <c r="AI271" s="141" t="s">
        <v>504</v>
      </c>
      <c r="AJ271" s="141" t="s">
        <v>503</v>
      </c>
      <c r="AK271" s="141" t="s">
        <v>502</v>
      </c>
      <c r="AL271" s="141" t="s">
        <v>501</v>
      </c>
    </row>
    <row r="272" spans="2:38" ht="14.5" x14ac:dyDescent="0.35">
      <c r="B272" s="93"/>
      <c r="C272" s="93"/>
      <c r="D272" s="113"/>
      <c r="E272" s="140"/>
      <c r="F272" s="113"/>
      <c r="G272" s="113"/>
      <c r="H272" s="164"/>
      <c r="I272" s="164"/>
      <c r="J272" s="92"/>
      <c r="K272" s="94"/>
      <c r="L272" s="105"/>
      <c r="M272" s="105"/>
      <c r="P272" s="96"/>
      <c r="Q272" s="96"/>
      <c r="R272" s="96"/>
      <c r="S272" s="96"/>
      <c r="Z272" s="93"/>
      <c r="AA272" s="9"/>
      <c r="AB272" s="9"/>
      <c r="AH272" s="141" t="str">
        <f t="shared" si="68"/>
        <v>F12</v>
      </c>
      <c r="AI272" s="141" t="s">
        <v>500</v>
      </c>
      <c r="AJ272" s="141" t="s">
        <v>499</v>
      </c>
      <c r="AK272" s="141" t="s">
        <v>498</v>
      </c>
      <c r="AL272" s="141" t="s">
        <v>497</v>
      </c>
    </row>
    <row r="273" spans="1:41" ht="14.5" x14ac:dyDescent="0.35">
      <c r="B273" s="93"/>
      <c r="C273" s="93"/>
      <c r="D273" s="113"/>
      <c r="E273" s="140"/>
      <c r="F273" s="113"/>
      <c r="G273" s="113"/>
      <c r="H273" s="164"/>
      <c r="I273" s="164"/>
      <c r="J273" s="92"/>
      <c r="K273" s="94"/>
      <c r="L273" s="105"/>
      <c r="M273" s="105"/>
      <c r="P273" s="96"/>
      <c r="Q273" s="96"/>
      <c r="R273" s="96"/>
      <c r="S273" s="96"/>
      <c r="Z273" s="93"/>
      <c r="AA273" s="9"/>
      <c r="AB273" s="9"/>
      <c r="AH273" s="141" t="str">
        <f t="shared" si="68"/>
        <v>F12</v>
      </c>
      <c r="AI273" s="141">
        <v>93</v>
      </c>
      <c r="AJ273" s="141">
        <v>94</v>
      </c>
      <c r="AK273" s="141">
        <v>95</v>
      </c>
      <c r="AL273" s="141">
        <v>96</v>
      </c>
    </row>
    <row r="274" spans="1:41" ht="15" thickBot="1" x14ac:dyDescent="0.4">
      <c r="B274" s="93"/>
      <c r="C274" s="93"/>
      <c r="D274" s="113"/>
      <c r="E274" s="140"/>
      <c r="F274" s="113"/>
      <c r="G274" s="113"/>
      <c r="H274" s="164"/>
      <c r="I274" s="164"/>
      <c r="J274" s="92"/>
      <c r="K274" s="94"/>
      <c r="L274" s="105"/>
      <c r="M274" s="105"/>
      <c r="P274" s="96"/>
      <c r="Q274" s="96"/>
      <c r="R274" s="96"/>
      <c r="S274" s="96"/>
      <c r="Z274" s="93"/>
      <c r="AA274" s="9"/>
      <c r="AB274" s="9"/>
      <c r="AH274" s="141" t="str">
        <f t="shared" si="68"/>
        <v>F12</v>
      </c>
      <c r="AI274" s="141">
        <v>97</v>
      </c>
      <c r="AJ274" s="141">
        <v>98</v>
      </c>
      <c r="AK274" s="141">
        <v>99</v>
      </c>
      <c r="AL274" s="141">
        <v>100</v>
      </c>
    </row>
    <row r="275" spans="1:41" ht="15" thickBot="1" x14ac:dyDescent="0.4">
      <c r="B275" s="93"/>
      <c r="C275" s="93"/>
      <c r="D275" s="113"/>
      <c r="E275" s="140"/>
      <c r="F275" s="113"/>
      <c r="G275" s="113"/>
      <c r="H275" s="164"/>
      <c r="I275" s="182"/>
      <c r="J275" s="181"/>
      <c r="K275" s="142" t="s">
        <v>117</v>
      </c>
      <c r="L275" s="105"/>
      <c r="M275" s="105"/>
      <c r="N275" s="93">
        <v>4</v>
      </c>
      <c r="O275" s="93"/>
      <c r="P275" s="96"/>
      <c r="Q275" s="96"/>
      <c r="R275" s="142" t="s">
        <v>496</v>
      </c>
      <c r="S275" s="96"/>
      <c r="T275" s="92" t="s">
        <v>494</v>
      </c>
      <c r="U275" s="92" t="s">
        <v>492</v>
      </c>
      <c r="Z275" s="93"/>
      <c r="AA275" s="9"/>
      <c r="AB275" s="9"/>
      <c r="AH275" s="141" t="str">
        <f t="shared" si="68"/>
        <v>F12</v>
      </c>
      <c r="AI275" s="141">
        <v>101</v>
      </c>
      <c r="AJ275" s="141">
        <v>102</v>
      </c>
      <c r="AK275" s="141">
        <v>103</v>
      </c>
      <c r="AL275" s="141">
        <v>104</v>
      </c>
    </row>
    <row r="276" spans="1:41" ht="14.5" x14ac:dyDescent="0.35">
      <c r="B276" s="93"/>
      <c r="C276" s="93"/>
      <c r="D276" s="113"/>
      <c r="E276" s="140"/>
      <c r="F276" s="113"/>
      <c r="G276" s="113"/>
      <c r="H276" s="164"/>
      <c r="I276" s="164"/>
      <c r="J276" s="92"/>
      <c r="K276" s="94"/>
      <c r="L276" s="105"/>
      <c r="M276" s="105"/>
      <c r="N276" s="93">
        <v>4</v>
      </c>
      <c r="O276" s="93"/>
      <c r="P276" s="96"/>
      <c r="Q276" s="96"/>
      <c r="R276" s="142" t="s">
        <v>495</v>
      </c>
      <c r="S276" s="96"/>
      <c r="T276" s="92" t="s">
        <v>494</v>
      </c>
      <c r="Z276" s="93"/>
      <c r="AA276" s="9"/>
      <c r="AB276" s="9"/>
      <c r="AH276" s="141" t="str">
        <f t="shared" si="68"/>
        <v>F12</v>
      </c>
      <c r="AI276" s="141">
        <v>105</v>
      </c>
      <c r="AJ276" s="141">
        <v>106</v>
      </c>
      <c r="AK276" s="141">
        <v>107</v>
      </c>
      <c r="AL276" s="141">
        <v>108</v>
      </c>
    </row>
    <row r="277" spans="1:41" ht="14.5" x14ac:dyDescent="0.35">
      <c r="B277" s="93"/>
      <c r="C277" s="93"/>
      <c r="D277" s="113"/>
      <c r="E277" s="140"/>
      <c r="F277" s="113"/>
      <c r="G277" s="113"/>
      <c r="H277" s="164"/>
      <c r="I277" s="164"/>
      <c r="J277" s="92"/>
      <c r="K277" s="94"/>
      <c r="L277" s="105"/>
      <c r="M277" s="105"/>
      <c r="N277" s="93">
        <v>4</v>
      </c>
      <c r="O277" s="93"/>
      <c r="P277" s="96"/>
      <c r="Q277" s="96"/>
      <c r="R277" s="142" t="s">
        <v>493</v>
      </c>
      <c r="S277" s="96"/>
      <c r="T277" s="142" t="s">
        <v>106</v>
      </c>
      <c r="Z277" s="93"/>
      <c r="AA277" s="9"/>
      <c r="AB277" s="9"/>
      <c r="AH277" s="141" t="str">
        <f t="shared" si="68"/>
        <v>F12</v>
      </c>
      <c r="AI277" s="141">
        <v>109</v>
      </c>
      <c r="AJ277" s="141">
        <v>110</v>
      </c>
      <c r="AK277" s="141">
        <v>111</v>
      </c>
      <c r="AL277" s="141">
        <v>112</v>
      </c>
    </row>
    <row r="278" spans="1:41" ht="14.5" x14ac:dyDescent="0.35">
      <c r="B278" s="93"/>
      <c r="C278" s="93"/>
      <c r="D278" s="113"/>
      <c r="E278" s="140"/>
      <c r="F278" s="113"/>
      <c r="G278" s="113"/>
      <c r="H278" s="164"/>
      <c r="I278" s="164"/>
      <c r="J278" s="92"/>
      <c r="K278" s="94"/>
      <c r="L278" s="105"/>
      <c r="M278" s="105"/>
      <c r="N278" s="93">
        <v>4</v>
      </c>
      <c r="O278" s="93"/>
      <c r="P278" s="96"/>
      <c r="Q278" s="96"/>
      <c r="R278" s="142" t="s">
        <v>493</v>
      </c>
      <c r="S278" s="96"/>
      <c r="T278" s="142" t="s">
        <v>106</v>
      </c>
      <c r="Z278" s="93"/>
      <c r="AA278" s="9"/>
      <c r="AB278" s="9"/>
      <c r="AH278" s="141" t="str">
        <f t="shared" si="68"/>
        <v>F12</v>
      </c>
      <c r="AI278" s="141">
        <v>113</v>
      </c>
      <c r="AJ278" s="141">
        <v>114</v>
      </c>
      <c r="AK278" s="141">
        <v>115</v>
      </c>
      <c r="AL278" s="141">
        <v>116</v>
      </c>
    </row>
    <row r="279" spans="1:41" ht="14.5" x14ac:dyDescent="0.35">
      <c r="B279" s="93"/>
      <c r="C279" s="93"/>
      <c r="D279" s="113"/>
      <c r="E279" s="140"/>
      <c r="F279" s="113"/>
      <c r="G279" s="113"/>
      <c r="H279" s="164"/>
      <c r="I279" s="164"/>
      <c r="J279" s="92"/>
      <c r="K279" s="94"/>
      <c r="L279" s="105"/>
      <c r="M279" s="105"/>
      <c r="N279" s="93">
        <v>4</v>
      </c>
      <c r="O279" s="93"/>
      <c r="P279" s="96"/>
      <c r="Q279" s="96"/>
      <c r="R279" s="96"/>
      <c r="S279" s="96"/>
      <c r="T279" s="96"/>
      <c r="U279" s="92" t="s">
        <v>492</v>
      </c>
      <c r="Z279" s="93"/>
      <c r="AA279" s="9"/>
      <c r="AB279" s="9"/>
      <c r="AH279" s="141" t="str">
        <f t="shared" si="68"/>
        <v>F12</v>
      </c>
      <c r="AI279" s="141">
        <v>117</v>
      </c>
      <c r="AJ279" s="141">
        <v>118</v>
      </c>
      <c r="AK279" s="141">
        <v>119</v>
      </c>
      <c r="AL279" s="141">
        <v>120</v>
      </c>
    </row>
    <row r="280" spans="1:41" ht="14.5" x14ac:dyDescent="0.35">
      <c r="B280" s="93"/>
      <c r="C280" s="93"/>
      <c r="D280" s="113"/>
      <c r="E280" s="140"/>
      <c r="F280" s="113"/>
      <c r="G280" s="113"/>
      <c r="H280" s="164"/>
      <c r="I280" s="164"/>
      <c r="J280" s="92"/>
      <c r="K280" s="94"/>
      <c r="L280" s="105"/>
      <c r="M280" s="105"/>
      <c r="P280" s="96"/>
      <c r="Q280" s="96"/>
      <c r="R280" s="96"/>
      <c r="S280" s="96"/>
      <c r="T280" s="96"/>
      <c r="Z280" s="93"/>
      <c r="AA280" s="9"/>
      <c r="AB280" s="9"/>
      <c r="AH280" s="141" t="str">
        <f t="shared" si="68"/>
        <v>F12</v>
      </c>
      <c r="AI280" s="141">
        <v>121</v>
      </c>
      <c r="AJ280" s="141">
        <v>122</v>
      </c>
      <c r="AK280" s="141">
        <v>123</v>
      </c>
      <c r="AL280" s="141"/>
    </row>
    <row r="281" spans="1:41" x14ac:dyDescent="0.3">
      <c r="C281" s="93"/>
      <c r="D281" s="113"/>
      <c r="E281" s="140"/>
      <c r="F281" s="113"/>
      <c r="G281" s="113"/>
      <c r="H281" s="113"/>
      <c r="I281" s="113"/>
      <c r="J281" s="113"/>
      <c r="K281" s="113"/>
      <c r="L281" s="105"/>
      <c r="M281" s="113"/>
      <c r="N281" s="92"/>
      <c r="O281" s="92"/>
      <c r="P281" s="93"/>
      <c r="Q281" s="93"/>
      <c r="S281" s="93"/>
      <c r="U281" s="102"/>
      <c r="AH281" s="113"/>
      <c r="AI281" s="113"/>
      <c r="AJ281" s="113"/>
      <c r="AK281" s="113"/>
      <c r="AL281" s="113"/>
      <c r="AM281" s="105"/>
      <c r="AN281" s="105"/>
      <c r="AO281" s="105"/>
    </row>
    <row r="283" spans="1:41" ht="13.5" thickBot="1" x14ac:dyDescent="0.35">
      <c r="A283" s="96"/>
      <c r="C283" s="41"/>
      <c r="D283" s="43"/>
      <c r="E283" s="72"/>
      <c r="F283" s="43"/>
      <c r="G283" s="43"/>
      <c r="H283" s="94"/>
      <c r="I283" s="113"/>
      <c r="J283" s="113"/>
      <c r="K283" s="113"/>
      <c r="L283" s="105"/>
      <c r="M283" s="105"/>
      <c r="N283" s="92"/>
      <c r="O283" s="92"/>
      <c r="P283" s="105"/>
      <c r="Q283" s="105"/>
      <c r="R283" s="105"/>
      <c r="S283" s="26"/>
      <c r="U283" s="96"/>
      <c r="V283" s="96"/>
      <c r="W283" s="96"/>
      <c r="AA283" s="7"/>
      <c r="AB283" s="7"/>
    </row>
    <row r="284" spans="1:41" x14ac:dyDescent="0.3">
      <c r="A284" s="96"/>
      <c r="B284" s="92"/>
      <c r="C284" s="93" t="s">
        <v>73</v>
      </c>
      <c r="D284" s="93"/>
      <c r="E284" s="93"/>
      <c r="F284" s="93"/>
      <c r="G284" s="93" t="s">
        <v>2</v>
      </c>
      <c r="H284" s="120">
        <v>1</v>
      </c>
      <c r="I284" s="134">
        <v>1</v>
      </c>
      <c r="J284" s="133" t="s">
        <v>74</v>
      </c>
      <c r="K284" s="113" t="s">
        <v>73</v>
      </c>
      <c r="L284" s="124" t="s">
        <v>21</v>
      </c>
      <c r="M284" s="93"/>
      <c r="N284" s="93">
        <v>4</v>
      </c>
      <c r="O284" s="93"/>
      <c r="P284" s="130" t="s">
        <v>72</v>
      </c>
      <c r="Q284" s="124"/>
      <c r="R284" s="105" t="s">
        <v>40</v>
      </c>
      <c r="S284" s="105" t="s">
        <v>24</v>
      </c>
      <c r="T284" s="32" t="s">
        <v>38</v>
      </c>
      <c r="U284" s="105" t="s">
        <v>491</v>
      </c>
      <c r="X284" s="105" t="s">
        <v>490</v>
      </c>
      <c r="Y284" s="94" t="s">
        <v>4</v>
      </c>
      <c r="Z284" s="92"/>
      <c r="AA284" s="7"/>
      <c r="AB284" s="7"/>
    </row>
    <row r="285" spans="1:41" x14ac:dyDescent="0.3">
      <c r="A285" s="96"/>
      <c r="B285" s="92"/>
      <c r="C285" s="93"/>
      <c r="D285" s="93"/>
      <c r="E285" s="93"/>
      <c r="F285" s="93"/>
      <c r="G285" s="93" t="s">
        <v>2</v>
      </c>
      <c r="H285" s="113">
        <f t="shared" ref="H285:H293" si="69">H284</f>
        <v>1</v>
      </c>
      <c r="I285" s="128">
        <v>2</v>
      </c>
      <c r="J285" s="131" t="s">
        <v>69</v>
      </c>
      <c r="K285" s="107" t="s">
        <v>0</v>
      </c>
      <c r="L285" s="124" t="s">
        <v>21</v>
      </c>
      <c r="M285" s="93"/>
      <c r="N285" s="104">
        <v>5</v>
      </c>
      <c r="O285" s="104"/>
      <c r="P285" s="123" t="s">
        <v>68</v>
      </c>
      <c r="Q285" s="121"/>
      <c r="R285" s="121" t="s">
        <v>40</v>
      </c>
      <c r="S285" s="105" t="s">
        <v>67</v>
      </c>
      <c r="T285" s="32" t="s">
        <v>38</v>
      </c>
      <c r="U285" s="122" t="str">
        <f t="shared" ref="U285:U293" si="70">+U284</f>
        <v>BAF130PP07</v>
      </c>
      <c r="X285" s="105" t="str">
        <f t="shared" ref="X285:X293" si="71">+X284</f>
        <v>BR4-2110-E-00050</v>
      </c>
      <c r="Y285" s="92" t="str">
        <f t="shared" ref="Y285:Y293" si="72">+Y284</f>
        <v>A</v>
      </c>
      <c r="Z285" s="92"/>
      <c r="AA285" s="7"/>
      <c r="AB285" s="7"/>
    </row>
    <row r="286" spans="1:41" x14ac:dyDescent="0.3">
      <c r="A286" s="96"/>
      <c r="B286" s="92"/>
      <c r="C286" s="93"/>
      <c r="D286" s="93"/>
      <c r="E286" s="93"/>
      <c r="F286" s="93"/>
      <c r="G286" s="93" t="s">
        <v>2</v>
      </c>
      <c r="H286" s="113">
        <f t="shared" si="69"/>
        <v>1</v>
      </c>
      <c r="I286" s="128">
        <v>3</v>
      </c>
      <c r="J286" s="131" t="s">
        <v>66</v>
      </c>
      <c r="K286" s="113"/>
      <c r="L286" s="124" t="s">
        <v>21</v>
      </c>
      <c r="M286" s="93"/>
      <c r="N286" s="93">
        <v>5</v>
      </c>
      <c r="O286" s="93"/>
      <c r="P286" s="34" t="s">
        <v>65</v>
      </c>
      <c r="Q286" s="12"/>
      <c r="R286" s="93" t="s">
        <v>64</v>
      </c>
      <c r="S286" s="93" t="s">
        <v>24</v>
      </c>
      <c r="T286" s="33" t="s">
        <v>63</v>
      </c>
      <c r="U286" s="122" t="str">
        <f t="shared" si="70"/>
        <v>BAF130PP07</v>
      </c>
      <c r="X286" s="105" t="str">
        <f t="shared" si="71"/>
        <v>BR4-2110-E-00050</v>
      </c>
      <c r="Y286" s="92" t="str">
        <f t="shared" si="72"/>
        <v>A</v>
      </c>
      <c r="Z286" s="92"/>
    </row>
    <row r="287" spans="1:41" x14ac:dyDescent="0.3">
      <c r="A287" s="96"/>
      <c r="B287" s="92"/>
      <c r="C287" s="93"/>
      <c r="D287" s="93"/>
      <c r="E287" s="93"/>
      <c r="F287" s="93"/>
      <c r="G287" s="93" t="s">
        <v>2</v>
      </c>
      <c r="H287" s="113">
        <f t="shared" si="69"/>
        <v>1</v>
      </c>
      <c r="I287" s="128">
        <v>4</v>
      </c>
      <c r="J287" s="131" t="s">
        <v>62</v>
      </c>
      <c r="K287" s="113"/>
      <c r="L287" s="124" t="s">
        <v>21</v>
      </c>
      <c r="M287" s="93"/>
      <c r="N287" s="93">
        <v>4</v>
      </c>
      <c r="O287" s="93"/>
      <c r="P287" s="130" t="s">
        <v>61</v>
      </c>
      <c r="Q287" s="124"/>
      <c r="R287" s="93" t="s">
        <v>60</v>
      </c>
      <c r="S287" s="93" t="s">
        <v>18</v>
      </c>
      <c r="T287" s="32" t="s">
        <v>59</v>
      </c>
      <c r="U287" s="122" t="str">
        <f t="shared" si="70"/>
        <v>BAF130PP07</v>
      </c>
      <c r="X287" s="105" t="str">
        <f t="shared" si="71"/>
        <v>BR4-2110-E-00050</v>
      </c>
      <c r="Y287" s="92" t="str">
        <f t="shared" si="72"/>
        <v>A</v>
      </c>
      <c r="Z287" s="92"/>
    </row>
    <row r="288" spans="1:41" x14ac:dyDescent="0.3">
      <c r="A288" s="96"/>
      <c r="B288" s="92"/>
      <c r="C288" s="93"/>
      <c r="D288" s="93"/>
      <c r="E288" s="93"/>
      <c r="F288" s="93"/>
      <c r="G288" s="93" t="s">
        <v>2</v>
      </c>
      <c r="H288" s="113">
        <f t="shared" si="69"/>
        <v>1</v>
      </c>
      <c r="I288" s="128">
        <v>5</v>
      </c>
      <c r="J288" s="131" t="s">
        <v>58</v>
      </c>
      <c r="K288" s="113"/>
      <c r="L288" s="124" t="s">
        <v>21</v>
      </c>
      <c r="M288" s="93"/>
      <c r="N288" s="93"/>
      <c r="O288" s="93"/>
      <c r="P288" s="124"/>
      <c r="Q288" s="124"/>
      <c r="R288" s="93"/>
      <c r="S288" s="32"/>
      <c r="T288" s="32"/>
      <c r="U288" s="122" t="str">
        <f t="shared" si="70"/>
        <v>BAF130PP07</v>
      </c>
      <c r="X288" s="105" t="str">
        <f t="shared" si="71"/>
        <v>BR4-2110-E-00050</v>
      </c>
      <c r="Y288" s="92" t="str">
        <f t="shared" si="72"/>
        <v>A</v>
      </c>
      <c r="Z288" s="92"/>
    </row>
    <row r="289" spans="1:27" x14ac:dyDescent="0.3">
      <c r="A289" s="96"/>
      <c r="B289" s="92"/>
      <c r="C289" s="93"/>
      <c r="D289" s="93"/>
      <c r="E289" s="93"/>
      <c r="F289" s="93"/>
      <c r="G289" s="93" t="s">
        <v>2</v>
      </c>
      <c r="H289" s="113">
        <f t="shared" si="69"/>
        <v>1</v>
      </c>
      <c r="I289" s="128">
        <v>6</v>
      </c>
      <c r="J289" s="131" t="s">
        <v>57</v>
      </c>
      <c r="K289" s="113"/>
      <c r="L289" s="124" t="s">
        <v>21</v>
      </c>
      <c r="M289" s="93"/>
      <c r="N289" s="93">
        <v>4</v>
      </c>
      <c r="O289" s="93"/>
      <c r="P289" s="130" t="s">
        <v>56</v>
      </c>
      <c r="Q289" s="124"/>
      <c r="R289" s="93" t="s">
        <v>55</v>
      </c>
      <c r="S289" s="32" t="s">
        <v>54</v>
      </c>
      <c r="T289" s="32"/>
      <c r="U289" s="122" t="str">
        <f t="shared" si="70"/>
        <v>BAF130PP07</v>
      </c>
      <c r="X289" s="105" t="str">
        <f t="shared" si="71"/>
        <v>BR4-2110-E-00050</v>
      </c>
      <c r="Y289" s="92" t="str">
        <f t="shared" si="72"/>
        <v>A</v>
      </c>
      <c r="Z289" s="92"/>
    </row>
    <row r="290" spans="1:27" x14ac:dyDescent="0.3">
      <c r="A290" s="96"/>
      <c r="B290" s="92"/>
      <c r="C290" s="93"/>
      <c r="D290" s="93"/>
      <c r="E290" s="93"/>
      <c r="F290" s="93"/>
      <c r="G290" s="93" t="s">
        <v>2</v>
      </c>
      <c r="H290" s="113">
        <f t="shared" si="69"/>
        <v>1</v>
      </c>
      <c r="I290" s="128">
        <v>1</v>
      </c>
      <c r="J290" s="131" t="s">
        <v>53</v>
      </c>
      <c r="K290" s="113"/>
      <c r="L290" s="124" t="s">
        <v>42</v>
      </c>
      <c r="M290" s="93"/>
      <c r="N290" s="93">
        <v>4</v>
      </c>
      <c r="O290" s="93"/>
      <c r="P290" s="130" t="s">
        <v>52</v>
      </c>
      <c r="Q290" s="124"/>
      <c r="R290" s="93" t="s">
        <v>51</v>
      </c>
      <c r="S290" s="93" t="s">
        <v>24</v>
      </c>
      <c r="T290" s="32" t="s">
        <v>50</v>
      </c>
      <c r="U290" s="122" t="str">
        <f t="shared" si="70"/>
        <v>BAF130PP07</v>
      </c>
      <c r="X290" s="105" t="str">
        <f t="shared" si="71"/>
        <v>BR4-2110-E-00050</v>
      </c>
      <c r="Y290" s="92" t="str">
        <f t="shared" si="72"/>
        <v>A</v>
      </c>
      <c r="Z290" s="92"/>
    </row>
    <row r="291" spans="1:27" x14ac:dyDescent="0.3">
      <c r="A291" s="96"/>
      <c r="B291" s="92"/>
      <c r="C291" s="93"/>
      <c r="D291" s="93"/>
      <c r="E291" s="93"/>
      <c r="F291" s="93"/>
      <c r="G291" s="93" t="s">
        <v>2</v>
      </c>
      <c r="H291" s="113">
        <f t="shared" si="69"/>
        <v>1</v>
      </c>
      <c r="I291" s="128">
        <v>2</v>
      </c>
      <c r="J291" s="127" t="s">
        <v>49</v>
      </c>
      <c r="K291" s="113"/>
      <c r="L291" s="124" t="s">
        <v>42</v>
      </c>
      <c r="M291" s="93"/>
      <c r="N291" s="104">
        <v>5</v>
      </c>
      <c r="O291" s="93"/>
      <c r="P291" s="123" t="s">
        <v>48</v>
      </c>
      <c r="Q291" s="121"/>
      <c r="R291" s="121" t="s">
        <v>47</v>
      </c>
      <c r="S291" s="104" t="s">
        <v>46</v>
      </c>
      <c r="T291" s="129" t="s">
        <v>45</v>
      </c>
      <c r="U291" s="122" t="str">
        <f t="shared" si="70"/>
        <v>BAF130PP07</v>
      </c>
      <c r="W291" s="96"/>
      <c r="X291" s="105" t="str">
        <f t="shared" si="71"/>
        <v>BR4-2110-E-00050</v>
      </c>
      <c r="Y291" s="92" t="str">
        <f t="shared" si="72"/>
        <v>A</v>
      </c>
      <c r="Z291" s="92"/>
    </row>
    <row r="292" spans="1:27" x14ac:dyDescent="0.3">
      <c r="A292" s="96"/>
      <c r="B292" s="92"/>
      <c r="C292" s="93"/>
      <c r="D292" s="93"/>
      <c r="E292" s="93"/>
      <c r="F292" s="93"/>
      <c r="G292" s="93" t="s">
        <v>2</v>
      </c>
      <c r="H292" s="113">
        <f t="shared" si="69"/>
        <v>1</v>
      </c>
      <c r="I292" s="128">
        <v>3</v>
      </c>
      <c r="J292" s="127" t="s">
        <v>44</v>
      </c>
      <c r="K292" s="113"/>
      <c r="L292" s="124" t="s">
        <v>42</v>
      </c>
      <c r="M292" s="93"/>
      <c r="N292" s="104">
        <v>5</v>
      </c>
      <c r="O292" s="104"/>
      <c r="U292" s="122" t="str">
        <f t="shared" si="70"/>
        <v>BAF130PP07</v>
      </c>
      <c r="W292" s="96"/>
      <c r="X292" s="105" t="str">
        <f t="shared" si="71"/>
        <v>BR4-2110-E-00050</v>
      </c>
      <c r="Y292" s="92" t="str">
        <f t="shared" si="72"/>
        <v>A</v>
      </c>
      <c r="Z292" s="92"/>
    </row>
    <row r="293" spans="1:27" ht="13.5" thickBot="1" x14ac:dyDescent="0.35">
      <c r="A293" s="96"/>
      <c r="B293" s="92"/>
      <c r="C293" s="93"/>
      <c r="D293" s="93"/>
      <c r="E293" s="93"/>
      <c r="F293" s="93"/>
      <c r="G293" s="93" t="s">
        <v>2</v>
      </c>
      <c r="H293" s="113">
        <f t="shared" si="69"/>
        <v>1</v>
      </c>
      <c r="I293" s="126">
        <v>4</v>
      </c>
      <c r="J293" s="125" t="s">
        <v>43</v>
      </c>
      <c r="K293" s="113"/>
      <c r="L293" s="124" t="s">
        <v>42</v>
      </c>
      <c r="M293" s="93"/>
      <c r="N293" s="104">
        <v>5</v>
      </c>
      <c r="O293" s="104"/>
      <c r="P293" s="123" t="s">
        <v>41</v>
      </c>
      <c r="Q293" s="121"/>
      <c r="R293" s="121" t="s">
        <v>40</v>
      </c>
      <c r="S293" s="104" t="s">
        <v>39</v>
      </c>
      <c r="T293" s="29" t="s">
        <v>38</v>
      </c>
      <c r="U293" s="122" t="str">
        <f t="shared" si="70"/>
        <v>BAF130PP07</v>
      </c>
      <c r="W293" s="96"/>
      <c r="X293" s="105" t="str">
        <f t="shared" si="71"/>
        <v>BR4-2110-E-00050</v>
      </c>
      <c r="Y293" s="92" t="str">
        <f t="shared" si="72"/>
        <v>A</v>
      </c>
      <c r="Z293" s="92"/>
    </row>
    <row r="294" spans="1:27" ht="13.5" thickBot="1" x14ac:dyDescent="0.35">
      <c r="A294" s="96"/>
      <c r="B294" s="96"/>
      <c r="C294" s="93"/>
      <c r="D294" s="113"/>
      <c r="E294" s="140"/>
      <c r="F294" s="113"/>
      <c r="G294" s="113"/>
      <c r="H294" s="113"/>
      <c r="I294" s="113"/>
      <c r="J294" s="113"/>
      <c r="K294" s="113"/>
      <c r="L294" s="105"/>
      <c r="M294" s="105"/>
      <c r="N294" s="92"/>
      <c r="O294" s="92"/>
      <c r="P294" s="93"/>
      <c r="Q294" s="93"/>
      <c r="S294" s="93"/>
      <c r="U294" s="96"/>
      <c r="V294" s="96"/>
      <c r="W294" s="96"/>
    </row>
    <row r="295" spans="1:27" x14ac:dyDescent="0.3">
      <c r="A295" s="96"/>
      <c r="B295" s="96"/>
      <c r="C295" s="93" t="s">
        <v>73</v>
      </c>
      <c r="D295" s="93"/>
      <c r="E295" s="93"/>
      <c r="F295" s="93"/>
      <c r="G295" s="93" t="s">
        <v>2</v>
      </c>
      <c r="H295" s="120">
        <v>1</v>
      </c>
      <c r="I295" s="134">
        <v>1</v>
      </c>
      <c r="J295" s="133" t="s">
        <v>74</v>
      </c>
      <c r="K295" s="113" t="s">
        <v>73</v>
      </c>
      <c r="L295" s="124" t="s">
        <v>21</v>
      </c>
      <c r="M295" s="93"/>
      <c r="N295" s="93">
        <v>4</v>
      </c>
      <c r="O295" s="93"/>
      <c r="P295" s="130" t="s">
        <v>72</v>
      </c>
      <c r="Q295" s="124"/>
      <c r="R295" s="105" t="s">
        <v>40</v>
      </c>
      <c r="S295" s="105" t="s">
        <v>24</v>
      </c>
      <c r="T295" s="32" t="s">
        <v>38</v>
      </c>
      <c r="U295" s="121" t="s">
        <v>488</v>
      </c>
      <c r="X295" s="105" t="s">
        <v>489</v>
      </c>
      <c r="Y295" s="94">
        <v>0</v>
      </c>
      <c r="Z295" s="92"/>
      <c r="AA295" s="9"/>
    </row>
    <row r="296" spans="1:27" x14ac:dyDescent="0.3">
      <c r="A296" s="96"/>
      <c r="B296" s="96"/>
      <c r="C296" s="93"/>
      <c r="D296" s="93"/>
      <c r="E296" s="93"/>
      <c r="F296" s="93"/>
      <c r="G296" s="93" t="s">
        <v>2</v>
      </c>
      <c r="H296" s="113">
        <f t="shared" ref="H296:H308" si="73">H295</f>
        <v>1</v>
      </c>
      <c r="I296" s="128">
        <v>2</v>
      </c>
      <c r="J296" s="131" t="s">
        <v>69</v>
      </c>
      <c r="K296" s="107" t="s">
        <v>0</v>
      </c>
      <c r="L296" s="124" t="s">
        <v>21</v>
      </c>
      <c r="M296" s="93"/>
      <c r="N296" s="93">
        <v>5</v>
      </c>
      <c r="O296" s="93"/>
      <c r="P296" s="123" t="s">
        <v>68</v>
      </c>
      <c r="Q296" s="121"/>
      <c r="R296" s="121" t="s">
        <v>40</v>
      </c>
      <c r="S296" s="121" t="s">
        <v>67</v>
      </c>
      <c r="T296" s="29" t="s">
        <v>38</v>
      </c>
      <c r="U296" s="121" t="s">
        <v>488</v>
      </c>
      <c r="X296" s="121" t="s">
        <v>489</v>
      </c>
      <c r="Y296" s="94">
        <v>0</v>
      </c>
      <c r="Z296" s="92"/>
      <c r="AA296" s="9"/>
    </row>
    <row r="297" spans="1:27" x14ac:dyDescent="0.3">
      <c r="A297" s="96"/>
      <c r="B297" s="96"/>
      <c r="C297" s="93"/>
      <c r="D297" s="93"/>
      <c r="E297" s="93"/>
      <c r="F297" s="93"/>
      <c r="G297" s="93" t="s">
        <v>2</v>
      </c>
      <c r="H297" s="113">
        <f t="shared" si="73"/>
        <v>1</v>
      </c>
      <c r="I297" s="128">
        <v>3</v>
      </c>
      <c r="J297" s="131" t="s">
        <v>66</v>
      </c>
      <c r="K297" s="113"/>
      <c r="L297" s="124" t="s">
        <v>21</v>
      </c>
      <c r="M297" s="93"/>
      <c r="N297" s="93">
        <v>4</v>
      </c>
      <c r="O297" s="93"/>
      <c r="P297" s="34" t="s">
        <v>65</v>
      </c>
      <c r="Q297" s="12"/>
      <c r="R297" s="93" t="s">
        <v>64</v>
      </c>
      <c r="S297" s="93" t="s">
        <v>24</v>
      </c>
      <c r="T297" s="33" t="s">
        <v>63</v>
      </c>
      <c r="U297" s="121" t="s">
        <v>488</v>
      </c>
      <c r="X297" s="105" t="s">
        <v>489</v>
      </c>
      <c r="Y297" s="94">
        <v>0</v>
      </c>
      <c r="Z297" s="92"/>
      <c r="AA297" s="9"/>
    </row>
    <row r="298" spans="1:27" x14ac:dyDescent="0.3">
      <c r="A298" s="96"/>
      <c r="B298" s="96"/>
      <c r="C298" s="93"/>
      <c r="D298" s="93"/>
      <c r="E298" s="93"/>
      <c r="F298" s="93"/>
      <c r="G298" s="93" t="s">
        <v>2</v>
      </c>
      <c r="H298" s="113">
        <f t="shared" si="73"/>
        <v>1</v>
      </c>
      <c r="I298" s="128">
        <v>4</v>
      </c>
      <c r="J298" s="131" t="s">
        <v>62</v>
      </c>
      <c r="K298" s="113"/>
      <c r="L298" s="124" t="s">
        <v>21</v>
      </c>
      <c r="M298" s="93"/>
      <c r="N298" s="93">
        <v>4</v>
      </c>
      <c r="O298" s="93"/>
      <c r="P298" s="130" t="s">
        <v>61</v>
      </c>
      <c r="Q298" s="124"/>
      <c r="R298" s="93" t="s">
        <v>60</v>
      </c>
      <c r="S298" s="93" t="s">
        <v>18</v>
      </c>
      <c r="T298" s="32" t="s">
        <v>59</v>
      </c>
      <c r="U298" s="121" t="s">
        <v>488</v>
      </c>
      <c r="X298" s="105" t="s">
        <v>489</v>
      </c>
      <c r="Y298" s="94">
        <v>0</v>
      </c>
      <c r="Z298" s="92"/>
      <c r="AA298" s="9"/>
    </row>
    <row r="299" spans="1:27" x14ac:dyDescent="0.3">
      <c r="A299" s="96"/>
      <c r="B299" s="96"/>
      <c r="C299" s="93"/>
      <c r="D299" s="93"/>
      <c r="E299" s="93"/>
      <c r="F299" s="93"/>
      <c r="G299" s="93" t="s">
        <v>2</v>
      </c>
      <c r="H299" s="113">
        <f t="shared" si="73"/>
        <v>1</v>
      </c>
      <c r="I299" s="128">
        <v>5</v>
      </c>
      <c r="J299" s="131" t="s">
        <v>58</v>
      </c>
      <c r="K299" s="113"/>
      <c r="L299" s="124" t="s">
        <v>21</v>
      </c>
      <c r="M299" s="93"/>
      <c r="N299" s="93">
        <v>5</v>
      </c>
      <c r="O299" s="93"/>
      <c r="P299" s="121"/>
      <c r="Q299" s="121"/>
      <c r="R299" s="121"/>
      <c r="S299" s="121"/>
      <c r="T299" s="29"/>
      <c r="U299" s="121" t="s">
        <v>488</v>
      </c>
      <c r="X299" s="121" t="s">
        <v>489</v>
      </c>
      <c r="Y299" s="94">
        <v>0</v>
      </c>
      <c r="Z299" s="92"/>
    </row>
    <row r="300" spans="1:27" x14ac:dyDescent="0.3">
      <c r="A300" s="96"/>
      <c r="B300" s="96"/>
      <c r="C300" s="93"/>
      <c r="D300" s="93"/>
      <c r="E300" s="93"/>
      <c r="F300" s="93"/>
      <c r="G300" s="93" t="s">
        <v>2</v>
      </c>
      <c r="H300" s="113">
        <f t="shared" si="73"/>
        <v>1</v>
      </c>
      <c r="I300" s="128">
        <v>6</v>
      </c>
      <c r="J300" s="131" t="s">
        <v>57</v>
      </c>
      <c r="K300" s="113"/>
      <c r="L300" s="124" t="s">
        <v>21</v>
      </c>
      <c r="M300" s="93"/>
      <c r="N300" s="93">
        <v>4</v>
      </c>
      <c r="O300" s="93"/>
      <c r="P300" s="130" t="s">
        <v>56</v>
      </c>
      <c r="Q300" s="124"/>
      <c r="R300" s="93" t="s">
        <v>55</v>
      </c>
      <c r="S300" s="32" t="s">
        <v>54</v>
      </c>
      <c r="T300" s="32"/>
      <c r="U300" s="121" t="s">
        <v>488</v>
      </c>
      <c r="X300" s="105" t="s">
        <v>489</v>
      </c>
      <c r="Y300" s="94">
        <v>0</v>
      </c>
      <c r="Z300" s="92"/>
    </row>
    <row r="301" spans="1:27" x14ac:dyDescent="0.3">
      <c r="A301" s="96"/>
      <c r="B301" s="96"/>
      <c r="C301" s="93"/>
      <c r="D301" s="93"/>
      <c r="E301" s="93"/>
      <c r="F301" s="93"/>
      <c r="G301" s="93" t="s">
        <v>2</v>
      </c>
      <c r="H301" s="113">
        <f t="shared" si="73"/>
        <v>1</v>
      </c>
      <c r="I301" s="128">
        <v>1</v>
      </c>
      <c r="J301" s="131" t="s">
        <v>53</v>
      </c>
      <c r="K301" s="113"/>
      <c r="L301" s="124" t="s">
        <v>42</v>
      </c>
      <c r="M301" s="93"/>
      <c r="N301" s="93">
        <v>4</v>
      </c>
      <c r="O301" s="93"/>
      <c r="P301" s="130" t="s">
        <v>52</v>
      </c>
      <c r="Q301" s="124"/>
      <c r="R301" s="93" t="s">
        <v>51</v>
      </c>
      <c r="S301" s="93" t="s">
        <v>24</v>
      </c>
      <c r="T301" s="32" t="s">
        <v>50</v>
      </c>
      <c r="U301" s="121" t="s">
        <v>488</v>
      </c>
      <c r="X301" s="105" t="s">
        <v>489</v>
      </c>
      <c r="Y301" s="94">
        <v>0</v>
      </c>
      <c r="Z301" s="92"/>
      <c r="AA301" s="9"/>
    </row>
    <row r="302" spans="1:27" x14ac:dyDescent="0.3">
      <c r="A302" s="96"/>
      <c r="B302" s="96"/>
      <c r="C302" s="93"/>
      <c r="D302" s="93"/>
      <c r="E302" s="93"/>
      <c r="F302" s="93"/>
      <c r="G302" s="93" t="s">
        <v>2</v>
      </c>
      <c r="H302" s="113">
        <f t="shared" si="73"/>
        <v>1</v>
      </c>
      <c r="I302" s="128">
        <v>2</v>
      </c>
      <c r="J302" s="127" t="s">
        <v>49</v>
      </c>
      <c r="K302" s="113"/>
      <c r="L302" s="124" t="s">
        <v>42</v>
      </c>
      <c r="M302" s="93"/>
      <c r="N302" s="104">
        <v>5</v>
      </c>
      <c r="O302" s="93"/>
      <c r="P302" s="123" t="s">
        <v>48</v>
      </c>
      <c r="Q302" s="121"/>
      <c r="R302" s="121" t="s">
        <v>47</v>
      </c>
      <c r="S302" s="104" t="s">
        <v>46</v>
      </c>
      <c r="T302" s="129" t="s">
        <v>45</v>
      </c>
      <c r="U302" s="121" t="s">
        <v>488</v>
      </c>
      <c r="W302" s="96"/>
      <c r="X302" s="105"/>
      <c r="Y302" s="94"/>
    </row>
    <row r="303" spans="1:27" x14ac:dyDescent="0.3">
      <c r="A303" s="96"/>
      <c r="B303" s="96"/>
      <c r="C303" s="93"/>
      <c r="D303" s="93"/>
      <c r="E303" s="93"/>
      <c r="F303" s="93"/>
      <c r="G303" s="93" t="s">
        <v>2</v>
      </c>
      <c r="H303" s="113">
        <f t="shared" si="73"/>
        <v>1</v>
      </c>
      <c r="I303" s="128">
        <v>3</v>
      </c>
      <c r="J303" s="127" t="s">
        <v>44</v>
      </c>
      <c r="K303" s="113"/>
      <c r="L303" s="124" t="s">
        <v>42</v>
      </c>
      <c r="M303" s="93"/>
      <c r="N303" s="104">
        <v>5</v>
      </c>
      <c r="O303" s="93"/>
      <c r="P303" s="93"/>
      <c r="Q303" s="93"/>
      <c r="R303" s="105"/>
      <c r="T303" s="102"/>
      <c r="U303" s="121" t="s">
        <v>488</v>
      </c>
      <c r="W303" s="96"/>
      <c r="X303" s="92"/>
      <c r="Y303" s="94"/>
      <c r="Z303" s="92"/>
      <c r="AA303" s="9"/>
    </row>
    <row r="304" spans="1:27" ht="13.5" thickBot="1" x14ac:dyDescent="0.35">
      <c r="A304" s="96"/>
      <c r="B304" s="96"/>
      <c r="C304" s="93"/>
      <c r="D304" s="93"/>
      <c r="E304" s="93"/>
      <c r="F304" s="93"/>
      <c r="G304" s="93" t="s">
        <v>2</v>
      </c>
      <c r="H304" s="113">
        <f t="shared" si="73"/>
        <v>1</v>
      </c>
      <c r="I304" s="126">
        <v>4</v>
      </c>
      <c r="J304" s="125" t="s">
        <v>43</v>
      </c>
      <c r="K304" s="113"/>
      <c r="L304" s="124" t="s">
        <v>42</v>
      </c>
      <c r="M304" s="93"/>
      <c r="N304" s="104">
        <v>5</v>
      </c>
      <c r="O304" s="93"/>
      <c r="P304" s="123" t="s">
        <v>41</v>
      </c>
      <c r="Q304" s="121"/>
      <c r="R304" s="121" t="s">
        <v>40</v>
      </c>
      <c r="S304" s="104" t="s">
        <v>39</v>
      </c>
      <c r="T304" s="29" t="s">
        <v>38</v>
      </c>
      <c r="U304" s="121" t="s">
        <v>488</v>
      </c>
      <c r="W304" s="96"/>
      <c r="X304" s="92"/>
      <c r="Y304" s="94"/>
      <c r="Z304" s="92"/>
      <c r="AA304" s="9"/>
    </row>
    <row r="305" spans="1:27" x14ac:dyDescent="0.3">
      <c r="A305" s="96"/>
      <c r="B305" s="96"/>
      <c r="C305" s="93"/>
      <c r="D305" s="93"/>
      <c r="E305" s="93"/>
      <c r="F305" s="93"/>
      <c r="G305" s="93" t="s">
        <v>2</v>
      </c>
      <c r="H305" s="113">
        <f t="shared" si="73"/>
        <v>1</v>
      </c>
      <c r="I305" s="134">
        <v>7</v>
      </c>
      <c r="J305" s="133" t="s">
        <v>80</v>
      </c>
      <c r="K305" s="113"/>
      <c r="L305" s="124" t="s">
        <v>21</v>
      </c>
      <c r="M305" s="93"/>
      <c r="N305" s="104">
        <v>5</v>
      </c>
      <c r="O305" s="93"/>
      <c r="P305" s="93"/>
      <c r="Q305" s="93"/>
      <c r="R305" s="93"/>
      <c r="S305" s="93"/>
      <c r="T305" s="93"/>
      <c r="U305" s="121" t="s">
        <v>488</v>
      </c>
      <c r="W305" s="96"/>
      <c r="X305" s="92"/>
      <c r="Y305" s="94"/>
      <c r="Z305" s="92"/>
      <c r="AA305" s="9"/>
    </row>
    <row r="306" spans="1:27" x14ac:dyDescent="0.3">
      <c r="A306" s="96"/>
      <c r="B306" s="96"/>
      <c r="C306" s="93"/>
      <c r="D306" s="93"/>
      <c r="E306" s="93"/>
      <c r="F306" s="93"/>
      <c r="G306" s="93" t="s">
        <v>2</v>
      </c>
      <c r="H306" s="113">
        <f t="shared" si="73"/>
        <v>1</v>
      </c>
      <c r="I306" s="128">
        <v>8</v>
      </c>
      <c r="J306" s="131" t="s">
        <v>77</v>
      </c>
      <c r="K306" s="113"/>
      <c r="L306" s="124" t="s">
        <v>21</v>
      </c>
      <c r="M306" s="93"/>
      <c r="N306" s="104">
        <v>5</v>
      </c>
      <c r="O306" s="93"/>
      <c r="P306" s="123" t="s">
        <v>470</v>
      </c>
      <c r="Q306" s="105"/>
      <c r="R306" s="121" t="s">
        <v>469</v>
      </c>
      <c r="S306" s="104" t="s">
        <v>18</v>
      </c>
      <c r="T306" s="29" t="s">
        <v>468</v>
      </c>
      <c r="U306" s="121" t="s">
        <v>488</v>
      </c>
      <c r="W306" s="96"/>
      <c r="X306" s="92"/>
      <c r="Y306" s="94"/>
      <c r="Z306" s="92"/>
      <c r="AA306" s="9"/>
    </row>
    <row r="307" spans="1:27" x14ac:dyDescent="0.3">
      <c r="A307" s="96"/>
      <c r="B307" s="96"/>
      <c r="C307" s="93"/>
      <c r="D307" s="93"/>
      <c r="E307" s="93"/>
      <c r="F307" s="93"/>
      <c r="G307" s="93" t="s">
        <v>2</v>
      </c>
      <c r="H307" s="113">
        <f t="shared" si="73"/>
        <v>1</v>
      </c>
      <c r="I307" s="128">
        <v>9</v>
      </c>
      <c r="J307" s="131" t="s">
        <v>76</v>
      </c>
      <c r="K307" s="113"/>
      <c r="L307" s="124" t="s">
        <v>21</v>
      </c>
      <c r="M307" s="93"/>
      <c r="N307" s="104">
        <v>5</v>
      </c>
      <c r="O307" s="92"/>
      <c r="U307" s="121" t="s">
        <v>488</v>
      </c>
      <c r="W307" s="96"/>
      <c r="X307" s="92"/>
      <c r="Y307" s="94"/>
      <c r="Z307" s="92"/>
      <c r="AA307" s="9"/>
    </row>
    <row r="308" spans="1:27" ht="13.5" thickBot="1" x14ac:dyDescent="0.35">
      <c r="A308" s="96"/>
      <c r="B308" s="96"/>
      <c r="C308" s="93"/>
      <c r="D308" s="93"/>
      <c r="E308" s="93"/>
      <c r="F308" s="93"/>
      <c r="G308" s="93" t="s">
        <v>2</v>
      </c>
      <c r="H308" s="113">
        <f t="shared" si="73"/>
        <v>1</v>
      </c>
      <c r="I308" s="126">
        <v>10</v>
      </c>
      <c r="J308" s="135" t="s">
        <v>75</v>
      </c>
      <c r="K308" s="113"/>
      <c r="L308" s="124" t="s">
        <v>21</v>
      </c>
      <c r="M308" s="93"/>
      <c r="N308" s="104">
        <v>5</v>
      </c>
      <c r="O308" s="93"/>
      <c r="P308" s="93"/>
      <c r="Q308" s="93"/>
      <c r="R308" s="93"/>
      <c r="S308" s="93"/>
      <c r="T308" s="93"/>
      <c r="U308" s="121" t="s">
        <v>488</v>
      </c>
      <c r="W308" s="96"/>
      <c r="X308" s="92"/>
      <c r="Y308" s="94"/>
      <c r="Z308" s="92"/>
      <c r="AA308" s="9"/>
    </row>
    <row r="309" spans="1:27" ht="13.5" thickBot="1" x14ac:dyDescent="0.35">
      <c r="A309" s="96"/>
      <c r="B309" s="96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113"/>
      <c r="Z309" s="92"/>
      <c r="AA309" s="9"/>
    </row>
    <row r="310" spans="1:27" x14ac:dyDescent="0.3">
      <c r="A310" s="96"/>
      <c r="B310" s="96"/>
      <c r="C310" s="93" t="s">
        <v>73</v>
      </c>
      <c r="D310" s="93"/>
      <c r="E310" s="93"/>
      <c r="F310" s="93"/>
      <c r="G310" s="93" t="s">
        <v>2</v>
      </c>
      <c r="H310" s="120">
        <v>1</v>
      </c>
      <c r="I310" s="134">
        <v>1</v>
      </c>
      <c r="J310" s="133" t="s">
        <v>74</v>
      </c>
      <c r="K310" s="113" t="s">
        <v>73</v>
      </c>
      <c r="L310" s="124" t="s">
        <v>21</v>
      </c>
      <c r="M310" s="93"/>
      <c r="N310" s="93">
        <v>4</v>
      </c>
      <c r="O310" s="93"/>
      <c r="P310" s="130" t="s">
        <v>72</v>
      </c>
      <c r="Q310" s="124"/>
      <c r="R310" s="105" t="s">
        <v>40</v>
      </c>
      <c r="S310" s="105" t="s">
        <v>24</v>
      </c>
      <c r="T310" s="32" t="s">
        <v>38</v>
      </c>
      <c r="U310" s="121" t="s">
        <v>486</v>
      </c>
      <c r="X310" s="105" t="s">
        <v>487</v>
      </c>
      <c r="Y310" s="94">
        <v>0</v>
      </c>
      <c r="Z310" s="92"/>
      <c r="AA310" s="9"/>
    </row>
    <row r="311" spans="1:27" x14ac:dyDescent="0.3">
      <c r="A311" s="96"/>
      <c r="B311" s="96"/>
      <c r="C311" s="93"/>
      <c r="D311" s="93"/>
      <c r="E311" s="93"/>
      <c r="F311" s="93"/>
      <c r="G311" s="93" t="s">
        <v>2</v>
      </c>
      <c r="H311" s="113">
        <f t="shared" ref="H311:H323" si="74">H310</f>
        <v>1</v>
      </c>
      <c r="I311" s="128">
        <v>2</v>
      </c>
      <c r="J311" s="131" t="s">
        <v>69</v>
      </c>
      <c r="K311" s="107" t="s">
        <v>0</v>
      </c>
      <c r="L311" s="124" t="s">
        <v>21</v>
      </c>
      <c r="M311" s="93"/>
      <c r="N311" s="93">
        <v>5</v>
      </c>
      <c r="O311" s="93"/>
      <c r="P311" s="123" t="s">
        <v>68</v>
      </c>
      <c r="Q311" s="121"/>
      <c r="R311" s="121" t="s">
        <v>40</v>
      </c>
      <c r="S311" s="121" t="s">
        <v>67</v>
      </c>
      <c r="T311" s="29" t="s">
        <v>38</v>
      </c>
      <c r="U311" s="121" t="s">
        <v>486</v>
      </c>
      <c r="X311" s="121" t="s">
        <v>487</v>
      </c>
      <c r="Y311" s="94">
        <v>0</v>
      </c>
      <c r="Z311" s="92"/>
    </row>
    <row r="312" spans="1:27" x14ac:dyDescent="0.3">
      <c r="A312" s="96"/>
      <c r="B312" s="96"/>
      <c r="C312" s="93"/>
      <c r="D312" s="93"/>
      <c r="E312" s="93"/>
      <c r="F312" s="93"/>
      <c r="G312" s="93" t="s">
        <v>2</v>
      </c>
      <c r="H312" s="113">
        <f t="shared" si="74"/>
        <v>1</v>
      </c>
      <c r="I312" s="128">
        <v>3</v>
      </c>
      <c r="J312" s="131" t="s">
        <v>66</v>
      </c>
      <c r="K312" s="113"/>
      <c r="L312" s="124" t="s">
        <v>21</v>
      </c>
      <c r="M312" s="93"/>
      <c r="N312" s="93">
        <v>4</v>
      </c>
      <c r="O312" s="93"/>
      <c r="P312" s="34" t="s">
        <v>65</v>
      </c>
      <c r="Q312" s="12"/>
      <c r="R312" s="93" t="s">
        <v>64</v>
      </c>
      <c r="S312" s="93" t="s">
        <v>24</v>
      </c>
      <c r="T312" s="33" t="s">
        <v>63</v>
      </c>
      <c r="U312" s="121" t="s">
        <v>486</v>
      </c>
      <c r="X312" s="105" t="s">
        <v>487</v>
      </c>
      <c r="Y312" s="94">
        <v>0</v>
      </c>
      <c r="Z312" s="92"/>
    </row>
    <row r="313" spans="1:27" x14ac:dyDescent="0.3">
      <c r="A313" s="96"/>
      <c r="B313" s="96"/>
      <c r="C313" s="93"/>
      <c r="D313" s="93"/>
      <c r="E313" s="93"/>
      <c r="F313" s="93"/>
      <c r="G313" s="93" t="s">
        <v>2</v>
      </c>
      <c r="H313" s="113">
        <f t="shared" si="74"/>
        <v>1</v>
      </c>
      <c r="I313" s="128">
        <v>4</v>
      </c>
      <c r="J313" s="131" t="s">
        <v>62</v>
      </c>
      <c r="K313" s="113"/>
      <c r="L313" s="124" t="s">
        <v>21</v>
      </c>
      <c r="M313" s="93"/>
      <c r="N313" s="93">
        <v>4</v>
      </c>
      <c r="O313" s="93"/>
      <c r="P313" s="130" t="s">
        <v>61</v>
      </c>
      <c r="Q313" s="124"/>
      <c r="R313" s="93" t="s">
        <v>60</v>
      </c>
      <c r="S313" s="93" t="s">
        <v>18</v>
      </c>
      <c r="T313" s="32" t="s">
        <v>59</v>
      </c>
      <c r="U313" s="121" t="s">
        <v>486</v>
      </c>
      <c r="X313" s="105" t="s">
        <v>487</v>
      </c>
      <c r="Y313" s="94">
        <v>0</v>
      </c>
      <c r="Z313" s="92"/>
      <c r="AA313" s="9"/>
    </row>
    <row r="314" spans="1:27" x14ac:dyDescent="0.3">
      <c r="A314" s="96"/>
      <c r="B314" s="96"/>
      <c r="C314" s="93"/>
      <c r="D314" s="93"/>
      <c r="E314" s="93"/>
      <c r="F314" s="93"/>
      <c r="G314" s="93" t="s">
        <v>2</v>
      </c>
      <c r="H314" s="113">
        <f t="shared" si="74"/>
        <v>1</v>
      </c>
      <c r="I314" s="128">
        <v>5</v>
      </c>
      <c r="J314" s="131" t="s">
        <v>58</v>
      </c>
      <c r="K314" s="113"/>
      <c r="L314" s="124" t="s">
        <v>21</v>
      </c>
      <c r="M314" s="93"/>
      <c r="N314" s="93">
        <v>5</v>
      </c>
      <c r="O314" s="93"/>
      <c r="P314" s="121"/>
      <c r="Q314" s="121"/>
      <c r="R314" s="121"/>
      <c r="S314" s="121"/>
      <c r="T314" s="29"/>
      <c r="U314" s="121" t="s">
        <v>486</v>
      </c>
      <c r="X314" s="121" t="s">
        <v>487</v>
      </c>
      <c r="Y314" s="94">
        <v>0</v>
      </c>
    </row>
    <row r="315" spans="1:27" x14ac:dyDescent="0.3">
      <c r="A315" s="96"/>
      <c r="B315" s="96"/>
      <c r="C315" s="93"/>
      <c r="D315" s="93"/>
      <c r="E315" s="93"/>
      <c r="F315" s="93"/>
      <c r="G315" s="93" t="s">
        <v>2</v>
      </c>
      <c r="H315" s="113">
        <f t="shared" si="74"/>
        <v>1</v>
      </c>
      <c r="I315" s="128">
        <v>6</v>
      </c>
      <c r="J315" s="131" t="s">
        <v>57</v>
      </c>
      <c r="K315" s="113"/>
      <c r="L315" s="124" t="s">
        <v>21</v>
      </c>
      <c r="M315" s="93"/>
      <c r="N315" s="93">
        <v>4</v>
      </c>
      <c r="O315" s="93"/>
      <c r="P315" s="130" t="s">
        <v>56</v>
      </c>
      <c r="Q315" s="124"/>
      <c r="R315" s="93" t="s">
        <v>55</v>
      </c>
      <c r="S315" s="32" t="s">
        <v>54</v>
      </c>
      <c r="T315" s="32"/>
      <c r="U315" s="121" t="s">
        <v>486</v>
      </c>
      <c r="X315" s="105" t="s">
        <v>487</v>
      </c>
      <c r="Y315" s="94">
        <v>0</v>
      </c>
      <c r="Z315" s="92"/>
      <c r="AA315" s="9"/>
    </row>
    <row r="316" spans="1:27" x14ac:dyDescent="0.3">
      <c r="A316" s="96"/>
      <c r="B316" s="96"/>
      <c r="C316" s="93"/>
      <c r="D316" s="93"/>
      <c r="E316" s="93"/>
      <c r="F316" s="93"/>
      <c r="G316" s="93" t="s">
        <v>2</v>
      </c>
      <c r="H316" s="113">
        <f t="shared" si="74"/>
        <v>1</v>
      </c>
      <c r="I316" s="128">
        <v>1</v>
      </c>
      <c r="J316" s="131" t="s">
        <v>53</v>
      </c>
      <c r="K316" s="113"/>
      <c r="L316" s="124" t="s">
        <v>42</v>
      </c>
      <c r="M316" s="93"/>
      <c r="N316" s="93">
        <v>4</v>
      </c>
      <c r="O316" s="93"/>
      <c r="P316" s="130" t="s">
        <v>52</v>
      </c>
      <c r="Q316" s="124"/>
      <c r="R316" s="93" t="s">
        <v>51</v>
      </c>
      <c r="S316" s="93" t="s">
        <v>24</v>
      </c>
      <c r="T316" s="32" t="s">
        <v>50</v>
      </c>
      <c r="U316" s="121" t="s">
        <v>486</v>
      </c>
      <c r="X316" s="105" t="s">
        <v>487</v>
      </c>
      <c r="Y316" s="94">
        <v>0</v>
      </c>
      <c r="Z316" s="92"/>
      <c r="AA316" s="9"/>
    </row>
    <row r="317" spans="1:27" x14ac:dyDescent="0.3">
      <c r="A317" s="96"/>
      <c r="B317" s="96"/>
      <c r="C317" s="93"/>
      <c r="D317" s="93"/>
      <c r="E317" s="93"/>
      <c r="F317" s="93"/>
      <c r="G317" s="93" t="s">
        <v>2</v>
      </c>
      <c r="H317" s="113">
        <f t="shared" si="74"/>
        <v>1</v>
      </c>
      <c r="I317" s="128">
        <v>2</v>
      </c>
      <c r="J317" s="127" t="s">
        <v>49</v>
      </c>
      <c r="K317" s="113"/>
      <c r="L317" s="124" t="s">
        <v>42</v>
      </c>
      <c r="M317" s="93"/>
      <c r="N317" s="104">
        <v>5</v>
      </c>
      <c r="O317" s="93"/>
      <c r="P317" s="123" t="s">
        <v>48</v>
      </c>
      <c r="Q317" s="121"/>
      <c r="R317" s="121" t="s">
        <v>47</v>
      </c>
      <c r="S317" s="104" t="s">
        <v>46</v>
      </c>
      <c r="T317" s="129" t="s">
        <v>45</v>
      </c>
      <c r="U317" s="121" t="s">
        <v>486</v>
      </c>
      <c r="W317" s="96"/>
      <c r="X317" s="105"/>
      <c r="Y317" s="94"/>
      <c r="Z317" s="92"/>
      <c r="AA317" s="9"/>
    </row>
    <row r="318" spans="1:27" x14ac:dyDescent="0.3">
      <c r="A318" s="96"/>
      <c r="B318" s="96"/>
      <c r="C318" s="93"/>
      <c r="D318" s="93"/>
      <c r="E318" s="93"/>
      <c r="F318" s="93"/>
      <c r="G318" s="93" t="s">
        <v>2</v>
      </c>
      <c r="H318" s="113">
        <f t="shared" si="74"/>
        <v>1</v>
      </c>
      <c r="I318" s="128">
        <v>3</v>
      </c>
      <c r="J318" s="127" t="s">
        <v>44</v>
      </c>
      <c r="K318" s="113"/>
      <c r="L318" s="124" t="s">
        <v>42</v>
      </c>
      <c r="M318" s="93"/>
      <c r="N318" s="104">
        <v>5</v>
      </c>
      <c r="O318" s="93"/>
      <c r="P318" s="93"/>
      <c r="Q318" s="93"/>
      <c r="R318" s="105"/>
      <c r="T318" s="102"/>
      <c r="U318" s="121" t="s">
        <v>486</v>
      </c>
      <c r="W318" s="96"/>
      <c r="X318" s="92"/>
      <c r="Y318" s="94"/>
      <c r="Z318" s="92"/>
      <c r="AA318" s="9"/>
    </row>
    <row r="319" spans="1:27" ht="13.5" thickBot="1" x14ac:dyDescent="0.35">
      <c r="A319" s="96"/>
      <c r="B319" s="96"/>
      <c r="C319" s="93"/>
      <c r="D319" s="93"/>
      <c r="E319" s="93"/>
      <c r="F319" s="93"/>
      <c r="G319" s="93" t="s">
        <v>2</v>
      </c>
      <c r="H319" s="113">
        <f t="shared" si="74"/>
        <v>1</v>
      </c>
      <c r="I319" s="126">
        <v>4</v>
      </c>
      <c r="J319" s="125" t="s">
        <v>43</v>
      </c>
      <c r="K319" s="113"/>
      <c r="L319" s="124" t="s">
        <v>42</v>
      </c>
      <c r="M319" s="93"/>
      <c r="N319" s="104">
        <v>5</v>
      </c>
      <c r="O319" s="93"/>
      <c r="P319" s="123" t="s">
        <v>41</v>
      </c>
      <c r="Q319" s="121"/>
      <c r="R319" s="121" t="s">
        <v>40</v>
      </c>
      <c r="S319" s="104" t="s">
        <v>39</v>
      </c>
      <c r="T319" s="29" t="s">
        <v>38</v>
      </c>
      <c r="U319" s="121" t="s">
        <v>486</v>
      </c>
      <c r="W319" s="96"/>
      <c r="X319" s="92"/>
      <c r="Y319" s="94"/>
      <c r="Z319" s="92"/>
    </row>
    <row r="320" spans="1:27" x14ac:dyDescent="0.3">
      <c r="A320" s="96"/>
      <c r="B320" s="96"/>
      <c r="C320" s="93"/>
      <c r="D320" s="93"/>
      <c r="E320" s="93"/>
      <c r="F320" s="93"/>
      <c r="G320" s="93" t="s">
        <v>2</v>
      </c>
      <c r="H320" s="113">
        <f t="shared" si="74"/>
        <v>1</v>
      </c>
      <c r="I320" s="134">
        <v>7</v>
      </c>
      <c r="J320" s="133" t="s">
        <v>80</v>
      </c>
      <c r="K320" s="113"/>
      <c r="L320" s="124" t="s">
        <v>21</v>
      </c>
      <c r="M320" s="93"/>
      <c r="N320" s="104">
        <v>5</v>
      </c>
      <c r="O320" s="93"/>
      <c r="P320" s="93"/>
      <c r="Q320" s="93"/>
      <c r="R320" s="93"/>
      <c r="S320" s="93"/>
      <c r="T320" s="93"/>
      <c r="U320" s="121" t="s">
        <v>486</v>
      </c>
      <c r="W320" s="96"/>
      <c r="X320" s="92"/>
      <c r="Y320" s="94"/>
      <c r="Z320" s="92"/>
    </row>
    <row r="321" spans="1:27" x14ac:dyDescent="0.3">
      <c r="A321" s="96"/>
      <c r="B321" s="96"/>
      <c r="C321" s="93"/>
      <c r="D321" s="93"/>
      <c r="E321" s="93"/>
      <c r="F321" s="93"/>
      <c r="G321" s="93" t="s">
        <v>2</v>
      </c>
      <c r="H321" s="113">
        <f t="shared" si="74"/>
        <v>1</v>
      </c>
      <c r="I321" s="128">
        <v>8</v>
      </c>
      <c r="J321" s="131" t="s">
        <v>77</v>
      </c>
      <c r="K321" s="113"/>
      <c r="L321" s="124" t="s">
        <v>21</v>
      </c>
      <c r="M321" s="93"/>
      <c r="N321" s="104">
        <v>5</v>
      </c>
      <c r="O321" s="93"/>
      <c r="P321" s="123" t="s">
        <v>470</v>
      </c>
      <c r="Q321" s="105"/>
      <c r="R321" s="121" t="s">
        <v>469</v>
      </c>
      <c r="S321" s="104" t="s">
        <v>18</v>
      </c>
      <c r="T321" s="29" t="s">
        <v>468</v>
      </c>
      <c r="U321" s="121" t="s">
        <v>486</v>
      </c>
      <c r="W321" s="96"/>
      <c r="X321" s="92"/>
      <c r="Y321" s="94"/>
      <c r="Z321" s="92"/>
    </row>
    <row r="322" spans="1:27" x14ac:dyDescent="0.3">
      <c r="A322" s="96"/>
      <c r="B322" s="96"/>
      <c r="C322" s="93"/>
      <c r="D322" s="93"/>
      <c r="E322" s="93"/>
      <c r="F322" s="93"/>
      <c r="G322" s="93" t="s">
        <v>2</v>
      </c>
      <c r="H322" s="113">
        <f t="shared" si="74"/>
        <v>1</v>
      </c>
      <c r="I322" s="128">
        <v>9</v>
      </c>
      <c r="J322" s="131" t="s">
        <v>76</v>
      </c>
      <c r="K322" s="113"/>
      <c r="L322" s="124" t="s">
        <v>21</v>
      </c>
      <c r="M322" s="93"/>
      <c r="N322" s="104">
        <v>5</v>
      </c>
      <c r="O322" s="92"/>
      <c r="U322" s="121" t="s">
        <v>486</v>
      </c>
      <c r="W322" s="96"/>
      <c r="X322" s="92"/>
      <c r="Y322" s="94"/>
      <c r="Z322" s="92"/>
    </row>
    <row r="323" spans="1:27" ht="13.5" thickBot="1" x14ac:dyDescent="0.35">
      <c r="A323" s="96"/>
      <c r="B323" s="96"/>
      <c r="C323" s="93"/>
      <c r="D323" s="93"/>
      <c r="E323" s="93"/>
      <c r="F323" s="93"/>
      <c r="G323" s="93" t="s">
        <v>2</v>
      </c>
      <c r="H323" s="113">
        <f t="shared" si="74"/>
        <v>1</v>
      </c>
      <c r="I323" s="126">
        <v>10</v>
      </c>
      <c r="J323" s="135" t="s">
        <v>75</v>
      </c>
      <c r="K323" s="113"/>
      <c r="L323" s="124" t="s">
        <v>21</v>
      </c>
      <c r="M323" s="93"/>
      <c r="N323" s="104">
        <v>5</v>
      </c>
      <c r="O323" s="93"/>
      <c r="P323" s="93"/>
      <c r="Q323" s="93"/>
      <c r="R323" s="93"/>
      <c r="S323" s="93"/>
      <c r="T323" s="93"/>
      <c r="U323" s="121" t="s">
        <v>486</v>
      </c>
      <c r="W323" s="96"/>
      <c r="X323" s="92"/>
      <c r="Y323" s="94"/>
      <c r="Z323" s="92"/>
    </row>
    <row r="324" spans="1:27" ht="13.5" thickBot="1" x14ac:dyDescent="0.35">
      <c r="A324" s="96"/>
      <c r="B324" s="96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113"/>
      <c r="Z324" s="92"/>
    </row>
    <row r="325" spans="1:27" x14ac:dyDescent="0.3">
      <c r="A325" s="96"/>
      <c r="B325" s="96"/>
      <c r="C325" s="93" t="s">
        <v>73</v>
      </c>
      <c r="D325" s="93"/>
      <c r="E325" s="93"/>
      <c r="F325" s="93"/>
      <c r="G325" s="93" t="s">
        <v>2</v>
      </c>
      <c r="H325" s="120">
        <v>1</v>
      </c>
      <c r="I325" s="134">
        <v>1</v>
      </c>
      <c r="J325" s="133" t="s">
        <v>74</v>
      </c>
      <c r="K325" s="113" t="s">
        <v>73</v>
      </c>
      <c r="L325" s="124" t="s">
        <v>21</v>
      </c>
      <c r="M325" s="93"/>
      <c r="N325" s="93">
        <v>4</v>
      </c>
      <c r="O325" s="93"/>
      <c r="P325" s="130" t="s">
        <v>72</v>
      </c>
      <c r="Q325" s="124"/>
      <c r="R325" s="105" t="s">
        <v>40</v>
      </c>
      <c r="S325" s="105" t="s">
        <v>24</v>
      </c>
      <c r="T325" s="32" t="s">
        <v>38</v>
      </c>
      <c r="U325" s="93" t="s">
        <v>485</v>
      </c>
      <c r="X325" s="105" t="s">
        <v>484</v>
      </c>
      <c r="Y325" s="94" t="s">
        <v>4</v>
      </c>
      <c r="Z325" s="92"/>
      <c r="AA325" s="9"/>
    </row>
    <row r="326" spans="1:27" x14ac:dyDescent="0.3">
      <c r="A326" s="96"/>
      <c r="B326" s="96"/>
      <c r="C326" s="93"/>
      <c r="D326" s="93"/>
      <c r="E326" s="93"/>
      <c r="F326" s="93"/>
      <c r="G326" s="93" t="s">
        <v>2</v>
      </c>
      <c r="H326" s="113">
        <f t="shared" ref="H326:H334" si="75">H325</f>
        <v>1</v>
      </c>
      <c r="I326" s="128">
        <v>2</v>
      </c>
      <c r="J326" s="131" t="s">
        <v>69</v>
      </c>
      <c r="K326" s="107" t="s">
        <v>0</v>
      </c>
      <c r="L326" s="124" t="s">
        <v>21</v>
      </c>
      <c r="M326" s="93"/>
      <c r="N326" s="104">
        <v>5</v>
      </c>
      <c r="O326" s="104"/>
      <c r="P326" s="123" t="s">
        <v>68</v>
      </c>
      <c r="Q326" s="121"/>
      <c r="R326" s="121" t="s">
        <v>40</v>
      </c>
      <c r="S326" s="105" t="s">
        <v>67</v>
      </c>
      <c r="T326" s="32" t="s">
        <v>38</v>
      </c>
      <c r="U326" s="122" t="str">
        <f t="shared" ref="U326:U334" si="76">+U325</f>
        <v>BAF130PP04</v>
      </c>
      <c r="X326" s="105" t="str">
        <f t="shared" ref="X326:X334" si="77">+X325</f>
        <v>BR4-2110-E-00053</v>
      </c>
      <c r="Y326" s="92" t="str">
        <f t="shared" ref="Y326:Y334" si="78">+Y325</f>
        <v>A</v>
      </c>
      <c r="Z326" s="92"/>
      <c r="AA326" s="9"/>
    </row>
    <row r="327" spans="1:27" x14ac:dyDescent="0.3">
      <c r="A327" s="96"/>
      <c r="B327" s="96"/>
      <c r="C327" s="93"/>
      <c r="D327" s="93"/>
      <c r="E327" s="93"/>
      <c r="F327" s="93"/>
      <c r="G327" s="93" t="s">
        <v>2</v>
      </c>
      <c r="H327" s="113">
        <f t="shared" si="75"/>
        <v>1</v>
      </c>
      <c r="I327" s="128">
        <v>3</v>
      </c>
      <c r="J327" s="131" t="s">
        <v>66</v>
      </c>
      <c r="K327" s="113"/>
      <c r="L327" s="124" t="s">
        <v>21</v>
      </c>
      <c r="M327" s="93"/>
      <c r="N327" s="93">
        <v>5</v>
      </c>
      <c r="O327" s="93"/>
      <c r="P327" s="34" t="s">
        <v>65</v>
      </c>
      <c r="Q327" s="12"/>
      <c r="R327" s="93" t="s">
        <v>64</v>
      </c>
      <c r="S327" s="93" t="s">
        <v>24</v>
      </c>
      <c r="T327" s="33" t="s">
        <v>63</v>
      </c>
      <c r="U327" s="122" t="str">
        <f t="shared" si="76"/>
        <v>BAF130PP04</v>
      </c>
      <c r="X327" s="105" t="str">
        <f t="shared" si="77"/>
        <v>BR4-2110-E-00053</v>
      </c>
      <c r="Y327" s="92" t="str">
        <f t="shared" si="78"/>
        <v>A</v>
      </c>
      <c r="Z327" s="92"/>
      <c r="AA327" s="9"/>
    </row>
    <row r="328" spans="1:27" x14ac:dyDescent="0.3">
      <c r="A328" s="96"/>
      <c r="B328" s="96"/>
      <c r="C328" s="93"/>
      <c r="D328" s="93"/>
      <c r="E328" s="93"/>
      <c r="F328" s="93"/>
      <c r="G328" s="93" t="s">
        <v>2</v>
      </c>
      <c r="H328" s="113">
        <f t="shared" si="75"/>
        <v>1</v>
      </c>
      <c r="I328" s="128">
        <v>4</v>
      </c>
      <c r="J328" s="131" t="s">
        <v>62</v>
      </c>
      <c r="K328" s="113"/>
      <c r="L328" s="124" t="s">
        <v>21</v>
      </c>
      <c r="M328" s="93"/>
      <c r="N328" s="93">
        <v>4</v>
      </c>
      <c r="O328" s="93"/>
      <c r="P328" s="130" t="s">
        <v>61</v>
      </c>
      <c r="Q328" s="124"/>
      <c r="R328" s="93" t="s">
        <v>60</v>
      </c>
      <c r="S328" s="93" t="s">
        <v>18</v>
      </c>
      <c r="T328" s="32" t="s">
        <v>59</v>
      </c>
      <c r="U328" s="122" t="str">
        <f t="shared" si="76"/>
        <v>BAF130PP04</v>
      </c>
      <c r="X328" s="105" t="str">
        <f t="shared" si="77"/>
        <v>BR4-2110-E-00053</v>
      </c>
      <c r="Y328" s="92" t="str">
        <f t="shared" si="78"/>
        <v>A</v>
      </c>
      <c r="Z328" s="92"/>
      <c r="AA328" s="9"/>
    </row>
    <row r="329" spans="1:27" x14ac:dyDescent="0.3">
      <c r="A329" s="96"/>
      <c r="B329" s="96"/>
      <c r="C329" s="93"/>
      <c r="D329" s="93"/>
      <c r="E329" s="93"/>
      <c r="F329" s="93"/>
      <c r="G329" s="93" t="s">
        <v>2</v>
      </c>
      <c r="H329" s="113">
        <f t="shared" si="75"/>
        <v>1</v>
      </c>
      <c r="I329" s="128">
        <v>5</v>
      </c>
      <c r="J329" s="131" t="s">
        <v>58</v>
      </c>
      <c r="K329" s="113"/>
      <c r="L329" s="124" t="s">
        <v>21</v>
      </c>
      <c r="M329" s="93"/>
      <c r="N329" s="93"/>
      <c r="O329" s="93"/>
      <c r="P329" s="124"/>
      <c r="Q329" s="124"/>
      <c r="R329" s="93"/>
      <c r="S329" s="32"/>
      <c r="T329" s="32"/>
      <c r="U329" s="122" t="str">
        <f t="shared" si="76"/>
        <v>BAF130PP04</v>
      </c>
      <c r="X329" s="105" t="str">
        <f t="shared" si="77"/>
        <v>BR4-2110-E-00053</v>
      </c>
      <c r="Y329" s="92" t="str">
        <f t="shared" si="78"/>
        <v>A</v>
      </c>
      <c r="Z329" s="92"/>
      <c r="AA329" s="9"/>
    </row>
    <row r="330" spans="1:27" x14ac:dyDescent="0.3">
      <c r="A330" s="96"/>
      <c r="B330" s="96"/>
      <c r="C330" s="93"/>
      <c r="D330" s="93"/>
      <c r="E330" s="93"/>
      <c r="F330" s="93"/>
      <c r="G330" s="93" t="s">
        <v>2</v>
      </c>
      <c r="H330" s="113">
        <f t="shared" si="75"/>
        <v>1</v>
      </c>
      <c r="I330" s="128">
        <v>6</v>
      </c>
      <c r="J330" s="131" t="s">
        <v>57</v>
      </c>
      <c r="K330" s="113"/>
      <c r="L330" s="124" t="s">
        <v>21</v>
      </c>
      <c r="M330" s="93"/>
      <c r="N330" s="93">
        <v>4</v>
      </c>
      <c r="O330" s="93"/>
      <c r="P330" s="130" t="s">
        <v>56</v>
      </c>
      <c r="Q330" s="124"/>
      <c r="R330" s="93" t="s">
        <v>55</v>
      </c>
      <c r="S330" s="32" t="s">
        <v>54</v>
      </c>
      <c r="T330" s="32"/>
      <c r="U330" s="122" t="str">
        <f t="shared" si="76"/>
        <v>BAF130PP04</v>
      </c>
      <c r="X330" s="105" t="str">
        <f t="shared" si="77"/>
        <v>BR4-2110-E-00053</v>
      </c>
      <c r="Y330" s="92" t="str">
        <f t="shared" si="78"/>
        <v>A</v>
      </c>
      <c r="Z330" s="92"/>
      <c r="AA330" s="9"/>
    </row>
    <row r="331" spans="1:27" x14ac:dyDescent="0.3">
      <c r="A331" s="96"/>
      <c r="B331" s="96"/>
      <c r="C331" s="93"/>
      <c r="D331" s="93"/>
      <c r="E331" s="93"/>
      <c r="F331" s="93"/>
      <c r="G331" s="93" t="s">
        <v>2</v>
      </c>
      <c r="H331" s="113">
        <f t="shared" si="75"/>
        <v>1</v>
      </c>
      <c r="I331" s="128">
        <v>1</v>
      </c>
      <c r="J331" s="131" t="s">
        <v>53</v>
      </c>
      <c r="K331" s="113"/>
      <c r="L331" s="124" t="s">
        <v>42</v>
      </c>
      <c r="M331" s="93"/>
      <c r="N331" s="93">
        <v>4</v>
      </c>
      <c r="O331" s="93"/>
      <c r="P331" s="130" t="s">
        <v>52</v>
      </c>
      <c r="Q331" s="124"/>
      <c r="R331" s="93" t="s">
        <v>51</v>
      </c>
      <c r="S331" s="93" t="s">
        <v>24</v>
      </c>
      <c r="T331" s="32" t="s">
        <v>50</v>
      </c>
      <c r="U331" s="122" t="str">
        <f t="shared" si="76"/>
        <v>BAF130PP04</v>
      </c>
      <c r="X331" s="105" t="str">
        <f t="shared" si="77"/>
        <v>BR4-2110-E-00053</v>
      </c>
      <c r="Y331" s="92" t="str">
        <f t="shared" si="78"/>
        <v>A</v>
      </c>
      <c r="Z331" s="92"/>
      <c r="AA331" s="9"/>
    </row>
    <row r="332" spans="1:27" x14ac:dyDescent="0.3">
      <c r="A332" s="96"/>
      <c r="B332" s="96"/>
      <c r="C332" s="93"/>
      <c r="D332" s="93"/>
      <c r="E332" s="93"/>
      <c r="F332" s="93"/>
      <c r="G332" s="93" t="s">
        <v>2</v>
      </c>
      <c r="H332" s="113">
        <f t="shared" si="75"/>
        <v>1</v>
      </c>
      <c r="I332" s="128">
        <v>2</v>
      </c>
      <c r="J332" s="127" t="s">
        <v>49</v>
      </c>
      <c r="K332" s="113"/>
      <c r="L332" s="124" t="s">
        <v>42</v>
      </c>
      <c r="M332" s="93"/>
      <c r="N332" s="104">
        <v>5</v>
      </c>
      <c r="O332" s="93"/>
      <c r="P332" s="123" t="s">
        <v>48</v>
      </c>
      <c r="Q332" s="121"/>
      <c r="R332" s="121" t="s">
        <v>47</v>
      </c>
      <c r="S332" s="104" t="s">
        <v>46</v>
      </c>
      <c r="T332" s="129" t="s">
        <v>45</v>
      </c>
      <c r="U332" s="122" t="str">
        <f t="shared" si="76"/>
        <v>BAF130PP04</v>
      </c>
      <c r="W332" s="96"/>
      <c r="X332" s="105" t="str">
        <f t="shared" si="77"/>
        <v>BR4-2110-E-00053</v>
      </c>
      <c r="Y332" s="92" t="str">
        <f t="shared" si="78"/>
        <v>A</v>
      </c>
      <c r="Z332" s="92"/>
      <c r="AA332" s="9"/>
    </row>
    <row r="333" spans="1:27" x14ac:dyDescent="0.3">
      <c r="A333" s="96"/>
      <c r="B333" s="96"/>
      <c r="C333" s="93"/>
      <c r="D333" s="93"/>
      <c r="E333" s="93"/>
      <c r="F333" s="93"/>
      <c r="G333" s="93" t="s">
        <v>2</v>
      </c>
      <c r="H333" s="113">
        <f t="shared" si="75"/>
        <v>1</v>
      </c>
      <c r="I333" s="128">
        <v>3</v>
      </c>
      <c r="J333" s="127" t="s">
        <v>44</v>
      </c>
      <c r="K333" s="113"/>
      <c r="L333" s="124" t="s">
        <v>42</v>
      </c>
      <c r="M333" s="93"/>
      <c r="N333" s="104">
        <v>5</v>
      </c>
      <c r="O333" s="104"/>
      <c r="U333" s="122" t="str">
        <f t="shared" si="76"/>
        <v>BAF130PP04</v>
      </c>
      <c r="W333" s="96"/>
      <c r="X333" s="105" t="str">
        <f t="shared" si="77"/>
        <v>BR4-2110-E-00053</v>
      </c>
      <c r="Y333" s="92" t="str">
        <f t="shared" si="78"/>
        <v>A</v>
      </c>
      <c r="Z333" s="92"/>
      <c r="AA333" s="9"/>
    </row>
    <row r="334" spans="1:27" ht="13.5" thickBot="1" x14ac:dyDescent="0.35">
      <c r="A334" s="96"/>
      <c r="B334" s="96"/>
      <c r="C334" s="93"/>
      <c r="D334" s="93"/>
      <c r="E334" s="93"/>
      <c r="F334" s="93"/>
      <c r="G334" s="93" t="s">
        <v>2</v>
      </c>
      <c r="H334" s="113">
        <f t="shared" si="75"/>
        <v>1</v>
      </c>
      <c r="I334" s="126">
        <v>4</v>
      </c>
      <c r="J334" s="125" t="s">
        <v>43</v>
      </c>
      <c r="K334" s="113"/>
      <c r="L334" s="124" t="s">
        <v>42</v>
      </c>
      <c r="M334" s="93"/>
      <c r="N334" s="104">
        <v>5</v>
      </c>
      <c r="O334" s="104"/>
      <c r="P334" s="123" t="s">
        <v>41</v>
      </c>
      <c r="Q334" s="121"/>
      <c r="R334" s="121" t="s">
        <v>40</v>
      </c>
      <c r="S334" s="104" t="s">
        <v>39</v>
      </c>
      <c r="T334" s="29" t="s">
        <v>38</v>
      </c>
      <c r="U334" s="122" t="str">
        <f t="shared" si="76"/>
        <v>BAF130PP04</v>
      </c>
      <c r="W334" s="96"/>
      <c r="X334" s="105" t="str">
        <f t="shared" si="77"/>
        <v>BR4-2110-E-00053</v>
      </c>
      <c r="Y334" s="92" t="str">
        <f t="shared" si="78"/>
        <v>A</v>
      </c>
      <c r="Z334" s="92"/>
      <c r="AA334" s="9"/>
    </row>
    <row r="335" spans="1:27" ht="13.5" thickBot="1" x14ac:dyDescent="0.35">
      <c r="A335" s="96"/>
      <c r="B335" s="96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113"/>
      <c r="Z335" s="92"/>
      <c r="AA335" s="9"/>
    </row>
    <row r="336" spans="1:27" x14ac:dyDescent="0.3">
      <c r="A336" s="96"/>
      <c r="B336" s="96"/>
      <c r="C336" s="93" t="s">
        <v>73</v>
      </c>
      <c r="D336" s="93"/>
      <c r="E336" s="93"/>
      <c r="F336" s="93"/>
      <c r="G336" s="93" t="s">
        <v>2</v>
      </c>
      <c r="H336" s="120">
        <v>1</v>
      </c>
      <c r="I336" s="134">
        <v>1</v>
      </c>
      <c r="J336" s="133" t="s">
        <v>74</v>
      </c>
      <c r="K336" s="113" t="s">
        <v>73</v>
      </c>
      <c r="L336" s="124" t="s">
        <v>21</v>
      </c>
      <c r="M336" s="93"/>
      <c r="N336" s="93">
        <v>4</v>
      </c>
      <c r="O336" s="93"/>
      <c r="P336" s="130" t="s">
        <v>72</v>
      </c>
      <c r="Q336" s="124"/>
      <c r="R336" s="105" t="s">
        <v>40</v>
      </c>
      <c r="S336" s="105" t="s">
        <v>24</v>
      </c>
      <c r="T336" s="32" t="s">
        <v>38</v>
      </c>
      <c r="U336" s="93" t="s">
        <v>483</v>
      </c>
      <c r="X336" s="105" t="s">
        <v>482</v>
      </c>
      <c r="Y336" s="94" t="s">
        <v>4</v>
      </c>
      <c r="Z336" s="92"/>
      <c r="AA336" s="9"/>
    </row>
    <row r="337" spans="1:27" x14ac:dyDescent="0.3">
      <c r="A337" s="96"/>
      <c r="B337" s="96"/>
      <c r="C337" s="93"/>
      <c r="D337" s="93"/>
      <c r="E337" s="93"/>
      <c r="F337" s="93"/>
      <c r="G337" s="93" t="s">
        <v>2</v>
      </c>
      <c r="H337" s="113">
        <f t="shared" ref="H337:H345" si="79">H336</f>
        <v>1</v>
      </c>
      <c r="I337" s="128">
        <v>2</v>
      </c>
      <c r="J337" s="131" t="s">
        <v>69</v>
      </c>
      <c r="K337" s="107" t="s">
        <v>0</v>
      </c>
      <c r="L337" s="124" t="s">
        <v>21</v>
      </c>
      <c r="M337" s="93"/>
      <c r="N337" s="104">
        <v>5</v>
      </c>
      <c r="O337" s="104"/>
      <c r="P337" s="123" t="s">
        <v>68</v>
      </c>
      <c r="Q337" s="121"/>
      <c r="R337" s="121" t="s">
        <v>40</v>
      </c>
      <c r="S337" s="105" t="s">
        <v>67</v>
      </c>
      <c r="T337" s="32" t="s">
        <v>38</v>
      </c>
      <c r="U337" s="122" t="str">
        <f t="shared" ref="U337:U345" si="80">+U336</f>
        <v>BAF130FN01</v>
      </c>
      <c r="X337" s="105" t="str">
        <f t="shared" ref="X337:X345" si="81">+X336</f>
        <v>BR4-2110-E-00054</v>
      </c>
      <c r="Y337" s="92" t="str">
        <f t="shared" ref="Y337:Y345" si="82">+Y336</f>
        <v>A</v>
      </c>
      <c r="Z337" s="92"/>
      <c r="AA337" s="9"/>
    </row>
    <row r="338" spans="1:27" x14ac:dyDescent="0.3">
      <c r="A338" s="96"/>
      <c r="B338" s="96"/>
      <c r="C338" s="93"/>
      <c r="D338" s="93"/>
      <c r="E338" s="93"/>
      <c r="F338" s="93"/>
      <c r="G338" s="93" t="s">
        <v>2</v>
      </c>
      <c r="H338" s="113">
        <f t="shared" si="79"/>
        <v>1</v>
      </c>
      <c r="I338" s="128">
        <v>3</v>
      </c>
      <c r="J338" s="131" t="s">
        <v>66</v>
      </c>
      <c r="K338" s="113"/>
      <c r="L338" s="124" t="s">
        <v>21</v>
      </c>
      <c r="M338" s="93"/>
      <c r="N338" s="93">
        <v>5</v>
      </c>
      <c r="O338" s="93"/>
      <c r="P338" s="34" t="s">
        <v>65</v>
      </c>
      <c r="Q338" s="12"/>
      <c r="R338" s="93" t="s">
        <v>64</v>
      </c>
      <c r="S338" s="93" t="s">
        <v>24</v>
      </c>
      <c r="T338" s="33" t="s">
        <v>63</v>
      </c>
      <c r="U338" s="122" t="str">
        <f t="shared" si="80"/>
        <v>BAF130FN01</v>
      </c>
      <c r="X338" s="105" t="str">
        <f t="shared" si="81"/>
        <v>BR4-2110-E-00054</v>
      </c>
      <c r="Y338" s="92" t="str">
        <f t="shared" si="82"/>
        <v>A</v>
      </c>
      <c r="Z338" s="92"/>
      <c r="AA338" s="9"/>
    </row>
    <row r="339" spans="1:27" x14ac:dyDescent="0.3">
      <c r="A339" s="96"/>
      <c r="B339" s="96"/>
      <c r="C339" s="93"/>
      <c r="D339" s="93"/>
      <c r="E339" s="93"/>
      <c r="F339" s="93"/>
      <c r="G339" s="93" t="s">
        <v>2</v>
      </c>
      <c r="H339" s="113">
        <f t="shared" si="79"/>
        <v>1</v>
      </c>
      <c r="I339" s="128">
        <v>4</v>
      </c>
      <c r="J339" s="131" t="s">
        <v>62</v>
      </c>
      <c r="K339" s="113"/>
      <c r="L339" s="124" t="s">
        <v>21</v>
      </c>
      <c r="M339" s="93"/>
      <c r="N339" s="93">
        <v>4</v>
      </c>
      <c r="O339" s="93"/>
      <c r="P339" s="130" t="s">
        <v>61</v>
      </c>
      <c r="Q339" s="124"/>
      <c r="R339" s="93" t="s">
        <v>60</v>
      </c>
      <c r="S339" s="93" t="s">
        <v>18</v>
      </c>
      <c r="T339" s="32" t="s">
        <v>59</v>
      </c>
      <c r="U339" s="122" t="str">
        <f t="shared" si="80"/>
        <v>BAF130FN01</v>
      </c>
      <c r="X339" s="105" t="str">
        <f t="shared" si="81"/>
        <v>BR4-2110-E-00054</v>
      </c>
      <c r="Y339" s="92" t="str">
        <f t="shared" si="82"/>
        <v>A</v>
      </c>
      <c r="Z339" s="92"/>
      <c r="AA339" s="9"/>
    </row>
    <row r="340" spans="1:27" x14ac:dyDescent="0.3">
      <c r="A340" s="96"/>
      <c r="B340" s="96"/>
      <c r="C340" s="93"/>
      <c r="D340" s="93"/>
      <c r="E340" s="93"/>
      <c r="F340" s="93"/>
      <c r="G340" s="93" t="s">
        <v>2</v>
      </c>
      <c r="H340" s="113">
        <f t="shared" si="79"/>
        <v>1</v>
      </c>
      <c r="I340" s="128">
        <v>5</v>
      </c>
      <c r="J340" s="131" t="s">
        <v>58</v>
      </c>
      <c r="K340" s="113"/>
      <c r="L340" s="124" t="s">
        <v>21</v>
      </c>
      <c r="M340" s="93"/>
      <c r="N340" s="93"/>
      <c r="O340" s="93"/>
      <c r="P340" s="124"/>
      <c r="Q340" s="124"/>
      <c r="R340" s="93"/>
      <c r="S340" s="32"/>
      <c r="T340" s="32"/>
      <c r="U340" s="122" t="str">
        <f t="shared" si="80"/>
        <v>BAF130FN01</v>
      </c>
      <c r="X340" s="105" t="str">
        <f t="shared" si="81"/>
        <v>BR4-2110-E-00054</v>
      </c>
      <c r="Y340" s="92" t="str">
        <f t="shared" si="82"/>
        <v>A</v>
      </c>
      <c r="Z340" s="92"/>
      <c r="AA340" s="9"/>
    </row>
    <row r="341" spans="1:27" x14ac:dyDescent="0.3">
      <c r="A341" s="96"/>
      <c r="B341" s="96"/>
      <c r="C341" s="93"/>
      <c r="D341" s="93"/>
      <c r="E341" s="93"/>
      <c r="F341" s="93"/>
      <c r="G341" s="93" t="s">
        <v>2</v>
      </c>
      <c r="H341" s="113">
        <f t="shared" si="79"/>
        <v>1</v>
      </c>
      <c r="I341" s="128">
        <v>6</v>
      </c>
      <c r="J341" s="131" t="s">
        <v>57</v>
      </c>
      <c r="K341" s="113"/>
      <c r="L341" s="124" t="s">
        <v>21</v>
      </c>
      <c r="M341" s="93"/>
      <c r="N341" s="93">
        <v>4</v>
      </c>
      <c r="O341" s="93"/>
      <c r="P341" s="130" t="s">
        <v>56</v>
      </c>
      <c r="Q341" s="124"/>
      <c r="R341" s="93" t="s">
        <v>55</v>
      </c>
      <c r="S341" s="32" t="s">
        <v>54</v>
      </c>
      <c r="T341" s="32"/>
      <c r="U341" s="122" t="str">
        <f t="shared" si="80"/>
        <v>BAF130FN01</v>
      </c>
      <c r="X341" s="105" t="str">
        <f t="shared" si="81"/>
        <v>BR4-2110-E-00054</v>
      </c>
      <c r="Y341" s="92" t="str">
        <f t="shared" si="82"/>
        <v>A</v>
      </c>
      <c r="Z341" s="92"/>
      <c r="AA341" s="9"/>
    </row>
    <row r="342" spans="1:27" x14ac:dyDescent="0.3">
      <c r="A342" s="96"/>
      <c r="B342" s="96"/>
      <c r="C342" s="93"/>
      <c r="D342" s="93"/>
      <c r="E342" s="93"/>
      <c r="F342" s="93"/>
      <c r="G342" s="93" t="s">
        <v>2</v>
      </c>
      <c r="H342" s="113">
        <f t="shared" si="79"/>
        <v>1</v>
      </c>
      <c r="I342" s="128">
        <v>1</v>
      </c>
      <c r="J342" s="131" t="s">
        <v>53</v>
      </c>
      <c r="K342" s="113"/>
      <c r="L342" s="124" t="s">
        <v>42</v>
      </c>
      <c r="M342" s="93"/>
      <c r="N342" s="93">
        <v>4</v>
      </c>
      <c r="O342" s="93"/>
      <c r="P342" s="130" t="s">
        <v>52</v>
      </c>
      <c r="Q342" s="124"/>
      <c r="R342" s="93" t="s">
        <v>51</v>
      </c>
      <c r="S342" s="93" t="s">
        <v>24</v>
      </c>
      <c r="T342" s="32" t="s">
        <v>50</v>
      </c>
      <c r="U342" s="122" t="str">
        <f t="shared" si="80"/>
        <v>BAF130FN01</v>
      </c>
      <c r="X342" s="105" t="str">
        <f t="shared" si="81"/>
        <v>BR4-2110-E-00054</v>
      </c>
      <c r="Y342" s="92" t="str">
        <f t="shared" si="82"/>
        <v>A</v>
      </c>
      <c r="Z342" s="92"/>
      <c r="AA342" s="9"/>
    </row>
    <row r="343" spans="1:27" x14ac:dyDescent="0.3">
      <c r="A343" s="96"/>
      <c r="B343" s="96"/>
      <c r="C343" s="93"/>
      <c r="D343" s="93"/>
      <c r="E343" s="93"/>
      <c r="F343" s="93"/>
      <c r="G343" s="93" t="s">
        <v>2</v>
      </c>
      <c r="H343" s="113">
        <f t="shared" si="79"/>
        <v>1</v>
      </c>
      <c r="I343" s="128">
        <v>2</v>
      </c>
      <c r="J343" s="127" t="s">
        <v>49</v>
      </c>
      <c r="K343" s="113"/>
      <c r="L343" s="124" t="s">
        <v>42</v>
      </c>
      <c r="M343" s="93"/>
      <c r="N343" s="104">
        <v>5</v>
      </c>
      <c r="O343" s="93"/>
      <c r="P343" s="123" t="s">
        <v>48</v>
      </c>
      <c r="Q343" s="121"/>
      <c r="R343" s="121" t="s">
        <v>47</v>
      </c>
      <c r="S343" s="104" t="s">
        <v>46</v>
      </c>
      <c r="T343" s="129" t="s">
        <v>45</v>
      </c>
      <c r="U343" s="122" t="str">
        <f t="shared" si="80"/>
        <v>BAF130FN01</v>
      </c>
      <c r="W343" s="96"/>
      <c r="X343" s="105" t="str">
        <f t="shared" si="81"/>
        <v>BR4-2110-E-00054</v>
      </c>
      <c r="Y343" s="92" t="str">
        <f t="shared" si="82"/>
        <v>A</v>
      </c>
      <c r="Z343" s="92"/>
      <c r="AA343" s="9"/>
    </row>
    <row r="344" spans="1:27" x14ac:dyDescent="0.3">
      <c r="A344" s="96"/>
      <c r="B344" s="96"/>
      <c r="C344" s="93"/>
      <c r="D344" s="93"/>
      <c r="E344" s="93"/>
      <c r="F344" s="93"/>
      <c r="G344" s="93" t="s">
        <v>2</v>
      </c>
      <c r="H344" s="113">
        <f t="shared" si="79"/>
        <v>1</v>
      </c>
      <c r="I344" s="128">
        <v>3</v>
      </c>
      <c r="J344" s="127" t="s">
        <v>44</v>
      </c>
      <c r="K344" s="113"/>
      <c r="L344" s="124" t="s">
        <v>42</v>
      </c>
      <c r="M344" s="93"/>
      <c r="N344" s="104">
        <v>5</v>
      </c>
      <c r="O344" s="104"/>
      <c r="U344" s="122" t="str">
        <f t="shared" si="80"/>
        <v>BAF130FN01</v>
      </c>
      <c r="W344" s="96"/>
      <c r="X344" s="105" t="str">
        <f t="shared" si="81"/>
        <v>BR4-2110-E-00054</v>
      </c>
      <c r="Y344" s="92" t="str">
        <f t="shared" si="82"/>
        <v>A</v>
      </c>
      <c r="Z344" s="92"/>
      <c r="AA344" s="9"/>
    </row>
    <row r="345" spans="1:27" ht="13.5" thickBot="1" x14ac:dyDescent="0.35">
      <c r="A345" s="96"/>
      <c r="B345" s="96"/>
      <c r="C345" s="93"/>
      <c r="D345" s="93"/>
      <c r="E345" s="93"/>
      <c r="F345" s="93"/>
      <c r="G345" s="93" t="s">
        <v>2</v>
      </c>
      <c r="H345" s="113">
        <f t="shared" si="79"/>
        <v>1</v>
      </c>
      <c r="I345" s="126">
        <v>4</v>
      </c>
      <c r="J345" s="125" t="s">
        <v>43</v>
      </c>
      <c r="K345" s="113"/>
      <c r="L345" s="124" t="s">
        <v>42</v>
      </c>
      <c r="M345" s="93"/>
      <c r="N345" s="104">
        <v>5</v>
      </c>
      <c r="O345" s="104"/>
      <c r="P345" s="123" t="s">
        <v>41</v>
      </c>
      <c r="Q345" s="121"/>
      <c r="R345" s="121" t="s">
        <v>40</v>
      </c>
      <c r="S345" s="104" t="s">
        <v>39</v>
      </c>
      <c r="T345" s="29" t="s">
        <v>38</v>
      </c>
      <c r="U345" s="122" t="str">
        <f t="shared" si="80"/>
        <v>BAF130FN01</v>
      </c>
      <c r="W345" s="96"/>
      <c r="X345" s="105" t="str">
        <f t="shared" si="81"/>
        <v>BR4-2110-E-00054</v>
      </c>
      <c r="Y345" s="92" t="str">
        <f t="shared" si="82"/>
        <v>A</v>
      </c>
      <c r="Z345" s="92"/>
      <c r="AA345" s="9"/>
    </row>
    <row r="346" spans="1:27" ht="13.5" thickBot="1" x14ac:dyDescent="0.35">
      <c r="A346" s="96"/>
      <c r="B346" s="96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113"/>
      <c r="Z346" s="92"/>
      <c r="AA346" s="9"/>
    </row>
    <row r="347" spans="1:27" x14ac:dyDescent="0.3">
      <c r="A347" s="96"/>
      <c r="B347" s="96"/>
      <c r="C347" s="93" t="s">
        <v>73</v>
      </c>
      <c r="D347" s="93"/>
      <c r="E347" s="93"/>
      <c r="F347" s="93"/>
      <c r="G347" s="93" t="s">
        <v>2</v>
      </c>
      <c r="H347" s="120">
        <v>1</v>
      </c>
      <c r="I347" s="134">
        <v>1</v>
      </c>
      <c r="J347" s="133" t="s">
        <v>74</v>
      </c>
      <c r="K347" s="113" t="s">
        <v>73</v>
      </c>
      <c r="L347" s="124" t="s">
        <v>21</v>
      </c>
      <c r="M347" s="93"/>
      <c r="N347" s="93">
        <v>4</v>
      </c>
      <c r="O347" s="93"/>
      <c r="P347" s="130" t="s">
        <v>72</v>
      </c>
      <c r="Q347" s="124"/>
      <c r="R347" s="105" t="s">
        <v>40</v>
      </c>
      <c r="S347" s="105" t="s">
        <v>24</v>
      </c>
      <c r="T347" s="32" t="s">
        <v>38</v>
      </c>
      <c r="U347" s="93" t="s">
        <v>481</v>
      </c>
      <c r="X347" s="105" t="s">
        <v>480</v>
      </c>
      <c r="Y347" s="94" t="s">
        <v>4</v>
      </c>
      <c r="Z347" s="92"/>
      <c r="AA347" s="9"/>
    </row>
    <row r="348" spans="1:27" x14ac:dyDescent="0.3">
      <c r="A348" s="96"/>
      <c r="B348" s="96"/>
      <c r="C348" s="93"/>
      <c r="D348" s="93"/>
      <c r="E348" s="93"/>
      <c r="F348" s="93"/>
      <c r="G348" s="93" t="s">
        <v>2</v>
      </c>
      <c r="H348" s="113">
        <f t="shared" ref="H348:H356" si="83">H347</f>
        <v>1</v>
      </c>
      <c r="I348" s="128">
        <v>2</v>
      </c>
      <c r="J348" s="131" t="s">
        <v>69</v>
      </c>
      <c r="K348" s="107" t="s">
        <v>0</v>
      </c>
      <c r="L348" s="124" t="s">
        <v>21</v>
      </c>
      <c r="M348" s="93"/>
      <c r="N348" s="104">
        <v>5</v>
      </c>
      <c r="O348" s="104"/>
      <c r="P348" s="123" t="s">
        <v>68</v>
      </c>
      <c r="Q348" s="121"/>
      <c r="R348" s="121" t="s">
        <v>40</v>
      </c>
      <c r="S348" s="105" t="s">
        <v>67</v>
      </c>
      <c r="T348" s="32" t="s">
        <v>38</v>
      </c>
      <c r="U348" s="122" t="str">
        <f t="shared" ref="U348:U356" si="84">+U347</f>
        <v>BAF130FN02</v>
      </c>
      <c r="X348" s="105" t="str">
        <f t="shared" ref="X348:X356" si="85">+X347</f>
        <v>BR4-2110-E-00055</v>
      </c>
      <c r="Y348" s="92" t="str">
        <f t="shared" ref="Y348:Y356" si="86">+Y347</f>
        <v>A</v>
      </c>
      <c r="Z348" s="92"/>
      <c r="AA348" s="9"/>
    </row>
    <row r="349" spans="1:27" x14ac:dyDescent="0.3">
      <c r="A349" s="96"/>
      <c r="B349" s="96"/>
      <c r="C349" s="93"/>
      <c r="D349" s="93"/>
      <c r="E349" s="93"/>
      <c r="F349" s="93"/>
      <c r="G349" s="93" t="s">
        <v>2</v>
      </c>
      <c r="H349" s="113">
        <f t="shared" si="83"/>
        <v>1</v>
      </c>
      <c r="I349" s="128">
        <v>3</v>
      </c>
      <c r="J349" s="131" t="s">
        <v>66</v>
      </c>
      <c r="K349" s="113"/>
      <c r="L349" s="124" t="s">
        <v>21</v>
      </c>
      <c r="M349" s="93"/>
      <c r="N349" s="93">
        <v>5</v>
      </c>
      <c r="O349" s="93"/>
      <c r="P349" s="34" t="s">
        <v>65</v>
      </c>
      <c r="Q349" s="12"/>
      <c r="R349" s="93" t="s">
        <v>64</v>
      </c>
      <c r="S349" s="93" t="s">
        <v>24</v>
      </c>
      <c r="T349" s="33" t="s">
        <v>63</v>
      </c>
      <c r="U349" s="122" t="str">
        <f t="shared" si="84"/>
        <v>BAF130FN02</v>
      </c>
      <c r="X349" s="105" t="str">
        <f t="shared" si="85"/>
        <v>BR4-2110-E-00055</v>
      </c>
      <c r="Y349" s="92" t="str">
        <f t="shared" si="86"/>
        <v>A</v>
      </c>
      <c r="Z349" s="92"/>
      <c r="AA349" s="9"/>
    </row>
    <row r="350" spans="1:27" x14ac:dyDescent="0.3">
      <c r="A350" s="96"/>
      <c r="B350" s="96"/>
      <c r="C350" s="93"/>
      <c r="D350" s="93"/>
      <c r="E350" s="93"/>
      <c r="F350" s="93"/>
      <c r="G350" s="93" t="s">
        <v>2</v>
      </c>
      <c r="H350" s="113">
        <f t="shared" si="83"/>
        <v>1</v>
      </c>
      <c r="I350" s="128">
        <v>4</v>
      </c>
      <c r="J350" s="131" t="s">
        <v>62</v>
      </c>
      <c r="K350" s="113"/>
      <c r="L350" s="124" t="s">
        <v>21</v>
      </c>
      <c r="M350" s="93"/>
      <c r="N350" s="93">
        <v>4</v>
      </c>
      <c r="O350" s="93"/>
      <c r="P350" s="130" t="s">
        <v>61</v>
      </c>
      <c r="Q350" s="124"/>
      <c r="R350" s="93" t="s">
        <v>60</v>
      </c>
      <c r="S350" s="93" t="s">
        <v>18</v>
      </c>
      <c r="T350" s="32" t="s">
        <v>59</v>
      </c>
      <c r="U350" s="122" t="str">
        <f t="shared" si="84"/>
        <v>BAF130FN02</v>
      </c>
      <c r="X350" s="105" t="str">
        <f t="shared" si="85"/>
        <v>BR4-2110-E-00055</v>
      </c>
      <c r="Y350" s="92" t="str">
        <f t="shared" si="86"/>
        <v>A</v>
      </c>
      <c r="Z350" s="92"/>
      <c r="AA350" s="9"/>
    </row>
    <row r="351" spans="1:27" x14ac:dyDescent="0.3">
      <c r="A351" s="96"/>
      <c r="B351" s="96"/>
      <c r="C351" s="93"/>
      <c r="D351" s="93"/>
      <c r="E351" s="93"/>
      <c r="F351" s="93"/>
      <c r="G351" s="93" t="s">
        <v>2</v>
      </c>
      <c r="H351" s="113">
        <f t="shared" si="83"/>
        <v>1</v>
      </c>
      <c r="I351" s="128">
        <v>5</v>
      </c>
      <c r="J351" s="131" t="s">
        <v>58</v>
      </c>
      <c r="K351" s="113"/>
      <c r="L351" s="124" t="s">
        <v>21</v>
      </c>
      <c r="M351" s="93"/>
      <c r="N351" s="93"/>
      <c r="O351" s="93"/>
      <c r="P351" s="124"/>
      <c r="Q351" s="124"/>
      <c r="R351" s="93"/>
      <c r="S351" s="32"/>
      <c r="T351" s="32"/>
      <c r="U351" s="122" t="str">
        <f t="shared" si="84"/>
        <v>BAF130FN02</v>
      </c>
      <c r="X351" s="105" t="str">
        <f t="shared" si="85"/>
        <v>BR4-2110-E-00055</v>
      </c>
      <c r="Y351" s="92" t="str">
        <f t="shared" si="86"/>
        <v>A</v>
      </c>
      <c r="Z351" s="92"/>
      <c r="AA351" s="9"/>
    </row>
    <row r="352" spans="1:27" x14ac:dyDescent="0.3">
      <c r="A352" s="96"/>
      <c r="B352" s="96"/>
      <c r="C352" s="93"/>
      <c r="D352" s="93"/>
      <c r="E352" s="93"/>
      <c r="F352" s="93"/>
      <c r="G352" s="93" t="s">
        <v>2</v>
      </c>
      <c r="H352" s="113">
        <f t="shared" si="83"/>
        <v>1</v>
      </c>
      <c r="I352" s="128">
        <v>6</v>
      </c>
      <c r="J352" s="131" t="s">
        <v>57</v>
      </c>
      <c r="K352" s="113"/>
      <c r="L352" s="124" t="s">
        <v>21</v>
      </c>
      <c r="M352" s="93"/>
      <c r="N352" s="93">
        <v>4</v>
      </c>
      <c r="O352" s="93"/>
      <c r="P352" s="130" t="s">
        <v>56</v>
      </c>
      <c r="Q352" s="124"/>
      <c r="R352" s="93" t="s">
        <v>55</v>
      </c>
      <c r="S352" s="32" t="s">
        <v>54</v>
      </c>
      <c r="T352" s="32"/>
      <c r="U352" s="122" t="str">
        <f t="shared" si="84"/>
        <v>BAF130FN02</v>
      </c>
      <c r="X352" s="105" t="str">
        <f t="shared" si="85"/>
        <v>BR4-2110-E-00055</v>
      </c>
      <c r="Y352" s="92" t="str">
        <f t="shared" si="86"/>
        <v>A</v>
      </c>
      <c r="Z352" s="92"/>
      <c r="AA352" s="9"/>
    </row>
    <row r="353" spans="1:27" x14ac:dyDescent="0.3">
      <c r="A353" s="96"/>
      <c r="B353" s="96"/>
      <c r="C353" s="93"/>
      <c r="D353" s="93"/>
      <c r="E353" s="93"/>
      <c r="F353" s="93"/>
      <c r="G353" s="93" t="s">
        <v>2</v>
      </c>
      <c r="H353" s="113">
        <f t="shared" si="83"/>
        <v>1</v>
      </c>
      <c r="I353" s="128">
        <v>1</v>
      </c>
      <c r="J353" s="131" t="s">
        <v>53</v>
      </c>
      <c r="K353" s="113"/>
      <c r="L353" s="124" t="s">
        <v>42</v>
      </c>
      <c r="M353" s="93"/>
      <c r="N353" s="93">
        <v>4</v>
      </c>
      <c r="O353" s="93"/>
      <c r="P353" s="130" t="s">
        <v>52</v>
      </c>
      <c r="Q353" s="124"/>
      <c r="R353" s="93" t="s">
        <v>51</v>
      </c>
      <c r="S353" s="93" t="s">
        <v>24</v>
      </c>
      <c r="T353" s="32" t="s">
        <v>50</v>
      </c>
      <c r="U353" s="122" t="str">
        <f t="shared" si="84"/>
        <v>BAF130FN02</v>
      </c>
      <c r="X353" s="105" t="str">
        <f t="shared" si="85"/>
        <v>BR4-2110-E-00055</v>
      </c>
      <c r="Y353" s="92" t="str">
        <f t="shared" si="86"/>
        <v>A</v>
      </c>
      <c r="Z353" s="92"/>
      <c r="AA353" s="9"/>
    </row>
    <row r="354" spans="1:27" x14ac:dyDescent="0.3">
      <c r="A354" s="96"/>
      <c r="B354" s="96"/>
      <c r="C354" s="93"/>
      <c r="D354" s="93"/>
      <c r="E354" s="93"/>
      <c r="F354" s="93"/>
      <c r="G354" s="93" t="s">
        <v>2</v>
      </c>
      <c r="H354" s="113">
        <f t="shared" si="83"/>
        <v>1</v>
      </c>
      <c r="I354" s="128">
        <v>2</v>
      </c>
      <c r="J354" s="127" t="s">
        <v>49</v>
      </c>
      <c r="K354" s="113"/>
      <c r="L354" s="124" t="s">
        <v>42</v>
      </c>
      <c r="M354" s="93"/>
      <c r="N354" s="104">
        <v>5</v>
      </c>
      <c r="O354" s="93"/>
      <c r="P354" s="123" t="s">
        <v>48</v>
      </c>
      <c r="Q354" s="121"/>
      <c r="R354" s="121" t="s">
        <v>47</v>
      </c>
      <c r="S354" s="104" t="s">
        <v>46</v>
      </c>
      <c r="T354" s="129" t="s">
        <v>45</v>
      </c>
      <c r="U354" s="122" t="str">
        <f t="shared" si="84"/>
        <v>BAF130FN02</v>
      </c>
      <c r="W354" s="96"/>
      <c r="X354" s="105" t="str">
        <f t="shared" si="85"/>
        <v>BR4-2110-E-00055</v>
      </c>
      <c r="Y354" s="92" t="str">
        <f t="shared" si="86"/>
        <v>A</v>
      </c>
      <c r="Z354" s="92"/>
      <c r="AA354" s="9"/>
    </row>
    <row r="355" spans="1:27" x14ac:dyDescent="0.3">
      <c r="A355" s="96"/>
      <c r="B355" s="96"/>
      <c r="C355" s="93"/>
      <c r="D355" s="93"/>
      <c r="E355" s="93"/>
      <c r="F355" s="93"/>
      <c r="G355" s="93" t="s">
        <v>2</v>
      </c>
      <c r="H355" s="113">
        <f t="shared" si="83"/>
        <v>1</v>
      </c>
      <c r="I355" s="128">
        <v>3</v>
      </c>
      <c r="J355" s="127" t="s">
        <v>44</v>
      </c>
      <c r="K355" s="113"/>
      <c r="L355" s="124" t="s">
        <v>42</v>
      </c>
      <c r="M355" s="93"/>
      <c r="N355" s="104">
        <v>5</v>
      </c>
      <c r="O355" s="104"/>
      <c r="U355" s="122" t="str">
        <f t="shared" si="84"/>
        <v>BAF130FN02</v>
      </c>
      <c r="W355" s="96"/>
      <c r="X355" s="105" t="str">
        <f t="shared" si="85"/>
        <v>BR4-2110-E-00055</v>
      </c>
      <c r="Y355" s="92" t="str">
        <f t="shared" si="86"/>
        <v>A</v>
      </c>
      <c r="Z355" s="92"/>
      <c r="AA355" s="9"/>
    </row>
    <row r="356" spans="1:27" ht="13.5" thickBot="1" x14ac:dyDescent="0.35">
      <c r="A356" s="96"/>
      <c r="B356" s="96"/>
      <c r="C356" s="93"/>
      <c r="D356" s="93"/>
      <c r="E356" s="93"/>
      <c r="F356" s="93"/>
      <c r="G356" s="93" t="s">
        <v>2</v>
      </c>
      <c r="H356" s="113">
        <f t="shared" si="83"/>
        <v>1</v>
      </c>
      <c r="I356" s="126">
        <v>4</v>
      </c>
      <c r="J356" s="125" t="s">
        <v>43</v>
      </c>
      <c r="K356" s="113"/>
      <c r="L356" s="124" t="s">
        <v>42</v>
      </c>
      <c r="M356" s="93"/>
      <c r="N356" s="104">
        <v>5</v>
      </c>
      <c r="O356" s="104"/>
      <c r="P356" s="123" t="s">
        <v>41</v>
      </c>
      <c r="Q356" s="121"/>
      <c r="R356" s="121" t="s">
        <v>40</v>
      </c>
      <c r="S356" s="104" t="s">
        <v>39</v>
      </c>
      <c r="T356" s="29" t="s">
        <v>38</v>
      </c>
      <c r="U356" s="122" t="str">
        <f t="shared" si="84"/>
        <v>BAF130FN02</v>
      </c>
      <c r="W356" s="96"/>
      <c r="X356" s="105" t="str">
        <f t="shared" si="85"/>
        <v>BR4-2110-E-00055</v>
      </c>
      <c r="Y356" s="92" t="str">
        <f t="shared" si="86"/>
        <v>A</v>
      </c>
      <c r="Z356" s="92"/>
      <c r="AA356" s="9"/>
    </row>
    <row r="357" spans="1:27" ht="13.5" thickBot="1" x14ac:dyDescent="0.35">
      <c r="A357" s="96"/>
      <c r="B357" s="96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113"/>
      <c r="Z357" s="92"/>
      <c r="AA357" s="9"/>
    </row>
    <row r="358" spans="1:27" x14ac:dyDescent="0.3">
      <c r="A358" s="96"/>
      <c r="B358" s="96"/>
      <c r="C358" s="93" t="s">
        <v>73</v>
      </c>
      <c r="D358" s="93"/>
      <c r="E358" s="93"/>
      <c r="F358" s="93"/>
      <c r="G358" s="93" t="s">
        <v>2</v>
      </c>
      <c r="H358" s="120">
        <v>1</v>
      </c>
      <c r="I358" s="134">
        <v>1</v>
      </c>
      <c r="J358" s="133" t="s">
        <v>74</v>
      </c>
      <c r="K358" s="113" t="s">
        <v>73</v>
      </c>
      <c r="L358" s="124" t="s">
        <v>21</v>
      </c>
      <c r="M358" s="93"/>
      <c r="N358" s="93">
        <v>4</v>
      </c>
      <c r="O358" s="93"/>
      <c r="P358" s="130" t="s">
        <v>72</v>
      </c>
      <c r="Q358" s="124"/>
      <c r="R358" s="105" t="s">
        <v>40</v>
      </c>
      <c r="S358" s="105" t="s">
        <v>24</v>
      </c>
      <c r="T358" s="32" t="s">
        <v>38</v>
      </c>
      <c r="U358" s="93" t="s">
        <v>479</v>
      </c>
      <c r="X358" s="105" t="s">
        <v>478</v>
      </c>
      <c r="Y358" s="94" t="s">
        <v>4</v>
      </c>
      <c r="Z358" s="92"/>
      <c r="AA358" s="9"/>
    </row>
    <row r="359" spans="1:27" x14ac:dyDescent="0.3">
      <c r="A359" s="96"/>
      <c r="B359" s="96"/>
      <c r="C359" s="93"/>
      <c r="D359" s="93"/>
      <c r="E359" s="93"/>
      <c r="F359" s="93"/>
      <c r="G359" s="93" t="s">
        <v>2</v>
      </c>
      <c r="H359" s="113">
        <f t="shared" ref="H359:H367" si="87">H358</f>
        <v>1</v>
      </c>
      <c r="I359" s="128">
        <v>2</v>
      </c>
      <c r="J359" s="131" t="s">
        <v>69</v>
      </c>
      <c r="K359" s="107" t="s">
        <v>0</v>
      </c>
      <c r="L359" s="124" t="s">
        <v>21</v>
      </c>
      <c r="M359" s="93"/>
      <c r="N359" s="104">
        <v>5</v>
      </c>
      <c r="O359" s="104"/>
      <c r="P359" s="123" t="s">
        <v>68</v>
      </c>
      <c r="Q359" s="121"/>
      <c r="R359" s="121" t="s">
        <v>40</v>
      </c>
      <c r="S359" s="105" t="s">
        <v>67</v>
      </c>
      <c r="T359" s="32" t="s">
        <v>38</v>
      </c>
      <c r="U359" s="122" t="str">
        <f t="shared" ref="U359:U367" si="88">+U358</f>
        <v>BAF130FN03</v>
      </c>
      <c r="X359" s="105" t="str">
        <f t="shared" ref="X359:X367" si="89">+X358</f>
        <v>BR4-2110-E-00062</v>
      </c>
      <c r="Y359" s="92" t="str">
        <f t="shared" ref="Y359:Y367" si="90">+Y358</f>
        <v>A</v>
      </c>
      <c r="Z359" s="92"/>
      <c r="AA359" s="9"/>
    </row>
    <row r="360" spans="1:27" x14ac:dyDescent="0.3">
      <c r="A360" s="96"/>
      <c r="B360" s="96"/>
      <c r="C360" s="93"/>
      <c r="D360" s="93"/>
      <c r="E360" s="93"/>
      <c r="F360" s="93"/>
      <c r="G360" s="93" t="s">
        <v>2</v>
      </c>
      <c r="H360" s="113">
        <f t="shared" si="87"/>
        <v>1</v>
      </c>
      <c r="I360" s="128">
        <v>3</v>
      </c>
      <c r="J360" s="131" t="s">
        <v>66</v>
      </c>
      <c r="K360" s="113"/>
      <c r="L360" s="124" t="s">
        <v>21</v>
      </c>
      <c r="M360" s="93"/>
      <c r="N360" s="93">
        <v>5</v>
      </c>
      <c r="O360" s="93"/>
      <c r="P360" s="34" t="s">
        <v>65</v>
      </c>
      <c r="Q360" s="12"/>
      <c r="R360" s="93" t="s">
        <v>64</v>
      </c>
      <c r="S360" s="93" t="s">
        <v>24</v>
      </c>
      <c r="T360" s="33" t="s">
        <v>63</v>
      </c>
      <c r="U360" s="122" t="str">
        <f t="shared" si="88"/>
        <v>BAF130FN03</v>
      </c>
      <c r="X360" s="105" t="str">
        <f t="shared" si="89"/>
        <v>BR4-2110-E-00062</v>
      </c>
      <c r="Y360" s="92" t="str">
        <f t="shared" si="90"/>
        <v>A</v>
      </c>
      <c r="Z360" s="92"/>
      <c r="AA360" s="9"/>
    </row>
    <row r="361" spans="1:27" x14ac:dyDescent="0.3">
      <c r="A361" s="96"/>
      <c r="B361" s="96"/>
      <c r="C361" s="93"/>
      <c r="D361" s="93"/>
      <c r="E361" s="93"/>
      <c r="F361" s="93"/>
      <c r="G361" s="93" t="s">
        <v>2</v>
      </c>
      <c r="H361" s="113">
        <f t="shared" si="87"/>
        <v>1</v>
      </c>
      <c r="I361" s="128">
        <v>4</v>
      </c>
      <c r="J361" s="131" t="s">
        <v>62</v>
      </c>
      <c r="K361" s="113"/>
      <c r="L361" s="124" t="s">
        <v>21</v>
      </c>
      <c r="M361" s="93"/>
      <c r="N361" s="93">
        <v>4</v>
      </c>
      <c r="O361" s="93"/>
      <c r="P361" s="130" t="s">
        <v>61</v>
      </c>
      <c r="Q361" s="124"/>
      <c r="R361" s="93" t="s">
        <v>60</v>
      </c>
      <c r="S361" s="93" t="s">
        <v>18</v>
      </c>
      <c r="T361" s="32" t="s">
        <v>59</v>
      </c>
      <c r="U361" s="122" t="str">
        <f t="shared" si="88"/>
        <v>BAF130FN03</v>
      </c>
      <c r="X361" s="105" t="str">
        <f t="shared" si="89"/>
        <v>BR4-2110-E-00062</v>
      </c>
      <c r="Y361" s="92" t="str">
        <f t="shared" si="90"/>
        <v>A</v>
      </c>
      <c r="Z361" s="92"/>
      <c r="AA361" s="9"/>
    </row>
    <row r="362" spans="1:27" x14ac:dyDescent="0.3">
      <c r="A362" s="96"/>
      <c r="B362" s="96"/>
      <c r="C362" s="93"/>
      <c r="D362" s="93"/>
      <c r="E362" s="93"/>
      <c r="F362" s="93"/>
      <c r="G362" s="93" t="s">
        <v>2</v>
      </c>
      <c r="H362" s="113">
        <f t="shared" si="87"/>
        <v>1</v>
      </c>
      <c r="I362" s="128">
        <v>5</v>
      </c>
      <c r="J362" s="131" t="s">
        <v>58</v>
      </c>
      <c r="K362" s="113"/>
      <c r="L362" s="124" t="s">
        <v>21</v>
      </c>
      <c r="M362" s="93"/>
      <c r="N362" s="93"/>
      <c r="O362" s="93"/>
      <c r="P362" s="124"/>
      <c r="Q362" s="124"/>
      <c r="R362" s="93"/>
      <c r="S362" s="32"/>
      <c r="T362" s="32"/>
      <c r="U362" s="122" t="str">
        <f t="shared" si="88"/>
        <v>BAF130FN03</v>
      </c>
      <c r="X362" s="105" t="str">
        <f t="shared" si="89"/>
        <v>BR4-2110-E-00062</v>
      </c>
      <c r="Y362" s="92" t="str">
        <f t="shared" si="90"/>
        <v>A</v>
      </c>
      <c r="Z362" s="92"/>
      <c r="AA362" s="9"/>
    </row>
    <row r="363" spans="1:27" x14ac:dyDescent="0.3">
      <c r="A363" s="96"/>
      <c r="B363" s="96"/>
      <c r="C363" s="93"/>
      <c r="D363" s="93"/>
      <c r="E363" s="93"/>
      <c r="F363" s="93"/>
      <c r="G363" s="93" t="s">
        <v>2</v>
      </c>
      <c r="H363" s="113">
        <f t="shared" si="87"/>
        <v>1</v>
      </c>
      <c r="I363" s="128">
        <v>6</v>
      </c>
      <c r="J363" s="131" t="s">
        <v>57</v>
      </c>
      <c r="K363" s="113"/>
      <c r="L363" s="124" t="s">
        <v>21</v>
      </c>
      <c r="M363" s="93"/>
      <c r="N363" s="93">
        <v>4</v>
      </c>
      <c r="O363" s="93"/>
      <c r="P363" s="130" t="s">
        <v>56</v>
      </c>
      <c r="Q363" s="124"/>
      <c r="R363" s="93" t="s">
        <v>55</v>
      </c>
      <c r="S363" s="32" t="s">
        <v>54</v>
      </c>
      <c r="T363" s="32"/>
      <c r="U363" s="122" t="str">
        <f t="shared" si="88"/>
        <v>BAF130FN03</v>
      </c>
      <c r="X363" s="105" t="str">
        <f t="shared" si="89"/>
        <v>BR4-2110-E-00062</v>
      </c>
      <c r="Y363" s="92" t="str">
        <f t="shared" si="90"/>
        <v>A</v>
      </c>
      <c r="Z363" s="92"/>
      <c r="AA363" s="9"/>
    </row>
    <row r="364" spans="1:27" x14ac:dyDescent="0.3">
      <c r="A364" s="96"/>
      <c r="B364" s="96"/>
      <c r="C364" s="93"/>
      <c r="D364" s="93"/>
      <c r="E364" s="93"/>
      <c r="F364" s="93"/>
      <c r="G364" s="93" t="s">
        <v>2</v>
      </c>
      <c r="H364" s="113">
        <f t="shared" si="87"/>
        <v>1</v>
      </c>
      <c r="I364" s="128">
        <v>1</v>
      </c>
      <c r="J364" s="131" t="s">
        <v>53</v>
      </c>
      <c r="K364" s="113"/>
      <c r="L364" s="124" t="s">
        <v>42</v>
      </c>
      <c r="M364" s="93"/>
      <c r="N364" s="93">
        <v>4</v>
      </c>
      <c r="O364" s="93"/>
      <c r="P364" s="130" t="s">
        <v>52</v>
      </c>
      <c r="Q364" s="124"/>
      <c r="R364" s="93" t="s">
        <v>51</v>
      </c>
      <c r="S364" s="93" t="s">
        <v>24</v>
      </c>
      <c r="T364" s="32" t="s">
        <v>50</v>
      </c>
      <c r="U364" s="122" t="str">
        <f t="shared" si="88"/>
        <v>BAF130FN03</v>
      </c>
      <c r="X364" s="105" t="str">
        <f t="shared" si="89"/>
        <v>BR4-2110-E-00062</v>
      </c>
      <c r="Y364" s="92" t="str">
        <f t="shared" si="90"/>
        <v>A</v>
      </c>
      <c r="Z364" s="92"/>
      <c r="AA364" s="9"/>
    </row>
    <row r="365" spans="1:27" x14ac:dyDescent="0.3">
      <c r="A365" s="96"/>
      <c r="B365" s="96"/>
      <c r="C365" s="93"/>
      <c r="D365" s="93"/>
      <c r="E365" s="93"/>
      <c r="F365" s="93"/>
      <c r="G365" s="93" t="s">
        <v>2</v>
      </c>
      <c r="H365" s="113">
        <f t="shared" si="87"/>
        <v>1</v>
      </c>
      <c r="I365" s="128">
        <v>2</v>
      </c>
      <c r="J365" s="127" t="s">
        <v>49</v>
      </c>
      <c r="K365" s="113"/>
      <c r="L365" s="124" t="s">
        <v>42</v>
      </c>
      <c r="M365" s="93"/>
      <c r="N365" s="104">
        <v>5</v>
      </c>
      <c r="O365" s="93"/>
      <c r="P365" s="123" t="s">
        <v>48</v>
      </c>
      <c r="Q365" s="121"/>
      <c r="R365" s="121" t="s">
        <v>47</v>
      </c>
      <c r="S365" s="104" t="s">
        <v>46</v>
      </c>
      <c r="T365" s="129" t="s">
        <v>45</v>
      </c>
      <c r="U365" s="122" t="str">
        <f t="shared" si="88"/>
        <v>BAF130FN03</v>
      </c>
      <c r="W365" s="96"/>
      <c r="X365" s="105" t="str">
        <f t="shared" si="89"/>
        <v>BR4-2110-E-00062</v>
      </c>
      <c r="Y365" s="92" t="str">
        <f t="shared" si="90"/>
        <v>A</v>
      </c>
      <c r="Z365" s="92"/>
      <c r="AA365" s="9"/>
    </row>
    <row r="366" spans="1:27" x14ac:dyDescent="0.3">
      <c r="A366" s="96"/>
      <c r="B366" s="96"/>
      <c r="C366" s="93"/>
      <c r="D366" s="93"/>
      <c r="E366" s="93"/>
      <c r="F366" s="93"/>
      <c r="G366" s="93" t="s">
        <v>2</v>
      </c>
      <c r="H366" s="113">
        <f t="shared" si="87"/>
        <v>1</v>
      </c>
      <c r="I366" s="128">
        <v>3</v>
      </c>
      <c r="J366" s="127" t="s">
        <v>44</v>
      </c>
      <c r="K366" s="113"/>
      <c r="L366" s="124" t="s">
        <v>42</v>
      </c>
      <c r="M366" s="93"/>
      <c r="N366" s="104">
        <v>5</v>
      </c>
      <c r="O366" s="104"/>
      <c r="U366" s="122" t="str">
        <f t="shared" si="88"/>
        <v>BAF130FN03</v>
      </c>
      <c r="W366" s="96"/>
      <c r="X366" s="105" t="str">
        <f t="shared" si="89"/>
        <v>BR4-2110-E-00062</v>
      </c>
      <c r="Y366" s="92" t="str">
        <f t="shared" si="90"/>
        <v>A</v>
      </c>
      <c r="Z366" s="92"/>
      <c r="AA366" s="9"/>
    </row>
    <row r="367" spans="1:27" ht="13.5" thickBot="1" x14ac:dyDescent="0.35">
      <c r="A367" s="96"/>
      <c r="B367" s="96"/>
      <c r="C367" s="93"/>
      <c r="D367" s="93"/>
      <c r="E367" s="93"/>
      <c r="F367" s="93"/>
      <c r="G367" s="93" t="s">
        <v>2</v>
      </c>
      <c r="H367" s="113">
        <f t="shared" si="87"/>
        <v>1</v>
      </c>
      <c r="I367" s="126">
        <v>4</v>
      </c>
      <c r="J367" s="125" t="s">
        <v>43</v>
      </c>
      <c r="K367" s="113"/>
      <c r="L367" s="124" t="s">
        <v>42</v>
      </c>
      <c r="M367" s="93"/>
      <c r="N367" s="104">
        <v>5</v>
      </c>
      <c r="O367" s="104"/>
      <c r="P367" s="123" t="s">
        <v>41</v>
      </c>
      <c r="Q367" s="121"/>
      <c r="R367" s="121" t="s">
        <v>40</v>
      </c>
      <c r="S367" s="104" t="s">
        <v>39</v>
      </c>
      <c r="T367" s="29" t="s">
        <v>38</v>
      </c>
      <c r="U367" s="122" t="str">
        <f t="shared" si="88"/>
        <v>BAF130FN03</v>
      </c>
      <c r="W367" s="96"/>
      <c r="X367" s="105" t="str">
        <f t="shared" si="89"/>
        <v>BR4-2110-E-00062</v>
      </c>
      <c r="Y367" s="92" t="str">
        <f t="shared" si="90"/>
        <v>A</v>
      </c>
      <c r="Z367" s="92"/>
      <c r="AA367" s="9"/>
    </row>
    <row r="368" spans="1:27" ht="13.5" thickBot="1" x14ac:dyDescent="0.35">
      <c r="A368" s="96"/>
      <c r="B368" s="96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113"/>
      <c r="Z368" s="92"/>
      <c r="AA368" s="9"/>
    </row>
    <row r="369" spans="1:27" x14ac:dyDescent="0.3">
      <c r="A369" s="96"/>
      <c r="B369" s="96"/>
      <c r="C369" s="93" t="s">
        <v>73</v>
      </c>
      <c r="D369" s="93"/>
      <c r="E369" s="93"/>
      <c r="F369" s="93"/>
      <c r="G369" s="93" t="s">
        <v>2</v>
      </c>
      <c r="H369" s="120">
        <v>1</v>
      </c>
      <c r="I369" s="134">
        <v>1</v>
      </c>
      <c r="J369" s="133" t="s">
        <v>74</v>
      </c>
      <c r="K369" s="113" t="s">
        <v>73</v>
      </c>
      <c r="L369" s="124" t="s">
        <v>21</v>
      </c>
      <c r="M369" s="93"/>
      <c r="N369" s="93">
        <v>4</v>
      </c>
      <c r="O369" s="93"/>
      <c r="P369" s="130" t="s">
        <v>72</v>
      </c>
      <c r="Q369" s="124"/>
      <c r="R369" s="105" t="s">
        <v>40</v>
      </c>
      <c r="S369" s="105" t="s">
        <v>24</v>
      </c>
      <c r="T369" s="32" t="s">
        <v>38</v>
      </c>
      <c r="U369" s="137" t="s">
        <v>477</v>
      </c>
      <c r="X369" s="105" t="s">
        <v>476</v>
      </c>
      <c r="Y369" s="94" t="s">
        <v>4</v>
      </c>
      <c r="Z369" s="92"/>
      <c r="AA369" s="9"/>
    </row>
    <row r="370" spans="1:27" x14ac:dyDescent="0.3">
      <c r="A370" s="96"/>
      <c r="B370" s="96"/>
      <c r="C370" s="93"/>
      <c r="D370" s="93"/>
      <c r="E370" s="93"/>
      <c r="F370" s="93"/>
      <c r="G370" s="93" t="s">
        <v>2</v>
      </c>
      <c r="H370" s="113">
        <f t="shared" ref="H370:H378" si="91">H369</f>
        <v>1</v>
      </c>
      <c r="I370" s="128">
        <v>2</v>
      </c>
      <c r="J370" s="131" t="s">
        <v>69</v>
      </c>
      <c r="K370" s="107" t="s">
        <v>0</v>
      </c>
      <c r="L370" s="124" t="s">
        <v>21</v>
      </c>
      <c r="M370" s="93"/>
      <c r="N370" s="104">
        <v>5</v>
      </c>
      <c r="O370" s="104"/>
      <c r="P370" s="123" t="s">
        <v>68</v>
      </c>
      <c r="Q370" s="121"/>
      <c r="R370" s="121" t="s">
        <v>40</v>
      </c>
      <c r="S370" s="105" t="s">
        <v>67</v>
      </c>
      <c r="T370" s="32" t="s">
        <v>38</v>
      </c>
      <c r="U370" s="122" t="str">
        <f t="shared" ref="U370:U378" si="92">+U369</f>
        <v>BAF130PP05</v>
      </c>
      <c r="X370" s="105" t="str">
        <f t="shared" ref="X370:X378" si="93">+X369</f>
        <v>BR4-2110-E-00056</v>
      </c>
      <c r="Y370" s="92" t="str">
        <f t="shared" ref="Y370:Y378" si="94">+Y369</f>
        <v>A</v>
      </c>
      <c r="Z370" s="92"/>
      <c r="AA370" s="9"/>
    </row>
    <row r="371" spans="1:27" x14ac:dyDescent="0.3">
      <c r="A371" s="96"/>
      <c r="B371" s="96"/>
      <c r="C371" s="93"/>
      <c r="D371" s="93"/>
      <c r="E371" s="93"/>
      <c r="F371" s="93"/>
      <c r="G371" s="93" t="s">
        <v>2</v>
      </c>
      <c r="H371" s="113">
        <f t="shared" si="91"/>
        <v>1</v>
      </c>
      <c r="I371" s="128">
        <v>3</v>
      </c>
      <c r="J371" s="131" t="s">
        <v>66</v>
      </c>
      <c r="K371" s="113"/>
      <c r="L371" s="124" t="s">
        <v>21</v>
      </c>
      <c r="M371" s="93"/>
      <c r="N371" s="93">
        <v>5</v>
      </c>
      <c r="O371" s="93"/>
      <c r="P371" s="34" t="s">
        <v>65</v>
      </c>
      <c r="Q371" s="12"/>
      <c r="R371" s="93" t="s">
        <v>64</v>
      </c>
      <c r="S371" s="93" t="s">
        <v>24</v>
      </c>
      <c r="T371" s="33" t="s">
        <v>63</v>
      </c>
      <c r="U371" s="122" t="str">
        <f t="shared" si="92"/>
        <v>BAF130PP05</v>
      </c>
      <c r="X371" s="105" t="str">
        <f t="shared" si="93"/>
        <v>BR4-2110-E-00056</v>
      </c>
      <c r="Y371" s="92" t="str">
        <f t="shared" si="94"/>
        <v>A</v>
      </c>
      <c r="Z371" s="92"/>
      <c r="AA371" s="9"/>
    </row>
    <row r="372" spans="1:27" x14ac:dyDescent="0.3">
      <c r="A372" s="96"/>
      <c r="B372" s="96"/>
      <c r="C372" s="93"/>
      <c r="D372" s="93"/>
      <c r="E372" s="93"/>
      <c r="F372" s="93"/>
      <c r="G372" s="93" t="s">
        <v>2</v>
      </c>
      <c r="H372" s="113">
        <f t="shared" si="91"/>
        <v>1</v>
      </c>
      <c r="I372" s="128">
        <v>4</v>
      </c>
      <c r="J372" s="131" t="s">
        <v>62</v>
      </c>
      <c r="K372" s="113"/>
      <c r="L372" s="124" t="s">
        <v>21</v>
      </c>
      <c r="M372" s="93"/>
      <c r="N372" s="93">
        <v>4</v>
      </c>
      <c r="O372" s="93"/>
      <c r="P372" s="130" t="s">
        <v>61</v>
      </c>
      <c r="Q372" s="124"/>
      <c r="R372" s="93" t="s">
        <v>60</v>
      </c>
      <c r="S372" s="93" t="s">
        <v>18</v>
      </c>
      <c r="T372" s="32" t="s">
        <v>59</v>
      </c>
      <c r="U372" s="122" t="str">
        <f t="shared" si="92"/>
        <v>BAF130PP05</v>
      </c>
      <c r="X372" s="105" t="str">
        <f t="shared" si="93"/>
        <v>BR4-2110-E-00056</v>
      </c>
      <c r="Y372" s="92" t="str">
        <f t="shared" si="94"/>
        <v>A</v>
      </c>
      <c r="Z372" s="92"/>
      <c r="AA372" s="9"/>
    </row>
    <row r="373" spans="1:27" x14ac:dyDescent="0.3">
      <c r="A373" s="96"/>
      <c r="B373" s="96"/>
      <c r="C373" s="93"/>
      <c r="D373" s="93"/>
      <c r="E373" s="93"/>
      <c r="F373" s="93"/>
      <c r="G373" s="93" t="s">
        <v>2</v>
      </c>
      <c r="H373" s="113">
        <f t="shared" si="91"/>
        <v>1</v>
      </c>
      <c r="I373" s="128">
        <v>5</v>
      </c>
      <c r="J373" s="131" t="s">
        <v>58</v>
      </c>
      <c r="K373" s="113"/>
      <c r="L373" s="124" t="s">
        <v>21</v>
      </c>
      <c r="M373" s="93"/>
      <c r="N373" s="93"/>
      <c r="O373" s="93"/>
      <c r="P373" s="124"/>
      <c r="Q373" s="124"/>
      <c r="R373" s="93"/>
      <c r="S373" s="32"/>
      <c r="T373" s="32"/>
      <c r="U373" s="122" t="str">
        <f t="shared" si="92"/>
        <v>BAF130PP05</v>
      </c>
      <c r="X373" s="105" t="str">
        <f t="shared" si="93"/>
        <v>BR4-2110-E-00056</v>
      </c>
      <c r="Y373" s="92" t="str">
        <f t="shared" si="94"/>
        <v>A</v>
      </c>
      <c r="Z373" s="92"/>
      <c r="AA373" s="9"/>
    </row>
    <row r="374" spans="1:27" x14ac:dyDescent="0.3">
      <c r="A374" s="96"/>
      <c r="B374" s="96"/>
      <c r="C374" s="93"/>
      <c r="D374" s="93"/>
      <c r="E374" s="93"/>
      <c r="F374" s="93"/>
      <c r="G374" s="93" t="s">
        <v>2</v>
      </c>
      <c r="H374" s="113">
        <f t="shared" si="91"/>
        <v>1</v>
      </c>
      <c r="I374" s="128">
        <v>6</v>
      </c>
      <c r="J374" s="131" t="s">
        <v>57</v>
      </c>
      <c r="K374" s="113"/>
      <c r="L374" s="124" t="s">
        <v>21</v>
      </c>
      <c r="M374" s="93"/>
      <c r="N374" s="93">
        <v>4</v>
      </c>
      <c r="O374" s="93"/>
      <c r="P374" s="130" t="s">
        <v>56</v>
      </c>
      <c r="Q374" s="124"/>
      <c r="R374" s="93" t="s">
        <v>55</v>
      </c>
      <c r="S374" s="32" t="s">
        <v>54</v>
      </c>
      <c r="T374" s="32"/>
      <c r="U374" s="122" t="str">
        <f t="shared" si="92"/>
        <v>BAF130PP05</v>
      </c>
      <c r="X374" s="105" t="str">
        <f t="shared" si="93"/>
        <v>BR4-2110-E-00056</v>
      </c>
      <c r="Y374" s="92" t="str">
        <f t="shared" si="94"/>
        <v>A</v>
      </c>
      <c r="Z374" s="92"/>
      <c r="AA374" s="9"/>
    </row>
    <row r="375" spans="1:27" x14ac:dyDescent="0.3">
      <c r="A375" s="96"/>
      <c r="B375" s="96"/>
      <c r="C375" s="93"/>
      <c r="D375" s="93"/>
      <c r="E375" s="93"/>
      <c r="F375" s="93"/>
      <c r="G375" s="93" t="s">
        <v>2</v>
      </c>
      <c r="H375" s="113">
        <f t="shared" si="91"/>
        <v>1</v>
      </c>
      <c r="I375" s="128">
        <v>1</v>
      </c>
      <c r="J375" s="131" t="s">
        <v>53</v>
      </c>
      <c r="K375" s="113"/>
      <c r="L375" s="124" t="s">
        <v>42</v>
      </c>
      <c r="M375" s="93"/>
      <c r="N375" s="93">
        <v>4</v>
      </c>
      <c r="O375" s="93"/>
      <c r="P375" s="130" t="s">
        <v>52</v>
      </c>
      <c r="Q375" s="124"/>
      <c r="R375" s="93" t="s">
        <v>51</v>
      </c>
      <c r="S375" s="93" t="s">
        <v>24</v>
      </c>
      <c r="T375" s="32" t="s">
        <v>50</v>
      </c>
      <c r="U375" s="122" t="str">
        <f t="shared" si="92"/>
        <v>BAF130PP05</v>
      </c>
      <c r="X375" s="105" t="str">
        <f t="shared" si="93"/>
        <v>BR4-2110-E-00056</v>
      </c>
      <c r="Y375" s="92" t="str">
        <f t="shared" si="94"/>
        <v>A</v>
      </c>
      <c r="Z375" s="92"/>
      <c r="AA375" s="9"/>
    </row>
    <row r="376" spans="1:27" x14ac:dyDescent="0.3">
      <c r="A376" s="96"/>
      <c r="B376" s="96"/>
      <c r="C376" s="93"/>
      <c r="D376" s="93"/>
      <c r="E376" s="93"/>
      <c r="F376" s="93"/>
      <c r="G376" s="93" t="s">
        <v>2</v>
      </c>
      <c r="H376" s="113">
        <f t="shared" si="91"/>
        <v>1</v>
      </c>
      <c r="I376" s="128">
        <v>2</v>
      </c>
      <c r="J376" s="127" t="s">
        <v>49</v>
      </c>
      <c r="K376" s="113"/>
      <c r="L376" s="124" t="s">
        <v>42</v>
      </c>
      <c r="M376" s="93"/>
      <c r="N376" s="104">
        <v>5</v>
      </c>
      <c r="O376" s="93"/>
      <c r="P376" s="123" t="s">
        <v>48</v>
      </c>
      <c r="Q376" s="121"/>
      <c r="R376" s="121" t="s">
        <v>47</v>
      </c>
      <c r="S376" s="104" t="s">
        <v>46</v>
      </c>
      <c r="T376" s="129" t="s">
        <v>45</v>
      </c>
      <c r="U376" s="122" t="str">
        <f t="shared" si="92"/>
        <v>BAF130PP05</v>
      </c>
      <c r="W376" s="96"/>
      <c r="X376" s="105" t="str">
        <f t="shared" si="93"/>
        <v>BR4-2110-E-00056</v>
      </c>
      <c r="Y376" s="92" t="str">
        <f t="shared" si="94"/>
        <v>A</v>
      </c>
      <c r="Z376" s="92"/>
      <c r="AA376" s="9"/>
    </row>
    <row r="377" spans="1:27" x14ac:dyDescent="0.3">
      <c r="A377" s="96"/>
      <c r="B377" s="96"/>
      <c r="C377" s="93"/>
      <c r="D377" s="93"/>
      <c r="E377" s="93"/>
      <c r="F377" s="93"/>
      <c r="G377" s="93" t="s">
        <v>2</v>
      </c>
      <c r="H377" s="113">
        <f t="shared" si="91"/>
        <v>1</v>
      </c>
      <c r="I377" s="128">
        <v>3</v>
      </c>
      <c r="J377" s="127" t="s">
        <v>44</v>
      </c>
      <c r="K377" s="113"/>
      <c r="L377" s="124" t="s">
        <v>42</v>
      </c>
      <c r="M377" s="93"/>
      <c r="N377" s="104">
        <v>5</v>
      </c>
      <c r="O377" s="104"/>
      <c r="U377" s="122" t="str">
        <f t="shared" si="92"/>
        <v>BAF130PP05</v>
      </c>
      <c r="W377" s="96"/>
      <c r="X377" s="105" t="str">
        <f t="shared" si="93"/>
        <v>BR4-2110-E-00056</v>
      </c>
      <c r="Y377" s="92" t="str">
        <f t="shared" si="94"/>
        <v>A</v>
      </c>
      <c r="Z377" s="92"/>
      <c r="AA377" s="9"/>
    </row>
    <row r="378" spans="1:27" ht="13.5" thickBot="1" x14ac:dyDescent="0.35">
      <c r="A378" s="96"/>
      <c r="B378" s="96"/>
      <c r="C378" s="93"/>
      <c r="D378" s="93"/>
      <c r="E378" s="93"/>
      <c r="F378" s="93"/>
      <c r="G378" s="93" t="s">
        <v>2</v>
      </c>
      <c r="H378" s="113">
        <f t="shared" si="91"/>
        <v>1</v>
      </c>
      <c r="I378" s="126">
        <v>4</v>
      </c>
      <c r="J378" s="125" t="s">
        <v>43</v>
      </c>
      <c r="K378" s="113"/>
      <c r="L378" s="124" t="s">
        <v>42</v>
      </c>
      <c r="M378" s="93"/>
      <c r="N378" s="104">
        <v>5</v>
      </c>
      <c r="O378" s="104"/>
      <c r="P378" s="123" t="s">
        <v>41</v>
      </c>
      <c r="Q378" s="121"/>
      <c r="R378" s="121" t="s">
        <v>40</v>
      </c>
      <c r="S378" s="104" t="s">
        <v>39</v>
      </c>
      <c r="T378" s="29" t="s">
        <v>38</v>
      </c>
      <c r="U378" s="122" t="str">
        <f t="shared" si="92"/>
        <v>BAF130PP05</v>
      </c>
      <c r="W378" s="96"/>
      <c r="X378" s="105" t="str">
        <f t="shared" si="93"/>
        <v>BR4-2110-E-00056</v>
      </c>
      <c r="Y378" s="92" t="str">
        <f t="shared" si="94"/>
        <v>A</v>
      </c>
      <c r="Z378" s="92"/>
      <c r="AA378" s="9"/>
    </row>
    <row r="379" spans="1:27" ht="13.5" thickBot="1" x14ac:dyDescent="0.35">
      <c r="A379" s="96"/>
      <c r="B379" s="96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113"/>
      <c r="Z379" s="92"/>
      <c r="AA379" s="9"/>
    </row>
    <row r="380" spans="1:27" x14ac:dyDescent="0.3">
      <c r="A380" s="96"/>
      <c r="B380" s="96"/>
      <c r="C380" s="93" t="s">
        <v>73</v>
      </c>
      <c r="D380" s="93"/>
      <c r="E380" s="93"/>
      <c r="F380" s="93"/>
      <c r="G380" s="93" t="s">
        <v>2</v>
      </c>
      <c r="H380" s="120">
        <v>1</v>
      </c>
      <c r="I380" s="134">
        <v>1</v>
      </c>
      <c r="J380" s="133" t="s">
        <v>74</v>
      </c>
      <c r="K380" s="113" t="s">
        <v>73</v>
      </c>
      <c r="L380" s="124" t="s">
        <v>21</v>
      </c>
      <c r="M380" s="93"/>
      <c r="N380" s="93">
        <v>4</v>
      </c>
      <c r="O380" s="93"/>
      <c r="P380" s="130" t="s">
        <v>72</v>
      </c>
      <c r="Q380" s="124"/>
      <c r="R380" s="105" t="s">
        <v>40</v>
      </c>
      <c r="S380" s="105" t="s">
        <v>24</v>
      </c>
      <c r="T380" s="32" t="s">
        <v>38</v>
      </c>
      <c r="U380" s="137" t="s">
        <v>474</v>
      </c>
      <c r="X380" s="105" t="s">
        <v>475</v>
      </c>
      <c r="Y380" s="94" t="s">
        <v>4</v>
      </c>
      <c r="Z380" s="92"/>
      <c r="AA380" s="9"/>
    </row>
    <row r="381" spans="1:27" x14ac:dyDescent="0.3">
      <c r="A381" s="96"/>
      <c r="B381" s="96"/>
      <c r="C381" s="93"/>
      <c r="D381" s="93"/>
      <c r="E381" s="93"/>
      <c r="F381" s="93"/>
      <c r="G381" s="93" t="s">
        <v>2</v>
      </c>
      <c r="H381" s="113">
        <f t="shared" ref="H381:H393" si="95">H380</f>
        <v>1</v>
      </c>
      <c r="I381" s="128">
        <v>2</v>
      </c>
      <c r="J381" s="131" t="s">
        <v>69</v>
      </c>
      <c r="K381" s="107" t="s">
        <v>0</v>
      </c>
      <c r="L381" s="124" t="s">
        <v>21</v>
      </c>
      <c r="M381" s="93"/>
      <c r="N381" s="93">
        <v>5</v>
      </c>
      <c r="O381" s="93"/>
      <c r="P381" s="123" t="s">
        <v>68</v>
      </c>
      <c r="Q381" s="121"/>
      <c r="R381" s="121" t="s">
        <v>40</v>
      </c>
      <c r="S381" s="121" t="s">
        <v>67</v>
      </c>
      <c r="T381" s="29" t="s">
        <v>38</v>
      </c>
      <c r="U381" s="137" t="s">
        <v>474</v>
      </c>
      <c r="X381" s="105" t="s">
        <v>475</v>
      </c>
      <c r="Y381" s="94" t="s">
        <v>4</v>
      </c>
      <c r="Z381" s="92"/>
      <c r="AA381" s="9"/>
    </row>
    <row r="382" spans="1:27" x14ac:dyDescent="0.3">
      <c r="A382" s="96"/>
      <c r="B382" s="96"/>
      <c r="C382" s="93"/>
      <c r="D382" s="93"/>
      <c r="E382" s="93"/>
      <c r="F382" s="93"/>
      <c r="G382" s="93" t="s">
        <v>2</v>
      </c>
      <c r="H382" s="113">
        <f t="shared" si="95"/>
        <v>1</v>
      </c>
      <c r="I382" s="128">
        <v>3</v>
      </c>
      <c r="J382" s="131" t="s">
        <v>66</v>
      </c>
      <c r="K382" s="113"/>
      <c r="L382" s="124" t="s">
        <v>21</v>
      </c>
      <c r="M382" s="93"/>
      <c r="N382" s="93">
        <v>4</v>
      </c>
      <c r="O382" s="93"/>
      <c r="P382" s="34" t="s">
        <v>65</v>
      </c>
      <c r="Q382" s="12"/>
      <c r="R382" s="93" t="s">
        <v>64</v>
      </c>
      <c r="S382" s="93" t="s">
        <v>24</v>
      </c>
      <c r="T382" s="33" t="s">
        <v>63</v>
      </c>
      <c r="U382" s="137" t="s">
        <v>474</v>
      </c>
      <c r="X382" s="105" t="s">
        <v>475</v>
      </c>
      <c r="Y382" s="94" t="s">
        <v>4</v>
      </c>
      <c r="Z382" s="92"/>
      <c r="AA382" s="9"/>
    </row>
    <row r="383" spans="1:27" x14ac:dyDescent="0.3">
      <c r="A383" s="96"/>
      <c r="B383" s="96"/>
      <c r="C383" s="93"/>
      <c r="D383" s="93"/>
      <c r="E383" s="93"/>
      <c r="F383" s="93"/>
      <c r="G383" s="93" t="s">
        <v>2</v>
      </c>
      <c r="H383" s="113">
        <f t="shared" si="95"/>
        <v>1</v>
      </c>
      <c r="I383" s="128">
        <v>4</v>
      </c>
      <c r="J383" s="131" t="s">
        <v>62</v>
      </c>
      <c r="K383" s="113"/>
      <c r="L383" s="124" t="s">
        <v>21</v>
      </c>
      <c r="M383" s="93"/>
      <c r="N383" s="93">
        <v>4</v>
      </c>
      <c r="O383" s="93"/>
      <c r="P383" s="130" t="s">
        <v>61</v>
      </c>
      <c r="Q383" s="124"/>
      <c r="R383" s="93" t="s">
        <v>60</v>
      </c>
      <c r="S383" s="93" t="s">
        <v>18</v>
      </c>
      <c r="T383" s="32" t="s">
        <v>59</v>
      </c>
      <c r="U383" s="137" t="s">
        <v>474</v>
      </c>
      <c r="X383" s="105" t="s">
        <v>475</v>
      </c>
      <c r="Y383" s="94" t="s">
        <v>4</v>
      </c>
      <c r="Z383" s="92"/>
      <c r="AA383" s="9"/>
    </row>
    <row r="384" spans="1:27" x14ac:dyDescent="0.3">
      <c r="A384" s="96"/>
      <c r="B384" s="96"/>
      <c r="C384" s="93"/>
      <c r="D384" s="93"/>
      <c r="E384" s="93"/>
      <c r="F384" s="93"/>
      <c r="G384" s="93" t="s">
        <v>2</v>
      </c>
      <c r="H384" s="113">
        <f t="shared" si="95"/>
        <v>1</v>
      </c>
      <c r="I384" s="128">
        <v>5</v>
      </c>
      <c r="J384" s="131" t="s">
        <v>58</v>
      </c>
      <c r="K384" s="113"/>
      <c r="L384" s="124" t="s">
        <v>21</v>
      </c>
      <c r="M384" s="93"/>
      <c r="N384" s="93">
        <v>5</v>
      </c>
      <c r="O384" s="93"/>
      <c r="P384" s="121"/>
      <c r="Q384" s="121"/>
      <c r="R384" s="121"/>
      <c r="S384" s="121"/>
      <c r="T384" s="29"/>
      <c r="U384" s="137" t="s">
        <v>474</v>
      </c>
      <c r="X384" s="92"/>
      <c r="Y384" s="94"/>
      <c r="Z384" s="92"/>
      <c r="AA384" s="9"/>
    </row>
    <row r="385" spans="1:27" x14ac:dyDescent="0.3">
      <c r="A385" s="96"/>
      <c r="B385" s="96"/>
      <c r="C385" s="93"/>
      <c r="D385" s="93"/>
      <c r="E385" s="93"/>
      <c r="F385" s="93"/>
      <c r="G385" s="93" t="s">
        <v>2</v>
      </c>
      <c r="H385" s="113">
        <f t="shared" si="95"/>
        <v>1</v>
      </c>
      <c r="I385" s="128">
        <v>6</v>
      </c>
      <c r="J385" s="131" t="s">
        <v>57</v>
      </c>
      <c r="K385" s="113"/>
      <c r="L385" s="124" t="s">
        <v>21</v>
      </c>
      <c r="M385" s="93"/>
      <c r="N385" s="93">
        <v>4</v>
      </c>
      <c r="O385" s="93"/>
      <c r="P385" s="130" t="s">
        <v>56</v>
      </c>
      <c r="Q385" s="124"/>
      <c r="R385" s="93" t="s">
        <v>55</v>
      </c>
      <c r="S385" s="32" t="s">
        <v>54</v>
      </c>
      <c r="T385" s="32"/>
      <c r="U385" s="137" t="s">
        <v>474</v>
      </c>
      <c r="X385" s="105" t="s">
        <v>475</v>
      </c>
      <c r="Y385" s="94" t="s">
        <v>4</v>
      </c>
      <c r="Z385" s="92"/>
      <c r="AA385" s="9"/>
    </row>
    <row r="386" spans="1:27" x14ac:dyDescent="0.3">
      <c r="A386" s="96"/>
      <c r="B386" s="96"/>
      <c r="C386" s="93"/>
      <c r="D386" s="93"/>
      <c r="E386" s="93"/>
      <c r="F386" s="93"/>
      <c r="G386" s="93" t="s">
        <v>2</v>
      </c>
      <c r="H386" s="113">
        <f t="shared" si="95"/>
        <v>1</v>
      </c>
      <c r="I386" s="128">
        <v>1</v>
      </c>
      <c r="J386" s="131" t="s">
        <v>53</v>
      </c>
      <c r="K386" s="113"/>
      <c r="L386" s="124" t="s">
        <v>42</v>
      </c>
      <c r="M386" s="93"/>
      <c r="N386" s="93">
        <v>4</v>
      </c>
      <c r="O386" s="93"/>
      <c r="P386" s="130" t="s">
        <v>52</v>
      </c>
      <c r="Q386" s="124"/>
      <c r="R386" s="93" t="s">
        <v>51</v>
      </c>
      <c r="S386" s="93" t="s">
        <v>24</v>
      </c>
      <c r="T386" s="32" t="s">
        <v>50</v>
      </c>
      <c r="U386" s="137" t="s">
        <v>474</v>
      </c>
      <c r="X386" s="105" t="s">
        <v>475</v>
      </c>
      <c r="Y386" s="94" t="s">
        <v>4</v>
      </c>
      <c r="Z386" s="92"/>
      <c r="AA386" s="9"/>
    </row>
    <row r="387" spans="1:27" x14ac:dyDescent="0.3">
      <c r="A387" s="96"/>
      <c r="B387" s="96"/>
      <c r="C387" s="93"/>
      <c r="D387" s="93"/>
      <c r="E387" s="93"/>
      <c r="F387" s="93"/>
      <c r="G387" s="93" t="s">
        <v>2</v>
      </c>
      <c r="H387" s="113">
        <f t="shared" si="95"/>
        <v>1</v>
      </c>
      <c r="I387" s="128">
        <v>2</v>
      </c>
      <c r="J387" s="127" t="s">
        <v>49</v>
      </c>
      <c r="K387" s="113"/>
      <c r="L387" s="124" t="s">
        <v>42</v>
      </c>
      <c r="M387" s="93"/>
      <c r="N387" s="104">
        <v>5</v>
      </c>
      <c r="O387" s="93"/>
      <c r="P387" s="123" t="s">
        <v>48</v>
      </c>
      <c r="Q387" s="121"/>
      <c r="R387" s="121" t="s">
        <v>47</v>
      </c>
      <c r="S387" s="104" t="s">
        <v>46</v>
      </c>
      <c r="T387" s="129" t="s">
        <v>45</v>
      </c>
      <c r="U387" s="137" t="s">
        <v>474</v>
      </c>
      <c r="W387" s="96"/>
      <c r="X387" s="92"/>
      <c r="Y387" s="94"/>
      <c r="Z387" s="92"/>
      <c r="AA387" s="9"/>
    </row>
    <row r="388" spans="1:27" x14ac:dyDescent="0.3">
      <c r="A388" s="96"/>
      <c r="B388" s="96"/>
      <c r="C388" s="93"/>
      <c r="D388" s="93"/>
      <c r="E388" s="93"/>
      <c r="F388" s="93"/>
      <c r="G388" s="93" t="s">
        <v>2</v>
      </c>
      <c r="H388" s="113">
        <f t="shared" si="95"/>
        <v>1</v>
      </c>
      <c r="I388" s="128">
        <v>3</v>
      </c>
      <c r="J388" s="127" t="s">
        <v>44</v>
      </c>
      <c r="K388" s="113"/>
      <c r="L388" s="124" t="s">
        <v>42</v>
      </c>
      <c r="M388" s="93"/>
      <c r="N388" s="104">
        <v>5</v>
      </c>
      <c r="O388" s="93"/>
      <c r="P388" s="93"/>
      <c r="Q388" s="93"/>
      <c r="R388" s="105"/>
      <c r="T388" s="102"/>
      <c r="U388" s="137" t="s">
        <v>474</v>
      </c>
      <c r="W388" s="96"/>
      <c r="X388" s="92"/>
      <c r="Y388" s="94"/>
      <c r="Z388" s="92"/>
      <c r="AA388" s="9"/>
    </row>
    <row r="389" spans="1:27" ht="13.5" thickBot="1" x14ac:dyDescent="0.35">
      <c r="A389" s="96"/>
      <c r="B389" s="96"/>
      <c r="C389" s="93"/>
      <c r="D389" s="93"/>
      <c r="E389" s="93"/>
      <c r="F389" s="93"/>
      <c r="G389" s="93" t="s">
        <v>2</v>
      </c>
      <c r="H389" s="113">
        <f t="shared" si="95"/>
        <v>1</v>
      </c>
      <c r="I389" s="126">
        <v>4</v>
      </c>
      <c r="J389" s="125" t="s">
        <v>43</v>
      </c>
      <c r="K389" s="113"/>
      <c r="L389" s="124" t="s">
        <v>42</v>
      </c>
      <c r="M389" s="93"/>
      <c r="N389" s="104">
        <v>5</v>
      </c>
      <c r="O389" s="93"/>
      <c r="P389" s="123" t="s">
        <v>41</v>
      </c>
      <c r="Q389" s="121"/>
      <c r="R389" s="121" t="s">
        <v>40</v>
      </c>
      <c r="S389" s="104" t="s">
        <v>39</v>
      </c>
      <c r="T389" s="29" t="s">
        <v>38</v>
      </c>
      <c r="U389" s="137" t="s">
        <v>474</v>
      </c>
      <c r="W389" s="96"/>
      <c r="X389" s="92"/>
      <c r="Y389" s="94"/>
      <c r="Z389" s="92"/>
      <c r="AA389" s="9"/>
    </row>
    <row r="390" spans="1:27" x14ac:dyDescent="0.3">
      <c r="A390" s="96"/>
      <c r="B390" s="96"/>
      <c r="C390" s="93"/>
      <c r="D390" s="93"/>
      <c r="E390" s="93"/>
      <c r="F390" s="93"/>
      <c r="G390" s="93" t="s">
        <v>2</v>
      </c>
      <c r="H390" s="113">
        <f t="shared" si="95"/>
        <v>1</v>
      </c>
      <c r="I390" s="134">
        <v>7</v>
      </c>
      <c r="J390" s="133" t="s">
        <v>80</v>
      </c>
      <c r="K390" s="113"/>
      <c r="L390" s="124" t="s">
        <v>21</v>
      </c>
      <c r="M390" s="93"/>
      <c r="N390" s="104">
        <v>5</v>
      </c>
      <c r="O390" s="93"/>
      <c r="P390" s="93"/>
      <c r="Q390" s="93"/>
      <c r="R390" s="93"/>
      <c r="S390" s="93"/>
      <c r="T390" s="93"/>
      <c r="U390" s="137" t="s">
        <v>474</v>
      </c>
      <c r="W390" s="96"/>
      <c r="X390" s="92"/>
      <c r="Y390" s="94"/>
      <c r="Z390" s="92"/>
      <c r="AA390" s="9"/>
    </row>
    <row r="391" spans="1:27" x14ac:dyDescent="0.3">
      <c r="A391" s="96"/>
      <c r="B391" s="96"/>
      <c r="C391" s="93"/>
      <c r="D391" s="93"/>
      <c r="E391" s="93"/>
      <c r="F391" s="93"/>
      <c r="G391" s="93" t="s">
        <v>2</v>
      </c>
      <c r="H391" s="113">
        <f t="shared" si="95"/>
        <v>1</v>
      </c>
      <c r="I391" s="128">
        <v>8</v>
      </c>
      <c r="J391" s="131" t="s">
        <v>77</v>
      </c>
      <c r="K391" s="113"/>
      <c r="L391" s="124" t="s">
        <v>21</v>
      </c>
      <c r="M391" s="93"/>
      <c r="N391" s="104">
        <v>5</v>
      </c>
      <c r="O391" s="93"/>
      <c r="P391" s="123" t="s">
        <v>470</v>
      </c>
      <c r="Q391" s="105"/>
      <c r="R391" s="121" t="s">
        <v>469</v>
      </c>
      <c r="S391" s="104" t="s">
        <v>18</v>
      </c>
      <c r="T391" s="29" t="s">
        <v>468</v>
      </c>
      <c r="U391" s="137" t="s">
        <v>474</v>
      </c>
      <c r="W391" s="96"/>
      <c r="X391" s="92"/>
      <c r="Y391" s="94"/>
      <c r="Z391" s="92"/>
      <c r="AA391" s="9"/>
    </row>
    <row r="392" spans="1:27" x14ac:dyDescent="0.3">
      <c r="A392" s="96"/>
      <c r="B392" s="96"/>
      <c r="C392" s="93"/>
      <c r="D392" s="93"/>
      <c r="E392" s="93"/>
      <c r="F392" s="93"/>
      <c r="G392" s="93" t="s">
        <v>2</v>
      </c>
      <c r="H392" s="113">
        <f t="shared" si="95"/>
        <v>1</v>
      </c>
      <c r="I392" s="128">
        <v>9</v>
      </c>
      <c r="J392" s="131" t="s">
        <v>76</v>
      </c>
      <c r="K392" s="113"/>
      <c r="L392" s="124" t="s">
        <v>21</v>
      </c>
      <c r="M392" s="93"/>
      <c r="N392" s="104">
        <v>5</v>
      </c>
      <c r="O392" s="92"/>
      <c r="U392" s="137" t="s">
        <v>474</v>
      </c>
      <c r="W392" s="96"/>
      <c r="X392" s="92"/>
      <c r="Y392" s="94"/>
      <c r="Z392" s="92"/>
      <c r="AA392" s="9"/>
    </row>
    <row r="393" spans="1:27" ht="13.5" thickBot="1" x14ac:dyDescent="0.35">
      <c r="A393" s="96"/>
      <c r="B393" s="96"/>
      <c r="C393" s="93"/>
      <c r="D393" s="93"/>
      <c r="E393" s="93"/>
      <c r="F393" s="93"/>
      <c r="G393" s="93" t="s">
        <v>2</v>
      </c>
      <c r="H393" s="113">
        <f t="shared" si="95"/>
        <v>1</v>
      </c>
      <c r="I393" s="126">
        <v>10</v>
      </c>
      <c r="J393" s="135" t="s">
        <v>75</v>
      </c>
      <c r="K393" s="113"/>
      <c r="L393" s="124" t="s">
        <v>21</v>
      </c>
      <c r="M393" s="93"/>
      <c r="N393" s="104">
        <v>5</v>
      </c>
      <c r="O393" s="93"/>
      <c r="P393" s="93"/>
      <c r="Q393" s="93"/>
      <c r="R393" s="93"/>
      <c r="S393" s="93"/>
      <c r="T393" s="93"/>
      <c r="U393" s="137" t="s">
        <v>474</v>
      </c>
      <c r="W393" s="96"/>
      <c r="X393" s="92"/>
      <c r="Y393" s="94"/>
      <c r="Z393" s="92"/>
      <c r="AA393" s="9"/>
    </row>
    <row r="394" spans="1:27" ht="13.5" thickBot="1" x14ac:dyDescent="0.35">
      <c r="A394" s="96"/>
      <c r="B394" s="96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113"/>
      <c r="Z394" s="92"/>
      <c r="AA394" s="9"/>
    </row>
    <row r="395" spans="1:27" x14ac:dyDescent="0.3">
      <c r="A395" s="96"/>
      <c r="B395" s="96"/>
      <c r="C395" s="93" t="s">
        <v>73</v>
      </c>
      <c r="D395" s="93"/>
      <c r="E395" s="93"/>
      <c r="F395" s="93"/>
      <c r="G395" s="93" t="s">
        <v>2</v>
      </c>
      <c r="H395" s="120">
        <v>1</v>
      </c>
      <c r="I395" s="134">
        <v>1</v>
      </c>
      <c r="J395" s="133" t="s">
        <v>74</v>
      </c>
      <c r="K395" s="113" t="s">
        <v>73</v>
      </c>
      <c r="L395" s="124" t="s">
        <v>21</v>
      </c>
      <c r="M395" s="93"/>
      <c r="N395" s="93">
        <v>4</v>
      </c>
      <c r="O395" s="93"/>
      <c r="P395" s="130" t="s">
        <v>72</v>
      </c>
      <c r="Q395" s="124"/>
      <c r="R395" s="105" t="s">
        <v>40</v>
      </c>
      <c r="S395" s="105" t="s">
        <v>24</v>
      </c>
      <c r="T395" s="32" t="s">
        <v>38</v>
      </c>
      <c r="U395" s="137" t="s">
        <v>473</v>
      </c>
      <c r="X395" s="105" t="s">
        <v>472</v>
      </c>
      <c r="Y395" s="94" t="s">
        <v>4</v>
      </c>
      <c r="Z395" s="92"/>
      <c r="AA395" s="9"/>
    </row>
    <row r="396" spans="1:27" x14ac:dyDescent="0.3">
      <c r="A396" s="96"/>
      <c r="B396" s="96"/>
      <c r="C396" s="93"/>
      <c r="D396" s="93"/>
      <c r="E396" s="93"/>
      <c r="F396" s="93"/>
      <c r="G396" s="93" t="s">
        <v>2</v>
      </c>
      <c r="H396" s="113">
        <f t="shared" ref="H396:H404" si="96">H395</f>
        <v>1</v>
      </c>
      <c r="I396" s="128">
        <v>2</v>
      </c>
      <c r="J396" s="131" t="s">
        <v>69</v>
      </c>
      <c r="K396" s="107" t="s">
        <v>0</v>
      </c>
      <c r="L396" s="124" t="s">
        <v>21</v>
      </c>
      <c r="M396" s="93"/>
      <c r="N396" s="104">
        <v>5</v>
      </c>
      <c r="O396" s="104"/>
      <c r="P396" s="123" t="s">
        <v>68</v>
      </c>
      <c r="Q396" s="121"/>
      <c r="R396" s="121" t="s">
        <v>40</v>
      </c>
      <c r="S396" s="105" t="s">
        <v>67</v>
      </c>
      <c r="T396" s="32" t="s">
        <v>38</v>
      </c>
      <c r="U396" s="122" t="str">
        <f t="shared" ref="U396:U404" si="97">+U395</f>
        <v>BDU130RV01</v>
      </c>
      <c r="X396" s="105" t="str">
        <f t="shared" ref="X396:X404" si="98">+X395</f>
        <v>BR4-2110-E-00059</v>
      </c>
      <c r="Y396" s="92" t="str">
        <f t="shared" ref="Y396:Y404" si="99">+Y395</f>
        <v>A</v>
      </c>
      <c r="Z396" s="92"/>
      <c r="AA396" s="9"/>
    </row>
    <row r="397" spans="1:27" x14ac:dyDescent="0.3">
      <c r="A397" s="96"/>
      <c r="B397" s="96"/>
      <c r="C397" s="93"/>
      <c r="D397" s="93"/>
      <c r="E397" s="93"/>
      <c r="F397" s="93"/>
      <c r="G397" s="93" t="s">
        <v>2</v>
      </c>
      <c r="H397" s="113">
        <f t="shared" si="96"/>
        <v>1</v>
      </c>
      <c r="I397" s="128">
        <v>3</v>
      </c>
      <c r="J397" s="131" t="s">
        <v>66</v>
      </c>
      <c r="K397" s="113"/>
      <c r="L397" s="124" t="s">
        <v>21</v>
      </c>
      <c r="M397" s="93"/>
      <c r="N397" s="93">
        <v>5</v>
      </c>
      <c r="O397" s="93"/>
      <c r="P397" s="34" t="s">
        <v>65</v>
      </c>
      <c r="Q397" s="12"/>
      <c r="R397" s="93" t="s">
        <v>64</v>
      </c>
      <c r="S397" s="93" t="s">
        <v>24</v>
      </c>
      <c r="T397" s="33" t="s">
        <v>63</v>
      </c>
      <c r="U397" s="122" t="str">
        <f t="shared" si="97"/>
        <v>BDU130RV01</v>
      </c>
      <c r="X397" s="105" t="str">
        <f t="shared" si="98"/>
        <v>BR4-2110-E-00059</v>
      </c>
      <c r="Y397" s="92" t="str">
        <f t="shared" si="99"/>
        <v>A</v>
      </c>
      <c r="Z397" s="92"/>
      <c r="AA397" s="9"/>
    </row>
    <row r="398" spans="1:27" x14ac:dyDescent="0.3">
      <c r="A398" s="96"/>
      <c r="B398" s="96"/>
      <c r="C398" s="93"/>
      <c r="D398" s="93"/>
      <c r="E398" s="93"/>
      <c r="F398" s="93"/>
      <c r="G398" s="93" t="s">
        <v>2</v>
      </c>
      <c r="H398" s="113">
        <f t="shared" si="96"/>
        <v>1</v>
      </c>
      <c r="I398" s="128">
        <v>4</v>
      </c>
      <c r="J398" s="131" t="s">
        <v>62</v>
      </c>
      <c r="K398" s="113"/>
      <c r="L398" s="124" t="s">
        <v>21</v>
      </c>
      <c r="M398" s="93"/>
      <c r="N398" s="93">
        <v>4</v>
      </c>
      <c r="O398" s="93"/>
      <c r="P398" s="130" t="s">
        <v>61</v>
      </c>
      <c r="Q398" s="124"/>
      <c r="R398" s="93" t="s">
        <v>60</v>
      </c>
      <c r="S398" s="93" t="s">
        <v>18</v>
      </c>
      <c r="T398" s="32" t="s">
        <v>59</v>
      </c>
      <c r="U398" s="122" t="str">
        <f t="shared" si="97"/>
        <v>BDU130RV01</v>
      </c>
      <c r="X398" s="105" t="str">
        <f t="shared" si="98"/>
        <v>BR4-2110-E-00059</v>
      </c>
      <c r="Y398" s="92" t="str">
        <f t="shared" si="99"/>
        <v>A</v>
      </c>
      <c r="Z398" s="92"/>
      <c r="AA398" s="9"/>
    </row>
    <row r="399" spans="1:27" x14ac:dyDescent="0.3">
      <c r="A399" s="96"/>
      <c r="B399" s="96"/>
      <c r="C399" s="93"/>
      <c r="D399" s="93"/>
      <c r="E399" s="93"/>
      <c r="F399" s="93"/>
      <c r="G399" s="93" t="s">
        <v>2</v>
      </c>
      <c r="H399" s="113">
        <f t="shared" si="96"/>
        <v>1</v>
      </c>
      <c r="I399" s="128">
        <v>5</v>
      </c>
      <c r="J399" s="131" t="s">
        <v>58</v>
      </c>
      <c r="K399" s="113"/>
      <c r="L399" s="124" t="s">
        <v>21</v>
      </c>
      <c r="M399" s="93"/>
      <c r="N399" s="93"/>
      <c r="O399" s="93"/>
      <c r="P399" s="124"/>
      <c r="Q399" s="124"/>
      <c r="R399" s="93"/>
      <c r="S399" s="32"/>
      <c r="T399" s="32"/>
      <c r="U399" s="122" t="str">
        <f t="shared" si="97"/>
        <v>BDU130RV01</v>
      </c>
      <c r="X399" s="105" t="str">
        <f t="shared" si="98"/>
        <v>BR4-2110-E-00059</v>
      </c>
      <c r="Y399" s="92" t="str">
        <f t="shared" si="99"/>
        <v>A</v>
      </c>
      <c r="Z399" s="92"/>
      <c r="AA399" s="9"/>
    </row>
    <row r="400" spans="1:27" x14ac:dyDescent="0.3">
      <c r="A400" s="96"/>
      <c r="B400" s="96"/>
      <c r="C400" s="93"/>
      <c r="D400" s="93"/>
      <c r="E400" s="93"/>
      <c r="F400" s="93"/>
      <c r="G400" s="93" t="s">
        <v>2</v>
      </c>
      <c r="H400" s="113">
        <f t="shared" si="96"/>
        <v>1</v>
      </c>
      <c r="I400" s="128">
        <v>6</v>
      </c>
      <c r="J400" s="131" t="s">
        <v>57</v>
      </c>
      <c r="K400" s="113"/>
      <c r="L400" s="124" t="s">
        <v>21</v>
      </c>
      <c r="M400" s="93"/>
      <c r="N400" s="93">
        <v>4</v>
      </c>
      <c r="O400" s="93"/>
      <c r="P400" s="130" t="s">
        <v>56</v>
      </c>
      <c r="Q400" s="124"/>
      <c r="R400" s="93" t="s">
        <v>55</v>
      </c>
      <c r="S400" s="32" t="s">
        <v>54</v>
      </c>
      <c r="T400" s="32"/>
      <c r="U400" s="122" t="str">
        <f t="shared" si="97"/>
        <v>BDU130RV01</v>
      </c>
      <c r="X400" s="105" t="str">
        <f t="shared" si="98"/>
        <v>BR4-2110-E-00059</v>
      </c>
      <c r="Y400" s="92" t="str">
        <f t="shared" si="99"/>
        <v>A</v>
      </c>
      <c r="Z400" s="92"/>
      <c r="AA400" s="9"/>
    </row>
    <row r="401" spans="1:27" x14ac:dyDescent="0.3">
      <c r="A401" s="96"/>
      <c r="B401" s="96"/>
      <c r="C401" s="93"/>
      <c r="D401" s="93"/>
      <c r="E401" s="93"/>
      <c r="F401" s="93"/>
      <c r="G401" s="93" t="s">
        <v>2</v>
      </c>
      <c r="H401" s="113">
        <f t="shared" si="96"/>
        <v>1</v>
      </c>
      <c r="I401" s="128">
        <v>1</v>
      </c>
      <c r="J401" s="131" t="s">
        <v>53</v>
      </c>
      <c r="K401" s="113"/>
      <c r="L401" s="124" t="s">
        <v>42</v>
      </c>
      <c r="M401" s="93"/>
      <c r="N401" s="93">
        <v>4</v>
      </c>
      <c r="O401" s="93"/>
      <c r="P401" s="130" t="s">
        <v>52</v>
      </c>
      <c r="Q401" s="124"/>
      <c r="R401" s="93" t="s">
        <v>51</v>
      </c>
      <c r="S401" s="93" t="s">
        <v>24</v>
      </c>
      <c r="T401" s="32" t="s">
        <v>50</v>
      </c>
      <c r="U401" s="122" t="str">
        <f t="shared" si="97"/>
        <v>BDU130RV01</v>
      </c>
      <c r="X401" s="105" t="str">
        <f t="shared" si="98"/>
        <v>BR4-2110-E-00059</v>
      </c>
      <c r="Y401" s="92" t="str">
        <f t="shared" si="99"/>
        <v>A</v>
      </c>
      <c r="Z401" s="92"/>
      <c r="AA401" s="9"/>
    </row>
    <row r="402" spans="1:27" x14ac:dyDescent="0.3">
      <c r="A402" s="96"/>
      <c r="B402" s="96"/>
      <c r="C402" s="93"/>
      <c r="D402" s="93"/>
      <c r="E402" s="93"/>
      <c r="F402" s="93"/>
      <c r="G402" s="93" t="s">
        <v>2</v>
      </c>
      <c r="H402" s="113">
        <f t="shared" si="96"/>
        <v>1</v>
      </c>
      <c r="I402" s="128">
        <v>2</v>
      </c>
      <c r="J402" s="127" t="s">
        <v>49</v>
      </c>
      <c r="K402" s="113"/>
      <c r="L402" s="124" t="s">
        <v>42</v>
      </c>
      <c r="M402" s="93"/>
      <c r="N402" s="104">
        <v>5</v>
      </c>
      <c r="O402" s="93"/>
      <c r="P402" s="123" t="s">
        <v>48</v>
      </c>
      <c r="Q402" s="121"/>
      <c r="R402" s="121" t="s">
        <v>47</v>
      </c>
      <c r="S402" s="104" t="s">
        <v>46</v>
      </c>
      <c r="T402" s="129" t="s">
        <v>45</v>
      </c>
      <c r="U402" s="122" t="str">
        <f t="shared" si="97"/>
        <v>BDU130RV01</v>
      </c>
      <c r="W402" s="96"/>
      <c r="X402" s="105" t="str">
        <f t="shared" si="98"/>
        <v>BR4-2110-E-00059</v>
      </c>
      <c r="Y402" s="92" t="str">
        <f t="shared" si="99"/>
        <v>A</v>
      </c>
      <c r="Z402" s="92"/>
      <c r="AA402" s="9"/>
    </row>
    <row r="403" spans="1:27" x14ac:dyDescent="0.3">
      <c r="A403" s="96"/>
      <c r="B403" s="96"/>
      <c r="C403" s="93"/>
      <c r="D403" s="93"/>
      <c r="E403" s="93"/>
      <c r="F403" s="93"/>
      <c r="G403" s="93" t="s">
        <v>2</v>
      </c>
      <c r="H403" s="113">
        <f t="shared" si="96"/>
        <v>1</v>
      </c>
      <c r="I403" s="128">
        <v>3</v>
      </c>
      <c r="J403" s="127" t="s">
        <v>44</v>
      </c>
      <c r="K403" s="113"/>
      <c r="L403" s="124" t="s">
        <v>42</v>
      </c>
      <c r="M403" s="93"/>
      <c r="N403" s="104">
        <v>5</v>
      </c>
      <c r="O403" s="104"/>
      <c r="U403" s="122" t="str">
        <f t="shared" si="97"/>
        <v>BDU130RV01</v>
      </c>
      <c r="W403" s="96"/>
      <c r="X403" s="105" t="str">
        <f t="shared" si="98"/>
        <v>BR4-2110-E-00059</v>
      </c>
      <c r="Y403" s="92" t="str">
        <f t="shared" si="99"/>
        <v>A</v>
      </c>
      <c r="Z403" s="92"/>
      <c r="AA403" s="9"/>
    </row>
    <row r="404" spans="1:27" ht="13.5" thickBot="1" x14ac:dyDescent="0.35">
      <c r="A404" s="96"/>
      <c r="B404" s="96"/>
      <c r="C404" s="93"/>
      <c r="D404" s="93"/>
      <c r="E404" s="93"/>
      <c r="F404" s="93"/>
      <c r="G404" s="93" t="s">
        <v>2</v>
      </c>
      <c r="H404" s="113">
        <f t="shared" si="96"/>
        <v>1</v>
      </c>
      <c r="I404" s="126">
        <v>4</v>
      </c>
      <c r="J404" s="125" t="s">
        <v>43</v>
      </c>
      <c r="K404" s="113"/>
      <c r="L404" s="124" t="s">
        <v>42</v>
      </c>
      <c r="M404" s="93"/>
      <c r="N404" s="104">
        <v>5</v>
      </c>
      <c r="O404" s="104"/>
      <c r="P404" s="123" t="s">
        <v>41</v>
      </c>
      <c r="Q404" s="121"/>
      <c r="R404" s="121" t="s">
        <v>40</v>
      </c>
      <c r="S404" s="104" t="s">
        <v>39</v>
      </c>
      <c r="T404" s="29" t="s">
        <v>38</v>
      </c>
      <c r="U404" s="122" t="str">
        <f t="shared" si="97"/>
        <v>BDU130RV01</v>
      </c>
      <c r="W404" s="96"/>
      <c r="X404" s="105" t="str">
        <f t="shared" si="98"/>
        <v>BR4-2110-E-00059</v>
      </c>
      <c r="Y404" s="92" t="str">
        <f t="shared" si="99"/>
        <v>A</v>
      </c>
      <c r="Z404" s="92"/>
      <c r="AA404" s="9"/>
    </row>
    <row r="405" spans="1:27" ht="13.5" thickBot="1" x14ac:dyDescent="0.35">
      <c r="A405" s="96"/>
      <c r="B405" s="96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113"/>
      <c r="Z405" s="92"/>
      <c r="AA405" s="9"/>
    </row>
    <row r="406" spans="1:27" x14ac:dyDescent="0.3">
      <c r="A406" s="96"/>
      <c r="B406" s="96"/>
      <c r="C406" s="93" t="s">
        <v>73</v>
      </c>
      <c r="D406" s="93"/>
      <c r="E406" s="93"/>
      <c r="F406" s="93"/>
      <c r="G406" s="93" t="s">
        <v>2</v>
      </c>
      <c r="H406" s="120">
        <v>1</v>
      </c>
      <c r="I406" s="134">
        <v>1</v>
      </c>
      <c r="J406" s="133" t="s">
        <v>74</v>
      </c>
      <c r="K406" s="113" t="s">
        <v>73</v>
      </c>
      <c r="L406" s="124" t="s">
        <v>21</v>
      </c>
      <c r="M406" s="93"/>
      <c r="N406" s="93">
        <v>4</v>
      </c>
      <c r="O406" s="93"/>
      <c r="P406" s="130" t="s">
        <v>72</v>
      </c>
      <c r="Q406" s="124"/>
      <c r="R406" s="105" t="s">
        <v>40</v>
      </c>
      <c r="S406" s="105" t="s">
        <v>24</v>
      </c>
      <c r="T406" s="32" t="s">
        <v>38</v>
      </c>
      <c r="U406" s="137" t="s">
        <v>467</v>
      </c>
      <c r="X406" s="105" t="s">
        <v>471</v>
      </c>
      <c r="Y406" s="94" t="s">
        <v>4</v>
      </c>
      <c r="Z406" s="92"/>
      <c r="AA406" s="9"/>
    </row>
    <row r="407" spans="1:27" x14ac:dyDescent="0.3">
      <c r="A407" s="96"/>
      <c r="B407" s="96"/>
      <c r="C407" s="93"/>
      <c r="D407" s="93"/>
      <c r="E407" s="93"/>
      <c r="F407" s="93"/>
      <c r="G407" s="93" t="s">
        <v>2</v>
      </c>
      <c r="H407" s="113">
        <f t="shared" ref="H407:H419" si="100">H406</f>
        <v>1</v>
      </c>
      <c r="I407" s="128">
        <v>2</v>
      </c>
      <c r="J407" s="131" t="s">
        <v>69</v>
      </c>
      <c r="K407" s="107" t="s">
        <v>0</v>
      </c>
      <c r="L407" s="124" t="s">
        <v>21</v>
      </c>
      <c r="M407" s="93"/>
      <c r="N407" s="93">
        <v>5</v>
      </c>
      <c r="O407" s="93"/>
      <c r="P407" s="123" t="s">
        <v>68</v>
      </c>
      <c r="Q407" s="121"/>
      <c r="R407" s="121" t="s">
        <v>40</v>
      </c>
      <c r="S407" s="121" t="s">
        <v>67</v>
      </c>
      <c r="T407" s="29" t="s">
        <v>38</v>
      </c>
      <c r="U407" s="137" t="s">
        <v>467</v>
      </c>
      <c r="X407" s="105" t="s">
        <v>471</v>
      </c>
      <c r="Y407" s="94" t="s">
        <v>4</v>
      </c>
      <c r="Z407" s="92"/>
      <c r="AA407" s="9"/>
    </row>
    <row r="408" spans="1:27" x14ac:dyDescent="0.3">
      <c r="A408" s="96"/>
      <c r="B408" s="96"/>
      <c r="C408" s="93"/>
      <c r="D408" s="93"/>
      <c r="E408" s="93"/>
      <c r="F408" s="93"/>
      <c r="G408" s="93" t="s">
        <v>2</v>
      </c>
      <c r="H408" s="113">
        <f t="shared" si="100"/>
        <v>1</v>
      </c>
      <c r="I408" s="128">
        <v>3</v>
      </c>
      <c r="J408" s="131" t="s">
        <v>66</v>
      </c>
      <c r="K408" s="113"/>
      <c r="L408" s="124" t="s">
        <v>21</v>
      </c>
      <c r="M408" s="93"/>
      <c r="N408" s="93">
        <v>4</v>
      </c>
      <c r="O408" s="93"/>
      <c r="P408" s="34" t="s">
        <v>65</v>
      </c>
      <c r="Q408" s="12"/>
      <c r="R408" s="93" t="s">
        <v>64</v>
      </c>
      <c r="S408" s="93" t="s">
        <v>24</v>
      </c>
      <c r="T408" s="33" t="s">
        <v>63</v>
      </c>
      <c r="U408" s="137" t="s">
        <v>467</v>
      </c>
      <c r="X408" s="105" t="s">
        <v>471</v>
      </c>
      <c r="Y408" s="94" t="s">
        <v>4</v>
      </c>
      <c r="Z408" s="92"/>
      <c r="AA408" s="9"/>
    </row>
    <row r="409" spans="1:27" x14ac:dyDescent="0.3">
      <c r="A409" s="96"/>
      <c r="B409" s="96"/>
      <c r="C409" s="93"/>
      <c r="D409" s="93"/>
      <c r="E409" s="93"/>
      <c r="F409" s="93"/>
      <c r="G409" s="93" t="s">
        <v>2</v>
      </c>
      <c r="H409" s="113">
        <f t="shared" si="100"/>
        <v>1</v>
      </c>
      <c r="I409" s="128">
        <v>4</v>
      </c>
      <c r="J409" s="131" t="s">
        <v>62</v>
      </c>
      <c r="K409" s="113"/>
      <c r="L409" s="124" t="s">
        <v>21</v>
      </c>
      <c r="M409" s="93"/>
      <c r="N409" s="93">
        <v>4</v>
      </c>
      <c r="O409" s="93"/>
      <c r="P409" s="130" t="s">
        <v>61</v>
      </c>
      <c r="Q409" s="124"/>
      <c r="R409" s="93" t="s">
        <v>60</v>
      </c>
      <c r="S409" s="93" t="s">
        <v>18</v>
      </c>
      <c r="T409" s="32" t="s">
        <v>59</v>
      </c>
      <c r="U409" s="137" t="s">
        <v>467</v>
      </c>
      <c r="X409" s="105" t="s">
        <v>471</v>
      </c>
      <c r="Y409" s="94" t="s">
        <v>4</v>
      </c>
      <c r="Z409" s="92"/>
      <c r="AA409" s="9"/>
    </row>
    <row r="410" spans="1:27" x14ac:dyDescent="0.3">
      <c r="A410" s="96"/>
      <c r="B410" s="96"/>
      <c r="C410" s="93"/>
      <c r="D410" s="93"/>
      <c r="E410" s="93"/>
      <c r="F410" s="93"/>
      <c r="G410" s="93" t="s">
        <v>2</v>
      </c>
      <c r="H410" s="113">
        <f t="shared" si="100"/>
        <v>1</v>
      </c>
      <c r="I410" s="128">
        <v>5</v>
      </c>
      <c r="J410" s="131" t="s">
        <v>58</v>
      </c>
      <c r="K410" s="113"/>
      <c r="L410" s="124" t="s">
        <v>21</v>
      </c>
      <c r="M410" s="93"/>
      <c r="N410" s="93">
        <v>5</v>
      </c>
      <c r="O410" s="93"/>
      <c r="P410" s="121"/>
      <c r="Q410" s="121"/>
      <c r="R410" s="121"/>
      <c r="S410" s="121"/>
      <c r="T410" s="29"/>
      <c r="U410" s="137" t="s">
        <v>467</v>
      </c>
      <c r="X410" s="92"/>
      <c r="Y410" s="94"/>
      <c r="Z410" s="92"/>
      <c r="AA410" s="9"/>
    </row>
    <row r="411" spans="1:27" x14ac:dyDescent="0.3">
      <c r="A411" s="96"/>
      <c r="B411" s="96"/>
      <c r="C411" s="93"/>
      <c r="D411" s="93"/>
      <c r="E411" s="93"/>
      <c r="F411" s="93"/>
      <c r="G411" s="93" t="s">
        <v>2</v>
      </c>
      <c r="H411" s="113">
        <f t="shared" si="100"/>
        <v>1</v>
      </c>
      <c r="I411" s="128">
        <v>6</v>
      </c>
      <c r="J411" s="131" t="s">
        <v>57</v>
      </c>
      <c r="K411" s="113"/>
      <c r="L411" s="124" t="s">
        <v>21</v>
      </c>
      <c r="M411" s="93"/>
      <c r="N411" s="93">
        <v>4</v>
      </c>
      <c r="O411" s="93"/>
      <c r="P411" s="130" t="s">
        <v>56</v>
      </c>
      <c r="Q411" s="124"/>
      <c r="R411" s="93" t="s">
        <v>55</v>
      </c>
      <c r="S411" s="32" t="s">
        <v>54</v>
      </c>
      <c r="T411" s="32"/>
      <c r="U411" s="137" t="s">
        <v>467</v>
      </c>
      <c r="X411" s="105" t="s">
        <v>471</v>
      </c>
      <c r="Y411" s="94" t="s">
        <v>4</v>
      </c>
      <c r="Z411" s="92"/>
      <c r="AA411" s="9"/>
    </row>
    <row r="412" spans="1:27" x14ac:dyDescent="0.3">
      <c r="A412" s="96"/>
      <c r="B412" s="96"/>
      <c r="C412" s="93"/>
      <c r="D412" s="93"/>
      <c r="E412" s="93"/>
      <c r="F412" s="93"/>
      <c r="G412" s="93" t="s">
        <v>2</v>
      </c>
      <c r="H412" s="113">
        <f t="shared" si="100"/>
        <v>1</v>
      </c>
      <c r="I412" s="128">
        <v>1</v>
      </c>
      <c r="J412" s="131" t="s">
        <v>53</v>
      </c>
      <c r="K412" s="113"/>
      <c r="L412" s="124" t="s">
        <v>42</v>
      </c>
      <c r="M412" s="93"/>
      <c r="N412" s="93">
        <v>4</v>
      </c>
      <c r="O412" s="93"/>
      <c r="P412" s="130" t="s">
        <v>52</v>
      </c>
      <c r="Q412" s="124"/>
      <c r="R412" s="93" t="s">
        <v>51</v>
      </c>
      <c r="S412" s="93" t="s">
        <v>24</v>
      </c>
      <c r="T412" s="32" t="s">
        <v>50</v>
      </c>
      <c r="U412" s="137" t="s">
        <v>467</v>
      </c>
      <c r="X412" s="105" t="s">
        <v>471</v>
      </c>
      <c r="Y412" s="94" t="s">
        <v>4</v>
      </c>
      <c r="Z412" s="92"/>
      <c r="AA412" s="9"/>
    </row>
    <row r="413" spans="1:27" x14ac:dyDescent="0.3">
      <c r="A413" s="96"/>
      <c r="B413" s="96"/>
      <c r="C413" s="93"/>
      <c r="D413" s="93"/>
      <c r="E413" s="93"/>
      <c r="F413" s="93"/>
      <c r="G413" s="93" t="s">
        <v>2</v>
      </c>
      <c r="H413" s="113">
        <f t="shared" si="100"/>
        <v>1</v>
      </c>
      <c r="I413" s="128">
        <v>2</v>
      </c>
      <c r="J413" s="127" t="s">
        <v>49</v>
      </c>
      <c r="K413" s="113"/>
      <c r="L413" s="124" t="s">
        <v>42</v>
      </c>
      <c r="M413" s="93"/>
      <c r="N413" s="104">
        <v>5</v>
      </c>
      <c r="O413" s="93"/>
      <c r="P413" s="123" t="s">
        <v>48</v>
      </c>
      <c r="Q413" s="121"/>
      <c r="R413" s="121" t="s">
        <v>47</v>
      </c>
      <c r="S413" s="104" t="s">
        <v>46</v>
      </c>
      <c r="T413" s="129" t="s">
        <v>45</v>
      </c>
      <c r="U413" s="137" t="s">
        <v>467</v>
      </c>
      <c r="W413" s="96"/>
      <c r="X413" s="92"/>
      <c r="Y413" s="94"/>
      <c r="Z413" s="92"/>
      <c r="AA413" s="9"/>
    </row>
    <row r="414" spans="1:27" x14ac:dyDescent="0.3">
      <c r="A414" s="96"/>
      <c r="B414" s="96"/>
      <c r="C414" s="93"/>
      <c r="D414" s="93"/>
      <c r="E414" s="93"/>
      <c r="F414" s="93"/>
      <c r="G414" s="93" t="s">
        <v>2</v>
      </c>
      <c r="H414" s="113">
        <f t="shared" si="100"/>
        <v>1</v>
      </c>
      <c r="I414" s="128">
        <v>3</v>
      </c>
      <c r="J414" s="127" t="s">
        <v>44</v>
      </c>
      <c r="K414" s="113"/>
      <c r="L414" s="124" t="s">
        <v>42</v>
      </c>
      <c r="M414" s="93"/>
      <c r="N414" s="104">
        <v>5</v>
      </c>
      <c r="O414" s="93"/>
      <c r="P414" s="93"/>
      <c r="Q414" s="93"/>
      <c r="R414" s="105"/>
      <c r="T414" s="102"/>
      <c r="U414" s="137" t="s">
        <v>467</v>
      </c>
      <c r="W414" s="96"/>
      <c r="X414" s="92"/>
      <c r="Y414" s="94"/>
      <c r="Z414" s="92"/>
      <c r="AA414" s="9"/>
    </row>
    <row r="415" spans="1:27" ht="13.5" thickBot="1" x14ac:dyDescent="0.35">
      <c r="A415" s="96"/>
      <c r="B415" s="96"/>
      <c r="C415" s="93"/>
      <c r="D415" s="93"/>
      <c r="E415" s="93"/>
      <c r="F415" s="93"/>
      <c r="G415" s="93" t="s">
        <v>2</v>
      </c>
      <c r="H415" s="113">
        <f t="shared" si="100"/>
        <v>1</v>
      </c>
      <c r="I415" s="126">
        <v>4</v>
      </c>
      <c r="J415" s="125" t="s">
        <v>43</v>
      </c>
      <c r="K415" s="113"/>
      <c r="L415" s="124" t="s">
        <v>42</v>
      </c>
      <c r="M415" s="93"/>
      <c r="N415" s="104">
        <v>5</v>
      </c>
      <c r="O415" s="93"/>
      <c r="P415" s="123" t="s">
        <v>41</v>
      </c>
      <c r="Q415" s="121"/>
      <c r="R415" s="121" t="s">
        <v>40</v>
      </c>
      <c r="S415" s="104" t="s">
        <v>39</v>
      </c>
      <c r="T415" s="29" t="s">
        <v>38</v>
      </c>
      <c r="U415" s="137" t="s">
        <v>467</v>
      </c>
      <c r="W415" s="96"/>
      <c r="X415" s="92"/>
      <c r="Y415" s="94"/>
      <c r="Z415" s="92"/>
      <c r="AA415" s="9"/>
    </row>
    <row r="416" spans="1:27" x14ac:dyDescent="0.3">
      <c r="A416" s="96"/>
      <c r="B416" s="96"/>
      <c r="C416" s="93"/>
      <c r="D416" s="93"/>
      <c r="E416" s="93"/>
      <c r="F416" s="93"/>
      <c r="G416" s="93" t="s">
        <v>2</v>
      </c>
      <c r="H416" s="113">
        <f t="shared" si="100"/>
        <v>1</v>
      </c>
      <c r="I416" s="134">
        <v>7</v>
      </c>
      <c r="J416" s="133" t="s">
        <v>80</v>
      </c>
      <c r="K416" s="113"/>
      <c r="L416" s="124" t="s">
        <v>21</v>
      </c>
      <c r="M416" s="93"/>
      <c r="N416" s="104">
        <v>5</v>
      </c>
      <c r="O416" s="93"/>
      <c r="P416" s="93"/>
      <c r="Q416" s="93"/>
      <c r="R416" s="93"/>
      <c r="S416" s="93"/>
      <c r="T416" s="93"/>
      <c r="U416" s="137" t="s">
        <v>467</v>
      </c>
      <c r="W416" s="96"/>
      <c r="X416" s="92"/>
      <c r="Y416" s="94"/>
      <c r="Z416" s="92"/>
      <c r="AA416" s="9"/>
    </row>
    <row r="417" spans="1:30" x14ac:dyDescent="0.3">
      <c r="A417" s="96"/>
      <c r="B417" s="96"/>
      <c r="C417" s="93"/>
      <c r="D417" s="93"/>
      <c r="E417" s="93"/>
      <c r="F417" s="93"/>
      <c r="G417" s="93" t="s">
        <v>2</v>
      </c>
      <c r="H417" s="113">
        <f t="shared" si="100"/>
        <v>1</v>
      </c>
      <c r="I417" s="128">
        <v>8</v>
      </c>
      <c r="J417" s="131" t="s">
        <v>77</v>
      </c>
      <c r="K417" s="113"/>
      <c r="L417" s="124" t="s">
        <v>21</v>
      </c>
      <c r="M417" s="93"/>
      <c r="N417" s="104">
        <v>5</v>
      </c>
      <c r="O417" s="93"/>
      <c r="P417" s="123" t="s">
        <v>470</v>
      </c>
      <c r="Q417" s="105"/>
      <c r="R417" s="121" t="s">
        <v>469</v>
      </c>
      <c r="S417" s="104" t="s">
        <v>18</v>
      </c>
      <c r="T417" s="29" t="s">
        <v>468</v>
      </c>
      <c r="U417" s="137" t="s">
        <v>467</v>
      </c>
      <c r="W417" s="96"/>
      <c r="X417" s="92"/>
      <c r="Y417" s="94"/>
      <c r="Z417" s="92"/>
      <c r="AA417" s="9"/>
    </row>
    <row r="418" spans="1:30" x14ac:dyDescent="0.3">
      <c r="A418" s="96"/>
      <c r="B418" s="96"/>
      <c r="C418" s="93"/>
      <c r="D418" s="93"/>
      <c r="E418" s="93"/>
      <c r="F418" s="93"/>
      <c r="G418" s="93" t="s">
        <v>2</v>
      </c>
      <c r="H418" s="113">
        <f t="shared" si="100"/>
        <v>1</v>
      </c>
      <c r="I418" s="128">
        <v>9</v>
      </c>
      <c r="J418" s="131" t="s">
        <v>76</v>
      </c>
      <c r="K418" s="113"/>
      <c r="L418" s="124" t="s">
        <v>21</v>
      </c>
      <c r="M418" s="93"/>
      <c r="N418" s="104">
        <v>5</v>
      </c>
      <c r="O418" s="92"/>
      <c r="U418" s="137" t="s">
        <v>467</v>
      </c>
      <c r="W418" s="96"/>
      <c r="X418" s="92"/>
      <c r="Y418" s="94"/>
      <c r="Z418" s="92"/>
      <c r="AA418" s="9"/>
    </row>
    <row r="419" spans="1:30" ht="13.5" thickBot="1" x14ac:dyDescent="0.35">
      <c r="A419" s="96"/>
      <c r="B419" s="96"/>
      <c r="C419" s="93"/>
      <c r="D419" s="93"/>
      <c r="E419" s="93"/>
      <c r="F419" s="93"/>
      <c r="G419" s="93" t="s">
        <v>2</v>
      </c>
      <c r="H419" s="113">
        <f t="shared" si="100"/>
        <v>1</v>
      </c>
      <c r="I419" s="126">
        <v>10</v>
      </c>
      <c r="J419" s="135" t="s">
        <v>75</v>
      </c>
      <c r="K419" s="113"/>
      <c r="L419" s="124" t="s">
        <v>21</v>
      </c>
      <c r="M419" s="93"/>
      <c r="N419" s="104">
        <v>5</v>
      </c>
      <c r="O419" s="93"/>
      <c r="P419" s="93"/>
      <c r="Q419" s="93"/>
      <c r="R419" s="93"/>
      <c r="S419" s="93"/>
      <c r="T419" s="93"/>
      <c r="U419" s="137" t="s">
        <v>467</v>
      </c>
      <c r="W419" s="96"/>
      <c r="X419" s="92"/>
      <c r="Y419" s="94"/>
      <c r="Z419" s="92"/>
      <c r="AA419" s="9"/>
    </row>
    <row r="420" spans="1:30" ht="13.5" thickBot="1" x14ac:dyDescent="0.35">
      <c r="A420" s="96"/>
      <c r="B420" s="96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113"/>
      <c r="Z420" s="92"/>
      <c r="AA420" s="9"/>
    </row>
    <row r="421" spans="1:30" x14ac:dyDescent="0.3">
      <c r="A421" s="96"/>
      <c r="B421" s="96"/>
      <c r="C421" s="93" t="s">
        <v>73</v>
      </c>
      <c r="D421" s="93"/>
      <c r="E421" s="93"/>
      <c r="F421" s="93"/>
      <c r="G421" s="93" t="s">
        <v>2</v>
      </c>
      <c r="H421" s="120">
        <v>1</v>
      </c>
      <c r="I421" s="134">
        <v>1</v>
      </c>
      <c r="J421" s="133" t="s">
        <v>74</v>
      </c>
      <c r="K421" s="113" t="s">
        <v>73</v>
      </c>
      <c r="L421" s="124" t="s">
        <v>21</v>
      </c>
      <c r="M421" s="93"/>
      <c r="N421" s="93">
        <v>4</v>
      </c>
      <c r="O421" s="93"/>
      <c r="P421" s="130" t="s">
        <v>72</v>
      </c>
      <c r="Q421" s="124"/>
      <c r="R421" s="105" t="s">
        <v>40</v>
      </c>
      <c r="S421" s="105" t="s">
        <v>24</v>
      </c>
      <c r="T421" s="32" t="s">
        <v>38</v>
      </c>
      <c r="U421" s="137" t="s">
        <v>466</v>
      </c>
      <c r="X421" s="105" t="s">
        <v>465</v>
      </c>
      <c r="Y421" s="94" t="s">
        <v>4</v>
      </c>
      <c r="Z421" s="92"/>
      <c r="AA421" s="9"/>
    </row>
    <row r="422" spans="1:30" x14ac:dyDescent="0.3">
      <c r="A422" s="96"/>
      <c r="B422" s="96"/>
      <c r="C422" s="93"/>
      <c r="D422" s="93"/>
      <c r="E422" s="93"/>
      <c r="F422" s="93"/>
      <c r="G422" s="93" t="s">
        <v>2</v>
      </c>
      <c r="H422" s="113">
        <f t="shared" ref="H422:H430" si="101">H421</f>
        <v>1</v>
      </c>
      <c r="I422" s="128">
        <v>2</v>
      </c>
      <c r="J422" s="131" t="s">
        <v>69</v>
      </c>
      <c r="K422" s="107" t="s">
        <v>0</v>
      </c>
      <c r="L422" s="124" t="s">
        <v>21</v>
      </c>
      <c r="M422" s="93"/>
      <c r="N422" s="104">
        <v>5</v>
      </c>
      <c r="O422" s="104"/>
      <c r="P422" s="123" t="s">
        <v>68</v>
      </c>
      <c r="Q422" s="121"/>
      <c r="R422" s="121" t="s">
        <v>40</v>
      </c>
      <c r="S422" s="105" t="s">
        <v>67</v>
      </c>
      <c r="T422" s="32" t="s">
        <v>38</v>
      </c>
      <c r="U422" s="122" t="str">
        <f t="shared" ref="U422:U430" si="102">+U421</f>
        <v>BJC130PP01</v>
      </c>
      <c r="X422" s="105" t="str">
        <f t="shared" ref="X422:X430" si="103">+X421</f>
        <v>BR4-2110-E-00067</v>
      </c>
      <c r="Y422" s="92" t="str">
        <f t="shared" ref="Y422:Y430" si="104">+Y421</f>
        <v>A</v>
      </c>
      <c r="Z422" s="92"/>
      <c r="AA422" s="9"/>
    </row>
    <row r="423" spans="1:30" x14ac:dyDescent="0.3">
      <c r="A423" s="96"/>
      <c r="B423" s="96"/>
      <c r="C423" s="93"/>
      <c r="D423" s="93"/>
      <c r="E423" s="93"/>
      <c r="F423" s="93"/>
      <c r="G423" s="93" t="s">
        <v>2</v>
      </c>
      <c r="H423" s="113">
        <f t="shared" si="101"/>
        <v>1</v>
      </c>
      <c r="I423" s="128">
        <v>3</v>
      </c>
      <c r="J423" s="131" t="s">
        <v>66</v>
      </c>
      <c r="K423" s="113"/>
      <c r="L423" s="124" t="s">
        <v>21</v>
      </c>
      <c r="M423" s="93"/>
      <c r="N423" s="93">
        <v>5</v>
      </c>
      <c r="O423" s="93"/>
      <c r="P423" s="34" t="s">
        <v>65</v>
      </c>
      <c r="Q423" s="12"/>
      <c r="R423" s="93" t="s">
        <v>64</v>
      </c>
      <c r="S423" s="93" t="s">
        <v>24</v>
      </c>
      <c r="T423" s="33" t="s">
        <v>63</v>
      </c>
      <c r="U423" s="122" t="str">
        <f t="shared" si="102"/>
        <v>BJC130PP01</v>
      </c>
      <c r="X423" s="105" t="str">
        <f t="shared" si="103"/>
        <v>BR4-2110-E-00067</v>
      </c>
      <c r="Y423" s="92" t="str">
        <f t="shared" si="104"/>
        <v>A</v>
      </c>
      <c r="Z423" s="92"/>
      <c r="AA423" s="9"/>
    </row>
    <row r="424" spans="1:30" x14ac:dyDescent="0.3">
      <c r="A424" s="96"/>
      <c r="B424" s="96"/>
      <c r="C424" s="93"/>
      <c r="D424" s="93"/>
      <c r="E424" s="93"/>
      <c r="F424" s="93"/>
      <c r="G424" s="93" t="s">
        <v>2</v>
      </c>
      <c r="H424" s="113">
        <f t="shared" si="101"/>
        <v>1</v>
      </c>
      <c r="I424" s="128">
        <v>4</v>
      </c>
      <c r="J424" s="131" t="s">
        <v>62</v>
      </c>
      <c r="K424" s="113"/>
      <c r="L424" s="124" t="s">
        <v>21</v>
      </c>
      <c r="M424" s="93"/>
      <c r="N424" s="93">
        <v>4</v>
      </c>
      <c r="O424" s="93"/>
      <c r="P424" s="130" t="s">
        <v>61</v>
      </c>
      <c r="Q424" s="124"/>
      <c r="R424" s="93" t="s">
        <v>60</v>
      </c>
      <c r="S424" s="93" t="s">
        <v>18</v>
      </c>
      <c r="T424" s="32" t="s">
        <v>59</v>
      </c>
      <c r="U424" s="122" t="str">
        <f t="shared" si="102"/>
        <v>BJC130PP01</v>
      </c>
      <c r="X424" s="105" t="str">
        <f t="shared" si="103"/>
        <v>BR4-2110-E-00067</v>
      </c>
      <c r="Y424" s="92" t="str">
        <f t="shared" si="104"/>
        <v>A</v>
      </c>
      <c r="Z424" s="92"/>
      <c r="AA424" s="9"/>
    </row>
    <row r="425" spans="1:30" x14ac:dyDescent="0.3">
      <c r="A425" s="96"/>
      <c r="B425" s="96"/>
      <c r="C425" s="93"/>
      <c r="D425" s="93"/>
      <c r="E425" s="93"/>
      <c r="F425" s="93"/>
      <c r="G425" s="93" t="s">
        <v>2</v>
      </c>
      <c r="H425" s="113">
        <f t="shared" si="101"/>
        <v>1</v>
      </c>
      <c r="I425" s="128">
        <v>5</v>
      </c>
      <c r="J425" s="131" t="s">
        <v>58</v>
      </c>
      <c r="K425" s="113"/>
      <c r="L425" s="124" t="s">
        <v>21</v>
      </c>
      <c r="M425" s="93"/>
      <c r="N425" s="93"/>
      <c r="O425" s="93"/>
      <c r="P425" s="124"/>
      <c r="Q425" s="124"/>
      <c r="R425" s="93"/>
      <c r="S425" s="32"/>
      <c r="T425" s="32"/>
      <c r="U425" s="122" t="str">
        <f t="shared" si="102"/>
        <v>BJC130PP01</v>
      </c>
      <c r="X425" s="105" t="str">
        <f t="shared" si="103"/>
        <v>BR4-2110-E-00067</v>
      </c>
      <c r="Y425" s="92" t="str">
        <f t="shared" si="104"/>
        <v>A</v>
      </c>
      <c r="Z425" s="92"/>
      <c r="AA425" s="9"/>
    </row>
    <row r="426" spans="1:30" x14ac:dyDescent="0.3">
      <c r="A426" s="96"/>
      <c r="B426" s="96"/>
      <c r="C426" s="93"/>
      <c r="D426" s="93"/>
      <c r="E426" s="93"/>
      <c r="F426" s="93"/>
      <c r="G426" s="93" t="s">
        <v>2</v>
      </c>
      <c r="H426" s="113">
        <f t="shared" si="101"/>
        <v>1</v>
      </c>
      <c r="I426" s="128">
        <v>6</v>
      </c>
      <c r="J426" s="131" t="s">
        <v>57</v>
      </c>
      <c r="K426" s="113"/>
      <c r="L426" s="124" t="s">
        <v>21</v>
      </c>
      <c r="M426" s="93"/>
      <c r="N426" s="93">
        <v>4</v>
      </c>
      <c r="O426" s="93"/>
      <c r="P426" s="130" t="s">
        <v>56</v>
      </c>
      <c r="Q426" s="124"/>
      <c r="R426" s="93" t="s">
        <v>55</v>
      </c>
      <c r="S426" s="32" t="s">
        <v>54</v>
      </c>
      <c r="T426" s="32"/>
      <c r="U426" s="122" t="str">
        <f t="shared" si="102"/>
        <v>BJC130PP01</v>
      </c>
      <c r="X426" s="105" t="str">
        <f t="shared" si="103"/>
        <v>BR4-2110-E-00067</v>
      </c>
      <c r="Y426" s="92" t="str">
        <f t="shared" si="104"/>
        <v>A</v>
      </c>
      <c r="Z426" s="92"/>
      <c r="AA426" s="9"/>
    </row>
    <row r="427" spans="1:30" x14ac:dyDescent="0.3">
      <c r="A427" s="96"/>
      <c r="B427" s="96"/>
      <c r="C427" s="93"/>
      <c r="D427" s="93"/>
      <c r="E427" s="93"/>
      <c r="F427" s="93"/>
      <c r="G427" s="93" t="s">
        <v>2</v>
      </c>
      <c r="H427" s="113">
        <f t="shared" si="101"/>
        <v>1</v>
      </c>
      <c r="I427" s="128">
        <v>1</v>
      </c>
      <c r="J427" s="131" t="s">
        <v>53</v>
      </c>
      <c r="K427" s="113"/>
      <c r="L427" s="124" t="s">
        <v>42</v>
      </c>
      <c r="M427" s="93"/>
      <c r="N427" s="93">
        <v>4</v>
      </c>
      <c r="O427" s="93"/>
      <c r="P427" s="130" t="s">
        <v>52</v>
      </c>
      <c r="Q427" s="124"/>
      <c r="R427" s="93" t="s">
        <v>51</v>
      </c>
      <c r="S427" s="93" t="s">
        <v>24</v>
      </c>
      <c r="T427" s="32" t="s">
        <v>50</v>
      </c>
      <c r="U427" s="122" t="str">
        <f t="shared" si="102"/>
        <v>BJC130PP01</v>
      </c>
      <c r="X427" s="105" t="str">
        <f t="shared" si="103"/>
        <v>BR4-2110-E-00067</v>
      </c>
      <c r="Y427" s="92" t="str">
        <f t="shared" si="104"/>
        <v>A</v>
      </c>
      <c r="Z427" s="92"/>
      <c r="AA427" s="9"/>
    </row>
    <row r="428" spans="1:30" x14ac:dyDescent="0.3">
      <c r="A428" s="96"/>
      <c r="B428" s="96"/>
      <c r="C428" s="93"/>
      <c r="D428" s="93"/>
      <c r="E428" s="93"/>
      <c r="F428" s="93"/>
      <c r="G428" s="93" t="s">
        <v>2</v>
      </c>
      <c r="H428" s="113">
        <f t="shared" si="101"/>
        <v>1</v>
      </c>
      <c r="I428" s="128">
        <v>2</v>
      </c>
      <c r="J428" s="127" t="s">
        <v>49</v>
      </c>
      <c r="K428" s="113"/>
      <c r="L428" s="124" t="s">
        <v>42</v>
      </c>
      <c r="M428" s="93"/>
      <c r="N428" s="104">
        <v>5</v>
      </c>
      <c r="O428" s="93"/>
      <c r="P428" s="123" t="s">
        <v>48</v>
      </c>
      <c r="Q428" s="121"/>
      <c r="R428" s="121" t="s">
        <v>47</v>
      </c>
      <c r="S428" s="104" t="s">
        <v>46</v>
      </c>
      <c r="T428" s="129" t="s">
        <v>45</v>
      </c>
      <c r="U428" s="122" t="str">
        <f t="shared" si="102"/>
        <v>BJC130PP01</v>
      </c>
      <c r="W428" s="96"/>
      <c r="X428" s="105" t="str">
        <f t="shared" si="103"/>
        <v>BR4-2110-E-00067</v>
      </c>
      <c r="Y428" s="92" t="str">
        <f t="shared" si="104"/>
        <v>A</v>
      </c>
      <c r="Z428" s="92"/>
      <c r="AA428" s="9"/>
    </row>
    <row r="429" spans="1:30" x14ac:dyDescent="0.3">
      <c r="A429" s="96"/>
      <c r="B429" s="96"/>
      <c r="C429" s="93"/>
      <c r="D429" s="93"/>
      <c r="E429" s="93"/>
      <c r="F429" s="93"/>
      <c r="G429" s="93" t="s">
        <v>2</v>
      </c>
      <c r="H429" s="113">
        <f t="shared" si="101"/>
        <v>1</v>
      </c>
      <c r="I429" s="128">
        <v>3</v>
      </c>
      <c r="J429" s="127" t="s">
        <v>44</v>
      </c>
      <c r="K429" s="113"/>
      <c r="L429" s="124" t="s">
        <v>42</v>
      </c>
      <c r="M429" s="93"/>
      <c r="N429" s="104">
        <v>5</v>
      </c>
      <c r="O429" s="104"/>
      <c r="U429" s="122" t="str">
        <f t="shared" si="102"/>
        <v>BJC130PP01</v>
      </c>
      <c r="W429" s="96"/>
      <c r="X429" s="105" t="str">
        <f t="shared" si="103"/>
        <v>BR4-2110-E-00067</v>
      </c>
      <c r="Y429" s="92" t="str">
        <f t="shared" si="104"/>
        <v>A</v>
      </c>
      <c r="Z429" s="92"/>
      <c r="AA429" s="9"/>
    </row>
    <row r="430" spans="1:30" ht="13.5" thickBot="1" x14ac:dyDescent="0.35">
      <c r="A430" s="96"/>
      <c r="B430" s="96"/>
      <c r="C430" s="93"/>
      <c r="D430" s="93"/>
      <c r="E430" s="93"/>
      <c r="F430" s="93"/>
      <c r="G430" s="93" t="s">
        <v>2</v>
      </c>
      <c r="H430" s="113">
        <f t="shared" si="101"/>
        <v>1</v>
      </c>
      <c r="I430" s="126">
        <v>4</v>
      </c>
      <c r="J430" s="125" t="s">
        <v>43</v>
      </c>
      <c r="K430" s="113"/>
      <c r="L430" s="124" t="s">
        <v>42</v>
      </c>
      <c r="M430" s="93"/>
      <c r="N430" s="104">
        <v>5</v>
      </c>
      <c r="O430" s="104"/>
      <c r="P430" s="123" t="s">
        <v>41</v>
      </c>
      <c r="Q430" s="121"/>
      <c r="R430" s="121" t="s">
        <v>40</v>
      </c>
      <c r="S430" s="104" t="s">
        <v>39</v>
      </c>
      <c r="T430" s="29" t="s">
        <v>38</v>
      </c>
      <c r="U430" s="122" t="str">
        <f t="shared" si="102"/>
        <v>BJC130PP01</v>
      </c>
      <c r="W430" s="96"/>
      <c r="X430" s="105" t="str">
        <f t="shared" si="103"/>
        <v>BR4-2110-E-00067</v>
      </c>
      <c r="Y430" s="92" t="str">
        <f t="shared" si="104"/>
        <v>A</v>
      </c>
      <c r="Z430" s="92"/>
      <c r="AA430" s="9"/>
    </row>
    <row r="431" spans="1:30" ht="13.5" thickBot="1" x14ac:dyDescent="0.35">
      <c r="A431" s="96"/>
      <c r="B431" s="96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113"/>
      <c r="Z431" s="92"/>
      <c r="AA431" s="9"/>
    </row>
    <row r="432" spans="1:30" x14ac:dyDescent="0.3">
      <c r="C432" s="94" t="s">
        <v>31</v>
      </c>
      <c r="D432" s="94"/>
      <c r="E432" s="112"/>
      <c r="F432" s="94"/>
      <c r="G432" s="94"/>
      <c r="H432" s="120">
        <v>1</v>
      </c>
      <c r="I432" s="119">
        <v>1</v>
      </c>
      <c r="J432" s="118" t="s">
        <v>32</v>
      </c>
      <c r="K432" s="94" t="s">
        <v>31</v>
      </c>
      <c r="L432" s="105" t="s">
        <v>21</v>
      </c>
      <c r="M432" s="105"/>
      <c r="N432" s="92">
        <v>4</v>
      </c>
      <c r="O432" s="92"/>
      <c r="P432" s="105" t="s">
        <v>30</v>
      </c>
      <c r="Q432" s="105"/>
      <c r="R432" s="105" t="s">
        <v>29</v>
      </c>
      <c r="S432" s="105"/>
      <c r="U432" s="92" t="s">
        <v>464</v>
      </c>
      <c r="X432" s="105" t="s">
        <v>463</v>
      </c>
      <c r="Y432" s="112" t="s">
        <v>4</v>
      </c>
      <c r="Z432" s="111"/>
      <c r="AC432" s="111"/>
      <c r="AD432" s="95"/>
    </row>
    <row r="433" spans="1:35" x14ac:dyDescent="0.3">
      <c r="C433" s="92"/>
      <c r="D433" s="94"/>
      <c r="E433" s="112"/>
      <c r="F433" s="94"/>
      <c r="G433" s="94"/>
      <c r="H433" s="94">
        <v>1</v>
      </c>
      <c r="I433" s="117">
        <v>2</v>
      </c>
      <c r="J433" s="116" t="s">
        <v>28</v>
      </c>
      <c r="K433" s="113"/>
      <c r="L433" s="105" t="s">
        <v>21</v>
      </c>
      <c r="M433" s="105"/>
      <c r="N433" s="92"/>
      <c r="O433" s="92"/>
      <c r="P433" s="105"/>
      <c r="Q433" s="105"/>
      <c r="R433" s="105"/>
      <c r="S433" s="105"/>
      <c r="Y433" s="112"/>
      <c r="Z433" s="111"/>
      <c r="AC433" s="111"/>
      <c r="AD433" s="95"/>
    </row>
    <row r="434" spans="1:35" x14ac:dyDescent="0.3">
      <c r="C434" s="92"/>
      <c r="D434" s="94"/>
      <c r="E434" s="112"/>
      <c r="F434" s="94"/>
      <c r="G434" s="94"/>
      <c r="H434" s="94">
        <v>1</v>
      </c>
      <c r="I434" s="117">
        <v>3</v>
      </c>
      <c r="J434" s="116" t="s">
        <v>27</v>
      </c>
      <c r="K434" s="113"/>
      <c r="L434" s="105" t="s">
        <v>21</v>
      </c>
      <c r="M434" s="105"/>
      <c r="N434" s="92">
        <v>4</v>
      </c>
      <c r="O434" s="92"/>
      <c r="P434" s="105" t="s">
        <v>26</v>
      </c>
      <c r="Q434" s="105"/>
      <c r="R434" s="105" t="s">
        <v>25</v>
      </c>
      <c r="S434" s="105" t="s">
        <v>24</v>
      </c>
      <c r="U434" s="92" t="s">
        <v>464</v>
      </c>
      <c r="X434" s="105" t="s">
        <v>463</v>
      </c>
      <c r="Y434" s="112" t="s">
        <v>4</v>
      </c>
      <c r="Z434" s="111"/>
      <c r="AC434" s="111"/>
      <c r="AD434" s="95"/>
    </row>
    <row r="435" spans="1:35" x14ac:dyDescent="0.3">
      <c r="C435" s="92"/>
      <c r="D435" s="94"/>
      <c r="E435" s="112"/>
      <c r="F435" s="94"/>
      <c r="G435" s="94"/>
      <c r="H435" s="94">
        <v>1</v>
      </c>
      <c r="I435" s="117">
        <v>6</v>
      </c>
      <c r="J435" s="116" t="s">
        <v>23</v>
      </c>
      <c r="K435" s="113"/>
      <c r="L435" s="105" t="s">
        <v>21</v>
      </c>
      <c r="M435" s="105"/>
      <c r="N435" s="92"/>
      <c r="O435" s="92"/>
      <c r="P435" s="105"/>
      <c r="Q435" s="105"/>
      <c r="R435" s="105"/>
      <c r="S435" s="105"/>
      <c r="Y435" s="112"/>
      <c r="Z435" s="111"/>
      <c r="AC435" s="111"/>
      <c r="AD435" s="95"/>
    </row>
    <row r="436" spans="1:35" ht="13.5" thickBot="1" x14ac:dyDescent="0.35">
      <c r="C436" s="92"/>
      <c r="D436" s="94"/>
      <c r="E436" s="112"/>
      <c r="F436" s="94"/>
      <c r="G436" s="94"/>
      <c r="H436" s="94">
        <v>1</v>
      </c>
      <c r="I436" s="115"/>
      <c r="J436" s="114" t="s">
        <v>22</v>
      </c>
      <c r="K436" s="113"/>
      <c r="L436" s="105" t="s">
        <v>21</v>
      </c>
      <c r="M436" s="105"/>
      <c r="N436" s="92">
        <v>4</v>
      </c>
      <c r="O436" s="92"/>
      <c r="P436" s="26" t="s">
        <v>20</v>
      </c>
      <c r="Q436" s="26"/>
      <c r="R436" s="26" t="s">
        <v>19</v>
      </c>
      <c r="S436" s="26" t="s">
        <v>18</v>
      </c>
      <c r="U436" s="92" t="s">
        <v>464</v>
      </c>
      <c r="X436" s="105" t="s">
        <v>463</v>
      </c>
      <c r="Y436" s="112" t="s">
        <v>4</v>
      </c>
      <c r="Z436" s="111"/>
      <c r="AC436" s="111"/>
      <c r="AD436" s="95"/>
    </row>
    <row r="437" spans="1:35" ht="13.5" thickBot="1" x14ac:dyDescent="0.35">
      <c r="A437" s="109"/>
      <c r="B437" s="108"/>
      <c r="C437" s="108"/>
      <c r="D437" s="108"/>
      <c r="E437" s="180"/>
      <c r="F437" s="108"/>
      <c r="G437" s="108"/>
      <c r="H437" s="108"/>
      <c r="I437" s="108"/>
      <c r="J437" s="108"/>
      <c r="K437" s="108"/>
      <c r="L437" s="108"/>
      <c r="M437" s="108"/>
      <c r="N437" s="92"/>
      <c r="O437" s="92"/>
      <c r="P437" s="108"/>
      <c r="Q437" s="108"/>
      <c r="R437" s="108"/>
      <c r="S437" s="108"/>
      <c r="T437" s="108"/>
      <c r="U437" s="108"/>
      <c r="V437" s="108"/>
      <c r="W437" s="108"/>
      <c r="X437" s="111"/>
      <c r="Y437" s="112"/>
      <c r="Z437" s="111"/>
      <c r="AC437" s="111"/>
      <c r="AD437" s="95"/>
    </row>
    <row r="438" spans="1:35" x14ac:dyDescent="0.3">
      <c r="A438" s="109"/>
      <c r="B438" s="108"/>
      <c r="C438" s="17" t="s">
        <v>2</v>
      </c>
      <c r="D438" s="92"/>
      <c r="E438" s="92"/>
      <c r="F438" s="92"/>
      <c r="G438" s="92"/>
      <c r="H438" s="12">
        <v>1</v>
      </c>
      <c r="I438" s="23"/>
      <c r="J438" s="22"/>
      <c r="K438" s="21" t="s">
        <v>15</v>
      </c>
      <c r="L438" s="12"/>
      <c r="M438" s="12"/>
      <c r="N438" s="92">
        <v>4</v>
      </c>
      <c r="O438" s="92"/>
      <c r="P438" s="12"/>
      <c r="Q438" s="12"/>
      <c r="R438" s="12"/>
      <c r="U438" s="92" t="s">
        <v>462</v>
      </c>
      <c r="V438" s="96"/>
      <c r="W438" s="96"/>
      <c r="X438" s="92" t="s">
        <v>461</v>
      </c>
      <c r="Y438" s="94" t="s">
        <v>4</v>
      </c>
      <c r="Z438" s="92" t="s">
        <v>12</v>
      </c>
      <c r="AC438" s="111"/>
      <c r="AD438" s="95"/>
    </row>
    <row r="439" spans="1:35" x14ac:dyDescent="0.3">
      <c r="A439" s="109"/>
      <c r="B439" s="108"/>
      <c r="C439" s="17" t="s">
        <v>2</v>
      </c>
      <c r="D439" s="93"/>
      <c r="E439" s="93"/>
      <c r="F439" s="93"/>
      <c r="G439" s="93"/>
      <c r="H439" s="12">
        <f>+H438</f>
        <v>1</v>
      </c>
      <c r="I439" s="20"/>
      <c r="J439" s="19" t="s">
        <v>11</v>
      </c>
      <c r="K439" s="107" t="s">
        <v>0</v>
      </c>
      <c r="L439" s="13"/>
      <c r="M439" s="12"/>
      <c r="N439" s="92">
        <v>4</v>
      </c>
      <c r="O439" s="92"/>
      <c r="P439" s="12"/>
      <c r="Q439" s="12"/>
      <c r="R439" s="12"/>
      <c r="V439" s="96"/>
      <c r="W439" s="96"/>
      <c r="X439" s="92"/>
      <c r="Y439" s="94"/>
      <c r="Z439" s="92"/>
      <c r="AC439" s="111"/>
      <c r="AD439" s="95"/>
    </row>
    <row r="440" spans="1:35" ht="13.5" thickBot="1" x14ac:dyDescent="0.35">
      <c r="A440" s="109"/>
      <c r="B440" s="108"/>
      <c r="C440" s="17" t="s">
        <v>2</v>
      </c>
      <c r="D440" s="92"/>
      <c r="E440" s="92"/>
      <c r="F440" s="92"/>
      <c r="G440" s="92"/>
      <c r="H440" s="12">
        <f>+H439</f>
        <v>1</v>
      </c>
      <c r="I440" s="16"/>
      <c r="J440" s="15" t="s">
        <v>1</v>
      </c>
      <c r="K440" s="107" t="s">
        <v>0</v>
      </c>
      <c r="L440" s="13"/>
      <c r="M440" s="12"/>
      <c r="N440" s="92">
        <v>4</v>
      </c>
      <c r="O440" s="92"/>
      <c r="P440" s="12"/>
      <c r="Q440" s="12"/>
      <c r="R440" s="12"/>
      <c r="V440" s="96"/>
      <c r="W440" s="96"/>
      <c r="X440" s="92"/>
      <c r="Y440" s="94"/>
      <c r="Z440" s="92"/>
      <c r="AC440" s="111"/>
      <c r="AD440" s="95"/>
    </row>
    <row r="441" spans="1:35" x14ac:dyDescent="0.3">
      <c r="A441" s="96"/>
      <c r="B441" s="96"/>
      <c r="C441" s="96"/>
      <c r="D441" s="96"/>
      <c r="E441" s="103"/>
      <c r="F441" s="96"/>
      <c r="G441" s="96"/>
      <c r="H441" s="96"/>
      <c r="I441" s="96"/>
      <c r="J441" s="96"/>
      <c r="L441" s="96"/>
      <c r="M441" s="96"/>
      <c r="P441" s="96"/>
      <c r="Q441" s="96"/>
      <c r="R441" s="96"/>
      <c r="S441" s="96"/>
      <c r="T441" s="96"/>
      <c r="U441" s="96"/>
      <c r="V441" s="96"/>
      <c r="W441" s="96"/>
      <c r="AD441" s="93"/>
      <c r="AE441" s="93"/>
      <c r="AF441" s="93"/>
      <c r="AG441" s="93"/>
      <c r="AH441" s="113"/>
      <c r="AI441" s="113"/>
    </row>
    <row r="442" spans="1:35" x14ac:dyDescent="0.3">
      <c r="A442" s="96"/>
      <c r="B442" s="96"/>
      <c r="C442" s="96"/>
      <c r="D442" s="96"/>
      <c r="E442" s="103"/>
      <c r="F442" s="96"/>
      <c r="G442" s="96"/>
      <c r="H442" s="96"/>
      <c r="I442" s="96"/>
      <c r="J442" s="96"/>
      <c r="L442" s="96"/>
      <c r="M442" s="96"/>
      <c r="P442" s="96"/>
      <c r="Q442" s="96"/>
      <c r="R442" s="96"/>
      <c r="S442" s="96"/>
      <c r="T442" s="96"/>
      <c r="U442" s="96"/>
      <c r="V442" s="96"/>
      <c r="W442" s="96"/>
      <c r="AD442" s="93"/>
      <c r="AE442" s="93"/>
      <c r="AF442" s="93"/>
      <c r="AG442" s="93"/>
      <c r="AH442" s="113"/>
      <c r="AI442" s="113"/>
    </row>
    <row r="443" spans="1:35" x14ac:dyDescent="0.3">
      <c r="A443" s="96"/>
      <c r="B443" s="96"/>
      <c r="C443" s="96"/>
      <c r="D443" s="96"/>
      <c r="E443" s="103"/>
      <c r="F443" s="96"/>
      <c r="G443" s="96"/>
      <c r="H443" s="96"/>
      <c r="I443" s="96"/>
      <c r="J443" s="96"/>
      <c r="L443" s="96"/>
      <c r="M443" s="96"/>
      <c r="P443" s="96"/>
      <c r="Q443" s="96"/>
      <c r="R443" s="96"/>
      <c r="S443" s="96"/>
      <c r="T443" s="96"/>
      <c r="U443" s="96"/>
      <c r="V443" s="96"/>
      <c r="W443" s="96"/>
      <c r="AD443" s="93"/>
      <c r="AE443" s="93"/>
      <c r="AF443" s="93"/>
      <c r="AG443" s="93"/>
      <c r="AH443" s="113"/>
      <c r="AI443" s="113"/>
    </row>
    <row r="444" spans="1:35" ht="15.5" x14ac:dyDescent="0.35">
      <c r="A444" s="179"/>
      <c r="B444" s="162" t="s">
        <v>323</v>
      </c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8"/>
      <c r="AD444" s="93"/>
      <c r="AE444" s="93"/>
      <c r="AF444" s="93"/>
      <c r="AG444" s="93"/>
      <c r="AH444" s="113"/>
      <c r="AI444" s="113"/>
    </row>
    <row r="446" spans="1:35" ht="13.5" thickBot="1" x14ac:dyDescent="0.35">
      <c r="A446" s="129" t="s">
        <v>460</v>
      </c>
      <c r="B446" s="104"/>
      <c r="C446" s="104"/>
      <c r="D446" s="160"/>
      <c r="E446" s="160"/>
      <c r="F446" s="160"/>
      <c r="G446" s="160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65"/>
      <c r="S446" s="104"/>
      <c r="T446" s="104"/>
      <c r="U446" s="104"/>
      <c r="V446" s="104"/>
      <c r="X446" s="104"/>
      <c r="Y446" s="160"/>
      <c r="Z446" s="104"/>
    </row>
    <row r="447" spans="1:35" ht="13.5" thickBot="1" x14ac:dyDescent="0.35">
      <c r="A447" s="158" t="s">
        <v>291</v>
      </c>
      <c r="B447" s="92" t="s">
        <v>290</v>
      </c>
      <c r="C447" s="93" t="s">
        <v>459</v>
      </c>
      <c r="D447" s="94">
        <f t="shared" ref="D447:D478" si="105">$D$5</f>
        <v>130</v>
      </c>
      <c r="E447" s="94">
        <v>2</v>
      </c>
      <c r="F447" s="94">
        <v>2</v>
      </c>
      <c r="G447" s="94">
        <v>0</v>
      </c>
      <c r="H447" s="113">
        <v>0</v>
      </c>
      <c r="I447" s="272" t="s">
        <v>458</v>
      </c>
      <c r="J447" s="273"/>
      <c r="K447" s="93" t="s">
        <v>457</v>
      </c>
      <c r="L447" s="104"/>
      <c r="M447" s="104"/>
      <c r="N447" s="104"/>
      <c r="O447" s="104"/>
      <c r="P447" s="104"/>
      <c r="Q447" s="104"/>
      <c r="R447" s="65"/>
      <c r="S447" s="104"/>
      <c r="T447" s="104"/>
      <c r="U447" s="104"/>
      <c r="V447" s="104"/>
      <c r="X447" s="104"/>
      <c r="Y447" s="160"/>
      <c r="Z447" s="104"/>
      <c r="AA447" s="9"/>
      <c r="AB447" s="9"/>
    </row>
    <row r="448" spans="1:35" ht="13.5" thickBot="1" x14ac:dyDescent="0.35">
      <c r="A448" s="102" t="str">
        <f t="shared" ref="A448:A481" si="106">A447</f>
        <v>BSR130</v>
      </c>
      <c r="B448" s="93" t="str">
        <f t="shared" ref="B448:B479" si="107">+B447</f>
        <v>DX02</v>
      </c>
      <c r="C448" s="93" t="str">
        <f t="shared" ref="C448:C479" si="108">+C447</f>
        <v>DIO1</v>
      </c>
      <c r="D448" s="94">
        <f t="shared" si="105"/>
        <v>130</v>
      </c>
      <c r="E448" s="94">
        <v>2</v>
      </c>
      <c r="F448" s="94">
        <f t="shared" ref="F448:F479" si="109">+F447</f>
        <v>2</v>
      </c>
      <c r="G448" s="94">
        <v>0</v>
      </c>
      <c r="H448" s="113">
        <v>0</v>
      </c>
      <c r="I448" s="272" t="s">
        <v>456</v>
      </c>
      <c r="J448" s="273"/>
      <c r="K448" s="93" t="s">
        <v>455</v>
      </c>
      <c r="L448" s="121"/>
      <c r="M448" s="121"/>
      <c r="N448" s="176" t="s">
        <v>454</v>
      </c>
      <c r="O448" s="176"/>
      <c r="P448" s="176" t="s">
        <v>453</v>
      </c>
      <c r="Q448" s="176"/>
      <c r="R448" s="176" t="s">
        <v>452</v>
      </c>
      <c r="S448" s="104"/>
      <c r="T448" s="104"/>
      <c r="U448" s="104"/>
      <c r="V448" s="104"/>
      <c r="X448" s="104"/>
      <c r="Y448" s="160"/>
      <c r="Z448" s="104"/>
      <c r="AA448" s="9"/>
      <c r="AB448" s="9"/>
    </row>
    <row r="449" spans="1:36" ht="13.5" thickBot="1" x14ac:dyDescent="0.35">
      <c r="A449" s="102" t="str">
        <f t="shared" si="106"/>
        <v>BSR130</v>
      </c>
      <c r="B449" s="93" t="str">
        <f t="shared" si="107"/>
        <v>DX02</v>
      </c>
      <c r="C449" s="93" t="str">
        <f t="shared" si="108"/>
        <v>DIO1</v>
      </c>
      <c r="D449" s="94">
        <f t="shared" si="105"/>
        <v>130</v>
      </c>
      <c r="E449" s="94">
        <v>2</v>
      </c>
      <c r="F449" s="94">
        <f t="shared" si="109"/>
        <v>2</v>
      </c>
      <c r="G449" s="94">
        <v>0</v>
      </c>
      <c r="H449" s="113">
        <v>0</v>
      </c>
      <c r="I449" s="272" t="s">
        <v>451</v>
      </c>
      <c r="J449" s="274"/>
      <c r="K449" s="92" t="s">
        <v>450</v>
      </c>
      <c r="L449" s="107" t="s">
        <v>449</v>
      </c>
      <c r="M449" s="177"/>
      <c r="N449" s="176">
        <f>+COUNTA(L450:L633)</f>
        <v>160</v>
      </c>
      <c r="O449" s="176"/>
      <c r="P449" s="176">
        <f>+COUNTA(P450:P633)</f>
        <v>111</v>
      </c>
      <c r="Q449" s="176"/>
      <c r="R449" s="69">
        <f>+P449/N449</f>
        <v>0.69374999999999998</v>
      </c>
      <c r="S449" s="104"/>
      <c r="T449" s="175"/>
      <c r="U449" s="104"/>
      <c r="V449" s="104"/>
      <c r="W449" s="92" t="str">
        <f t="shared" ref="W449:W480" si="110">+CONCATENATE(E449,".",F449,"\",G449,".",H449,":",I449)</f>
        <v>2.2\0.0:Comms</v>
      </c>
      <c r="X449" s="104"/>
      <c r="Y449" s="160"/>
      <c r="Z449" s="104"/>
      <c r="AA449" s="104"/>
      <c r="AB449" s="104"/>
    </row>
    <row r="450" spans="1:36" x14ac:dyDescent="0.3">
      <c r="A450" s="102" t="str">
        <f t="shared" si="106"/>
        <v>BSR130</v>
      </c>
      <c r="B450" s="93" t="str">
        <f t="shared" si="107"/>
        <v>DX02</v>
      </c>
      <c r="C450" s="93" t="str">
        <f t="shared" si="108"/>
        <v>DIO1</v>
      </c>
      <c r="D450" s="94">
        <f t="shared" si="105"/>
        <v>130</v>
      </c>
      <c r="E450" s="94">
        <v>2</v>
      </c>
      <c r="F450" s="94">
        <f t="shared" si="109"/>
        <v>2</v>
      </c>
      <c r="G450" s="94">
        <v>0</v>
      </c>
      <c r="H450" s="173">
        <f>+H449+1</f>
        <v>1</v>
      </c>
      <c r="I450" s="165">
        <v>0</v>
      </c>
      <c r="J450" s="172" t="s">
        <v>316</v>
      </c>
      <c r="K450" s="93" t="s">
        <v>315</v>
      </c>
      <c r="L450" s="92" t="s">
        <v>21</v>
      </c>
      <c r="M450" s="92"/>
      <c r="N450" s="92">
        <v>4</v>
      </c>
      <c r="O450" s="92" t="s">
        <v>323</v>
      </c>
      <c r="P450" s="93" t="s">
        <v>448</v>
      </c>
      <c r="Q450" s="93"/>
      <c r="R450" s="93" t="s">
        <v>447</v>
      </c>
      <c r="S450" s="93" t="s">
        <v>18</v>
      </c>
      <c r="T450" s="92" t="s">
        <v>446</v>
      </c>
      <c r="U450" s="92" t="s">
        <v>323</v>
      </c>
      <c r="W450" s="92" t="str">
        <f t="shared" si="110"/>
        <v>2.2\0.1:0</v>
      </c>
      <c r="X450" s="92" t="s">
        <v>442</v>
      </c>
      <c r="Y450" s="113" t="s">
        <v>4</v>
      </c>
      <c r="Z450" s="276" t="s">
        <v>445</v>
      </c>
      <c r="AA450" s="104"/>
      <c r="AB450" s="104"/>
      <c r="AH450" s="94" t="s">
        <v>404</v>
      </c>
      <c r="AI450" s="168">
        <v>1</v>
      </c>
      <c r="AJ450" s="168">
        <v>2</v>
      </c>
    </row>
    <row r="451" spans="1:36" x14ac:dyDescent="0.3">
      <c r="A451" s="102" t="str">
        <f t="shared" si="106"/>
        <v>BSR130</v>
      </c>
      <c r="B451" s="93" t="str">
        <f t="shared" si="107"/>
        <v>DX02</v>
      </c>
      <c r="C451" s="93" t="str">
        <f t="shared" si="108"/>
        <v>DIO1</v>
      </c>
      <c r="D451" s="94">
        <f t="shared" si="105"/>
        <v>130</v>
      </c>
      <c r="E451" s="94">
        <v>2</v>
      </c>
      <c r="F451" s="94">
        <f t="shared" si="109"/>
        <v>2</v>
      </c>
      <c r="G451" s="94">
        <v>0</v>
      </c>
      <c r="H451" s="171">
        <f>H450</f>
        <v>1</v>
      </c>
      <c r="I451" s="163">
        <f t="shared" ref="I451:I481" si="111">+I450+1</f>
        <v>1</v>
      </c>
      <c r="J451" s="172"/>
      <c r="K451" s="92"/>
      <c r="L451" s="92" t="s">
        <v>21</v>
      </c>
      <c r="M451" s="92"/>
      <c r="N451" s="92">
        <v>4</v>
      </c>
      <c r="O451" s="92" t="s">
        <v>323</v>
      </c>
      <c r="P451" s="93" t="s">
        <v>435</v>
      </c>
      <c r="Q451" s="93"/>
      <c r="R451" s="92" t="s">
        <v>444</v>
      </c>
      <c r="S451" s="93" t="s">
        <v>18</v>
      </c>
      <c r="T451" s="92" t="s">
        <v>443</v>
      </c>
      <c r="U451" s="92" t="s">
        <v>323</v>
      </c>
      <c r="W451" s="92" t="str">
        <f t="shared" si="110"/>
        <v>2.2\0.1:1</v>
      </c>
      <c r="X451" s="92" t="s">
        <v>442</v>
      </c>
      <c r="Y451" s="113" t="s">
        <v>4</v>
      </c>
      <c r="Z451" s="276"/>
      <c r="AA451" s="104"/>
      <c r="AB451" s="104"/>
      <c r="AH451" s="94" t="s">
        <v>404</v>
      </c>
      <c r="AI451" s="168">
        <v>3</v>
      </c>
      <c r="AJ451" s="168">
        <v>4</v>
      </c>
    </row>
    <row r="452" spans="1:36" x14ac:dyDescent="0.3">
      <c r="A452" s="102" t="str">
        <f t="shared" si="106"/>
        <v>BSR130</v>
      </c>
      <c r="B452" s="93" t="str">
        <f t="shared" si="107"/>
        <v>DX02</v>
      </c>
      <c r="C452" s="93" t="str">
        <f t="shared" si="108"/>
        <v>DIO1</v>
      </c>
      <c r="D452" s="94">
        <f t="shared" si="105"/>
        <v>130</v>
      </c>
      <c r="E452" s="94">
        <v>2</v>
      </c>
      <c r="F452" s="94">
        <f t="shared" si="109"/>
        <v>2</v>
      </c>
      <c r="G452" s="94">
        <v>0</v>
      </c>
      <c r="H452" s="171">
        <f>H450</f>
        <v>1</v>
      </c>
      <c r="I452" s="163">
        <f t="shared" si="111"/>
        <v>2</v>
      </c>
      <c r="J452" s="172"/>
      <c r="K452" s="124"/>
      <c r="L452" s="92" t="s">
        <v>21</v>
      </c>
      <c r="M452" s="92"/>
      <c r="N452" s="92"/>
      <c r="O452" s="139"/>
      <c r="P452" s="93"/>
      <c r="Q452" s="93"/>
      <c r="R452" s="92" t="s">
        <v>302</v>
      </c>
      <c r="S452" s="93" t="s">
        <v>302</v>
      </c>
      <c r="W452" s="92" t="str">
        <f t="shared" si="110"/>
        <v>2.2\0.1:2</v>
      </c>
      <c r="X452" s="92"/>
      <c r="Y452" s="113"/>
      <c r="Z452" s="93"/>
      <c r="AA452" s="104"/>
      <c r="AB452" s="104"/>
      <c r="AH452" s="94" t="s">
        <v>404</v>
      </c>
      <c r="AI452" s="168">
        <v>5</v>
      </c>
      <c r="AJ452" s="168">
        <v>6</v>
      </c>
    </row>
    <row r="453" spans="1:36" x14ac:dyDescent="0.3">
      <c r="A453" s="102" t="str">
        <f t="shared" si="106"/>
        <v>BSR130</v>
      </c>
      <c r="B453" s="93" t="str">
        <f t="shared" si="107"/>
        <v>DX02</v>
      </c>
      <c r="C453" s="93" t="str">
        <f t="shared" si="108"/>
        <v>DIO1</v>
      </c>
      <c r="D453" s="94">
        <f t="shared" si="105"/>
        <v>130</v>
      </c>
      <c r="E453" s="94">
        <v>2</v>
      </c>
      <c r="F453" s="94">
        <f t="shared" si="109"/>
        <v>2</v>
      </c>
      <c r="G453" s="94">
        <v>0</v>
      </c>
      <c r="H453" s="171">
        <f t="shared" ref="H453:H464" si="112">H450</f>
        <v>1</v>
      </c>
      <c r="I453" s="163">
        <f t="shared" si="111"/>
        <v>3</v>
      </c>
      <c r="J453" s="172"/>
      <c r="K453" s="124"/>
      <c r="L453" s="92" t="s">
        <v>21</v>
      </c>
      <c r="M453" s="92"/>
      <c r="N453" s="92">
        <v>4</v>
      </c>
      <c r="O453" s="92" t="s">
        <v>14</v>
      </c>
      <c r="P453" s="93" t="s">
        <v>320</v>
      </c>
      <c r="Q453" s="93"/>
      <c r="R453" s="92" t="s">
        <v>441</v>
      </c>
      <c r="S453" s="93" t="s">
        <v>18</v>
      </c>
      <c r="T453" s="92" t="s">
        <v>372</v>
      </c>
      <c r="U453" s="92" t="s">
        <v>14</v>
      </c>
      <c r="W453" s="92" t="str">
        <f t="shared" si="110"/>
        <v>2.2\0.1:3</v>
      </c>
      <c r="X453" s="92" t="s">
        <v>428</v>
      </c>
      <c r="Y453" s="113"/>
      <c r="Z453" s="277" t="s">
        <v>440</v>
      </c>
      <c r="AA453" s="104"/>
      <c r="AB453" s="104"/>
      <c r="AH453" s="94" t="s">
        <v>404</v>
      </c>
      <c r="AI453" s="168">
        <v>7</v>
      </c>
      <c r="AJ453" s="168">
        <v>8</v>
      </c>
    </row>
    <row r="454" spans="1:36" x14ac:dyDescent="0.3">
      <c r="A454" s="102" t="str">
        <f t="shared" si="106"/>
        <v>BSR130</v>
      </c>
      <c r="B454" s="93" t="str">
        <f t="shared" si="107"/>
        <v>DX02</v>
      </c>
      <c r="C454" s="93" t="str">
        <f t="shared" si="108"/>
        <v>DIO1</v>
      </c>
      <c r="D454" s="94">
        <f t="shared" si="105"/>
        <v>130</v>
      </c>
      <c r="E454" s="94">
        <v>2</v>
      </c>
      <c r="F454" s="94">
        <f t="shared" si="109"/>
        <v>2</v>
      </c>
      <c r="G454" s="94">
        <v>0</v>
      </c>
      <c r="H454" s="171">
        <f t="shared" si="112"/>
        <v>1</v>
      </c>
      <c r="I454" s="163">
        <f t="shared" si="111"/>
        <v>4</v>
      </c>
      <c r="J454" s="172"/>
      <c r="K454" s="124"/>
      <c r="L454" s="92" t="s">
        <v>21</v>
      </c>
      <c r="M454" s="92"/>
      <c r="N454" s="92">
        <v>4</v>
      </c>
      <c r="O454" s="92" t="s">
        <v>14</v>
      </c>
      <c r="P454" s="93" t="s">
        <v>439</v>
      </c>
      <c r="Q454" s="93"/>
      <c r="R454" s="93" t="s">
        <v>438</v>
      </c>
      <c r="S454" s="93" t="s">
        <v>18</v>
      </c>
      <c r="T454" s="92" t="s">
        <v>437</v>
      </c>
      <c r="U454" s="92" t="s">
        <v>14</v>
      </c>
      <c r="W454" s="92" t="str">
        <f t="shared" si="110"/>
        <v>2.2\0.1:4</v>
      </c>
      <c r="X454" s="92" t="s">
        <v>428</v>
      </c>
      <c r="Y454" s="113"/>
      <c r="Z454" s="276"/>
      <c r="AA454" s="104"/>
      <c r="AB454" s="104"/>
      <c r="AH454" s="94" t="s">
        <v>404</v>
      </c>
      <c r="AI454" s="168">
        <v>9</v>
      </c>
      <c r="AJ454" s="168">
        <v>10</v>
      </c>
    </row>
    <row r="455" spans="1:36" x14ac:dyDescent="0.3">
      <c r="A455" s="102" t="str">
        <f t="shared" si="106"/>
        <v>BSR130</v>
      </c>
      <c r="B455" s="93" t="str">
        <f t="shared" si="107"/>
        <v>DX02</v>
      </c>
      <c r="C455" s="93" t="str">
        <f t="shared" si="108"/>
        <v>DIO1</v>
      </c>
      <c r="D455" s="94">
        <f t="shared" si="105"/>
        <v>130</v>
      </c>
      <c r="E455" s="94">
        <v>2</v>
      </c>
      <c r="F455" s="94">
        <f t="shared" si="109"/>
        <v>2</v>
      </c>
      <c r="G455" s="94">
        <v>0</v>
      </c>
      <c r="H455" s="171">
        <f t="shared" si="112"/>
        <v>1</v>
      </c>
      <c r="I455" s="163">
        <f t="shared" si="111"/>
        <v>5</v>
      </c>
      <c r="J455" s="172"/>
      <c r="K455" s="124"/>
      <c r="L455" s="92" t="s">
        <v>21</v>
      </c>
      <c r="M455" s="92"/>
      <c r="N455" s="92">
        <v>4</v>
      </c>
      <c r="O455" s="92" t="s">
        <v>14</v>
      </c>
      <c r="P455" s="93" t="s">
        <v>68</v>
      </c>
      <c r="Q455" s="93"/>
      <c r="R455" s="93" t="s">
        <v>436</v>
      </c>
      <c r="S455" s="93" t="s">
        <v>18</v>
      </c>
      <c r="U455" s="92" t="s">
        <v>14</v>
      </c>
      <c r="V455" s="68"/>
      <c r="W455" s="92" t="str">
        <f t="shared" si="110"/>
        <v>2.2\0.1:5</v>
      </c>
      <c r="X455" s="92" t="s">
        <v>428</v>
      </c>
      <c r="Y455" s="113"/>
      <c r="Z455" s="276"/>
      <c r="AA455" s="104"/>
      <c r="AB455" s="104"/>
      <c r="AH455" s="94" t="s">
        <v>404</v>
      </c>
      <c r="AI455" s="168">
        <v>11</v>
      </c>
      <c r="AJ455" s="168">
        <v>12</v>
      </c>
    </row>
    <row r="456" spans="1:36" x14ac:dyDescent="0.3">
      <c r="A456" s="102" t="str">
        <f t="shared" si="106"/>
        <v>BSR130</v>
      </c>
      <c r="B456" s="93" t="str">
        <f t="shared" si="107"/>
        <v>DX02</v>
      </c>
      <c r="C456" s="93" t="str">
        <f t="shared" si="108"/>
        <v>DIO1</v>
      </c>
      <c r="D456" s="94">
        <f t="shared" si="105"/>
        <v>130</v>
      </c>
      <c r="E456" s="94">
        <v>2</v>
      </c>
      <c r="F456" s="94">
        <f t="shared" si="109"/>
        <v>2</v>
      </c>
      <c r="G456" s="94">
        <v>0</v>
      </c>
      <c r="H456" s="171">
        <f t="shared" si="112"/>
        <v>1</v>
      </c>
      <c r="I456" s="163">
        <f t="shared" si="111"/>
        <v>6</v>
      </c>
      <c r="J456" s="172"/>
      <c r="K456" s="124"/>
      <c r="L456" s="92" t="s">
        <v>21</v>
      </c>
      <c r="M456" s="92"/>
      <c r="N456" s="92">
        <v>4</v>
      </c>
      <c r="O456" s="92" t="s">
        <v>14</v>
      </c>
      <c r="P456" s="93" t="s">
        <v>435</v>
      </c>
      <c r="Q456" s="93"/>
      <c r="R456" s="93" t="s">
        <v>434</v>
      </c>
      <c r="S456" s="93" t="s">
        <v>18</v>
      </c>
      <c r="U456" s="92" t="s">
        <v>14</v>
      </c>
      <c r="V456" s="68"/>
      <c r="W456" s="92" t="str">
        <f t="shared" si="110"/>
        <v>2.2\0.1:6</v>
      </c>
      <c r="X456" s="92" t="s">
        <v>428</v>
      </c>
      <c r="Y456" s="113"/>
      <c r="Z456" s="276"/>
      <c r="AA456" s="104"/>
      <c r="AB456" s="104"/>
      <c r="AH456" s="94" t="s">
        <v>404</v>
      </c>
      <c r="AI456" s="168">
        <v>13</v>
      </c>
      <c r="AJ456" s="168">
        <v>14</v>
      </c>
    </row>
    <row r="457" spans="1:36" x14ac:dyDescent="0.3">
      <c r="A457" s="102" t="str">
        <f t="shared" si="106"/>
        <v>BSR130</v>
      </c>
      <c r="B457" s="93" t="str">
        <f t="shared" si="107"/>
        <v>DX02</v>
      </c>
      <c r="C457" s="93" t="str">
        <f t="shared" si="108"/>
        <v>DIO1</v>
      </c>
      <c r="D457" s="94">
        <f t="shared" si="105"/>
        <v>130</v>
      </c>
      <c r="E457" s="94">
        <v>2</v>
      </c>
      <c r="F457" s="94">
        <f t="shared" si="109"/>
        <v>2</v>
      </c>
      <c r="G457" s="94">
        <v>0</v>
      </c>
      <c r="H457" s="171">
        <f t="shared" si="112"/>
        <v>1</v>
      </c>
      <c r="I457" s="163">
        <f t="shared" si="111"/>
        <v>7</v>
      </c>
      <c r="J457" s="172"/>
      <c r="K457" s="124"/>
      <c r="L457" s="92" t="s">
        <v>21</v>
      </c>
      <c r="M457" s="92"/>
      <c r="N457" s="92">
        <v>4</v>
      </c>
      <c r="O457" s="92" t="s">
        <v>14</v>
      </c>
      <c r="P457" s="93" t="s">
        <v>367</v>
      </c>
      <c r="Q457" s="93"/>
      <c r="R457" s="93" t="s">
        <v>433</v>
      </c>
      <c r="S457" s="93" t="s">
        <v>18</v>
      </c>
      <c r="T457" s="92" t="s">
        <v>365</v>
      </c>
      <c r="U457" s="92" t="s">
        <v>14</v>
      </c>
      <c r="V457" s="68"/>
      <c r="W457" s="92" t="str">
        <f t="shared" si="110"/>
        <v>2.2\0.1:7</v>
      </c>
      <c r="X457" s="92" t="s">
        <v>428</v>
      </c>
      <c r="Y457" s="113"/>
      <c r="Z457" s="276"/>
      <c r="AA457" s="104"/>
      <c r="AB457" s="104"/>
      <c r="AH457" s="94" t="s">
        <v>404</v>
      </c>
      <c r="AI457" s="168">
        <v>15</v>
      </c>
      <c r="AJ457" s="168">
        <v>16</v>
      </c>
    </row>
    <row r="458" spans="1:36" x14ac:dyDescent="0.3">
      <c r="A458" s="102" t="str">
        <f t="shared" si="106"/>
        <v>BSR130</v>
      </c>
      <c r="B458" s="93" t="str">
        <f t="shared" si="107"/>
        <v>DX02</v>
      </c>
      <c r="C458" s="93" t="str">
        <f t="shared" si="108"/>
        <v>DIO1</v>
      </c>
      <c r="D458" s="94">
        <f t="shared" si="105"/>
        <v>130</v>
      </c>
      <c r="E458" s="94">
        <v>2</v>
      </c>
      <c r="F458" s="94">
        <f t="shared" si="109"/>
        <v>2</v>
      </c>
      <c r="G458" s="94">
        <v>0</v>
      </c>
      <c r="H458" s="171">
        <f t="shared" si="112"/>
        <v>1</v>
      </c>
      <c r="I458" s="163">
        <f t="shared" si="111"/>
        <v>8</v>
      </c>
      <c r="J458" s="172"/>
      <c r="K458" s="124"/>
      <c r="L458" s="92" t="s">
        <v>21</v>
      </c>
      <c r="M458" s="92"/>
      <c r="N458" s="92">
        <v>4</v>
      </c>
      <c r="O458" s="92" t="s">
        <v>14</v>
      </c>
      <c r="P458" s="93" t="s">
        <v>364</v>
      </c>
      <c r="Q458" s="93"/>
      <c r="R458" s="93" t="s">
        <v>432</v>
      </c>
      <c r="S458" s="93" t="s">
        <v>18</v>
      </c>
      <c r="T458" s="92" t="s">
        <v>362</v>
      </c>
      <c r="U458" s="92" t="s">
        <v>14</v>
      </c>
      <c r="V458" s="68"/>
      <c r="W458" s="92" t="str">
        <f t="shared" si="110"/>
        <v>2.2\0.1:8</v>
      </c>
      <c r="X458" s="92" t="s">
        <v>428</v>
      </c>
      <c r="Y458" s="113"/>
      <c r="Z458" s="276"/>
      <c r="AA458" s="104"/>
      <c r="AB458" s="104"/>
      <c r="AH458" s="94" t="s">
        <v>404</v>
      </c>
      <c r="AI458" s="168">
        <v>17</v>
      </c>
      <c r="AJ458" s="168">
        <v>18</v>
      </c>
    </row>
    <row r="459" spans="1:36" x14ac:dyDescent="0.3">
      <c r="A459" s="102" t="str">
        <f t="shared" si="106"/>
        <v>BSR130</v>
      </c>
      <c r="B459" s="93" t="str">
        <f t="shared" si="107"/>
        <v>DX02</v>
      </c>
      <c r="C459" s="93" t="str">
        <f t="shared" si="108"/>
        <v>DIO1</v>
      </c>
      <c r="D459" s="94">
        <f t="shared" si="105"/>
        <v>130</v>
      </c>
      <c r="E459" s="94">
        <v>2</v>
      </c>
      <c r="F459" s="94">
        <f t="shared" si="109"/>
        <v>2</v>
      </c>
      <c r="G459" s="94">
        <v>0</v>
      </c>
      <c r="H459" s="171">
        <f t="shared" si="112"/>
        <v>1</v>
      </c>
      <c r="I459" s="163">
        <f t="shared" si="111"/>
        <v>9</v>
      </c>
      <c r="J459" s="172"/>
      <c r="K459" s="124"/>
      <c r="L459" s="92" t="s">
        <v>21</v>
      </c>
      <c r="M459" s="92"/>
      <c r="N459" s="92">
        <v>4</v>
      </c>
      <c r="O459" s="92" t="s">
        <v>14</v>
      </c>
      <c r="P459" s="93" t="s">
        <v>361</v>
      </c>
      <c r="Q459" s="93"/>
      <c r="R459" s="93" t="s">
        <v>431</v>
      </c>
      <c r="S459" s="93" t="s">
        <v>18</v>
      </c>
      <c r="T459" s="92" t="s">
        <v>359</v>
      </c>
      <c r="U459" s="92" t="s">
        <v>14</v>
      </c>
      <c r="V459" s="68"/>
      <c r="W459" s="92" t="str">
        <f t="shared" si="110"/>
        <v>2.2\0.1:9</v>
      </c>
      <c r="X459" s="92" t="s">
        <v>428</v>
      </c>
      <c r="Y459" s="113"/>
      <c r="Z459" s="276"/>
      <c r="AA459" s="104"/>
      <c r="AB459" s="104"/>
      <c r="AH459" s="94" t="s">
        <v>404</v>
      </c>
      <c r="AI459" s="168">
        <v>19</v>
      </c>
      <c r="AJ459" s="168">
        <v>20</v>
      </c>
    </row>
    <row r="460" spans="1:36" x14ac:dyDescent="0.3">
      <c r="A460" s="102" t="str">
        <f t="shared" si="106"/>
        <v>BSR130</v>
      </c>
      <c r="B460" s="93" t="str">
        <f t="shared" si="107"/>
        <v>DX02</v>
      </c>
      <c r="C460" s="93" t="str">
        <f t="shared" si="108"/>
        <v>DIO1</v>
      </c>
      <c r="D460" s="94">
        <f t="shared" si="105"/>
        <v>130</v>
      </c>
      <c r="E460" s="94">
        <v>2</v>
      </c>
      <c r="F460" s="94">
        <f t="shared" si="109"/>
        <v>2</v>
      </c>
      <c r="G460" s="94">
        <v>0</v>
      </c>
      <c r="H460" s="171">
        <f t="shared" si="112"/>
        <v>1</v>
      </c>
      <c r="I460" s="163">
        <f t="shared" si="111"/>
        <v>10</v>
      </c>
      <c r="J460" s="172"/>
      <c r="K460" s="124"/>
      <c r="L460" s="92" t="s">
        <v>21</v>
      </c>
      <c r="M460" s="92"/>
      <c r="N460" s="92">
        <v>4</v>
      </c>
      <c r="O460" s="92" t="s">
        <v>14</v>
      </c>
      <c r="P460" s="93" t="s">
        <v>422</v>
      </c>
      <c r="Q460" s="93"/>
      <c r="R460" s="93" t="s">
        <v>430</v>
      </c>
      <c r="S460" s="93" t="s">
        <v>18</v>
      </c>
      <c r="T460" s="92" t="s">
        <v>420</v>
      </c>
      <c r="U460" s="92" t="s">
        <v>14</v>
      </c>
      <c r="W460" s="92" t="str">
        <f t="shared" si="110"/>
        <v>2.2\0.1:10</v>
      </c>
      <c r="X460" s="92" t="s">
        <v>428</v>
      </c>
      <c r="Y460" s="113"/>
      <c r="Z460" s="276"/>
      <c r="AA460" s="104"/>
      <c r="AB460" s="104"/>
      <c r="AH460" s="94" t="s">
        <v>404</v>
      </c>
      <c r="AI460" s="168">
        <v>21</v>
      </c>
      <c r="AJ460" s="168">
        <v>22</v>
      </c>
    </row>
    <row r="461" spans="1:36" x14ac:dyDescent="0.3">
      <c r="A461" s="102" t="str">
        <f t="shared" si="106"/>
        <v>BSR130</v>
      </c>
      <c r="B461" s="93" t="str">
        <f t="shared" si="107"/>
        <v>DX02</v>
      </c>
      <c r="C461" s="93" t="str">
        <f t="shared" si="108"/>
        <v>DIO1</v>
      </c>
      <c r="D461" s="94">
        <f t="shared" si="105"/>
        <v>130</v>
      </c>
      <c r="E461" s="94">
        <v>2</v>
      </c>
      <c r="F461" s="94">
        <f t="shared" si="109"/>
        <v>2</v>
      </c>
      <c r="G461" s="94">
        <v>0</v>
      </c>
      <c r="H461" s="171">
        <f t="shared" si="112"/>
        <v>1</v>
      </c>
      <c r="I461" s="163">
        <f t="shared" si="111"/>
        <v>11</v>
      </c>
      <c r="J461" s="172"/>
      <c r="K461" s="124"/>
      <c r="L461" s="92" t="s">
        <v>21</v>
      </c>
      <c r="M461" s="92"/>
      <c r="N461" s="92">
        <v>4</v>
      </c>
      <c r="O461" s="92" t="s">
        <v>14</v>
      </c>
      <c r="P461" s="67" t="s">
        <v>410</v>
      </c>
      <c r="Q461" s="66"/>
      <c r="R461" s="93" t="s">
        <v>429</v>
      </c>
      <c r="S461" s="93" t="s">
        <v>18</v>
      </c>
      <c r="T461" s="92" t="s">
        <v>406</v>
      </c>
      <c r="U461" s="92" t="s">
        <v>14</v>
      </c>
      <c r="W461" s="92" t="str">
        <f t="shared" si="110"/>
        <v>2.2\0.1:11</v>
      </c>
      <c r="X461" s="92" t="s">
        <v>428</v>
      </c>
      <c r="Y461" s="113"/>
      <c r="Z461" s="276"/>
      <c r="AA461" s="104"/>
      <c r="AB461" s="104"/>
      <c r="AH461" s="94" t="s">
        <v>404</v>
      </c>
      <c r="AI461" s="168">
        <v>23</v>
      </c>
      <c r="AJ461" s="168">
        <v>24</v>
      </c>
    </row>
    <row r="462" spans="1:36" ht="14.5" x14ac:dyDescent="0.3">
      <c r="A462" s="102" t="str">
        <f t="shared" si="106"/>
        <v>BSR130</v>
      </c>
      <c r="B462" s="93" t="str">
        <f t="shared" si="107"/>
        <v>DX02</v>
      </c>
      <c r="C462" s="93" t="str">
        <f t="shared" si="108"/>
        <v>DIO1</v>
      </c>
      <c r="D462" s="94">
        <f t="shared" si="105"/>
        <v>130</v>
      </c>
      <c r="E462" s="94">
        <v>2</v>
      </c>
      <c r="F462" s="94">
        <f t="shared" si="109"/>
        <v>2</v>
      </c>
      <c r="G462" s="94">
        <v>0</v>
      </c>
      <c r="H462" s="171">
        <f t="shared" si="112"/>
        <v>1</v>
      </c>
      <c r="I462" s="163">
        <f t="shared" si="111"/>
        <v>12</v>
      </c>
      <c r="J462" s="172"/>
      <c r="K462" s="124"/>
      <c r="L462" s="92" t="s">
        <v>21</v>
      </c>
      <c r="M462" s="92"/>
      <c r="N462" s="92"/>
      <c r="O462" s="139"/>
      <c r="P462" s="93"/>
      <c r="Q462" s="93"/>
      <c r="R462" s="12" t="s">
        <v>302</v>
      </c>
      <c r="S462" s="12" t="s">
        <v>302</v>
      </c>
      <c r="T462" s="12"/>
      <c r="U462" s="13"/>
      <c r="W462" s="92" t="str">
        <f t="shared" si="110"/>
        <v>2.2\0.1:12</v>
      </c>
      <c r="X462" s="92"/>
      <c r="Y462" s="113"/>
      <c r="Z462" s="147"/>
      <c r="AA462" s="104"/>
      <c r="AB462" s="104"/>
      <c r="AH462" s="94" t="s">
        <v>404</v>
      </c>
      <c r="AI462" s="168">
        <v>25</v>
      </c>
      <c r="AJ462" s="168">
        <v>26</v>
      </c>
    </row>
    <row r="463" spans="1:36" x14ac:dyDescent="0.3">
      <c r="A463" s="102" t="str">
        <f t="shared" si="106"/>
        <v>BSR130</v>
      </c>
      <c r="B463" s="93" t="str">
        <f t="shared" si="107"/>
        <v>DX02</v>
      </c>
      <c r="C463" s="93" t="str">
        <f t="shared" si="108"/>
        <v>DIO1</v>
      </c>
      <c r="D463" s="94">
        <f t="shared" si="105"/>
        <v>130</v>
      </c>
      <c r="E463" s="94">
        <v>2</v>
      </c>
      <c r="F463" s="94">
        <f t="shared" si="109"/>
        <v>2</v>
      </c>
      <c r="G463" s="94">
        <v>0</v>
      </c>
      <c r="H463" s="171">
        <f t="shared" si="112"/>
        <v>1</v>
      </c>
      <c r="I463" s="163">
        <f t="shared" si="111"/>
        <v>13</v>
      </c>
      <c r="J463" s="172"/>
      <c r="K463" s="124"/>
      <c r="L463" s="92" t="s">
        <v>21</v>
      </c>
      <c r="M463" s="92"/>
      <c r="N463" s="92">
        <v>4</v>
      </c>
      <c r="O463" s="92" t="s">
        <v>10</v>
      </c>
      <c r="P463" s="12" t="s">
        <v>320</v>
      </c>
      <c r="Q463" s="12"/>
      <c r="R463" s="12" t="s">
        <v>427</v>
      </c>
      <c r="S463" s="12" t="s">
        <v>18</v>
      </c>
      <c r="T463" s="92" t="s">
        <v>372</v>
      </c>
      <c r="U463" s="13" t="s">
        <v>10</v>
      </c>
      <c r="W463" s="92" t="str">
        <f t="shared" si="110"/>
        <v>2.2\0.1:13</v>
      </c>
      <c r="X463" s="92" t="s">
        <v>418</v>
      </c>
      <c r="Y463" s="113"/>
      <c r="Z463" s="277" t="s">
        <v>426</v>
      </c>
      <c r="AA463" s="104"/>
      <c r="AB463" s="104"/>
      <c r="AH463" s="94" t="s">
        <v>404</v>
      </c>
      <c r="AI463" s="168">
        <v>27</v>
      </c>
      <c r="AJ463" s="168">
        <v>28</v>
      </c>
    </row>
    <row r="464" spans="1:36" x14ac:dyDescent="0.3">
      <c r="A464" s="102" t="str">
        <f t="shared" si="106"/>
        <v>BSR130</v>
      </c>
      <c r="B464" s="93" t="str">
        <f t="shared" si="107"/>
        <v>DX02</v>
      </c>
      <c r="C464" s="93" t="str">
        <f t="shared" si="108"/>
        <v>DIO1</v>
      </c>
      <c r="D464" s="94">
        <f t="shared" si="105"/>
        <v>130</v>
      </c>
      <c r="E464" s="94">
        <v>2</v>
      </c>
      <c r="F464" s="94">
        <f t="shared" si="109"/>
        <v>2</v>
      </c>
      <c r="G464" s="94">
        <v>0</v>
      </c>
      <c r="H464" s="171">
        <f t="shared" si="112"/>
        <v>1</v>
      </c>
      <c r="I464" s="163">
        <f t="shared" si="111"/>
        <v>14</v>
      </c>
      <c r="J464" s="172"/>
      <c r="K464" s="124"/>
      <c r="L464" s="92" t="s">
        <v>21</v>
      </c>
      <c r="M464" s="92"/>
      <c r="N464" s="92">
        <v>4</v>
      </c>
      <c r="O464" s="92" t="s">
        <v>10</v>
      </c>
      <c r="P464" s="93" t="s">
        <v>367</v>
      </c>
      <c r="Q464" s="93"/>
      <c r="R464" s="92" t="s">
        <v>425</v>
      </c>
      <c r="S464" s="92" t="s">
        <v>18</v>
      </c>
      <c r="T464" s="92" t="s">
        <v>365</v>
      </c>
      <c r="U464" s="92" t="s">
        <v>10</v>
      </c>
      <c r="W464" s="92" t="str">
        <f t="shared" si="110"/>
        <v>2.2\0.1:14</v>
      </c>
      <c r="X464" s="92" t="s">
        <v>418</v>
      </c>
      <c r="Y464" s="113"/>
      <c r="Z464" s="277"/>
      <c r="AA464" s="104"/>
      <c r="AB464" s="104"/>
      <c r="AH464" s="94" t="s">
        <v>404</v>
      </c>
      <c r="AI464" s="168">
        <v>29</v>
      </c>
      <c r="AJ464" s="168">
        <v>30</v>
      </c>
    </row>
    <row r="465" spans="1:36" x14ac:dyDescent="0.3">
      <c r="A465" s="102" t="str">
        <f t="shared" si="106"/>
        <v>BSR130</v>
      </c>
      <c r="B465" s="93" t="str">
        <f t="shared" si="107"/>
        <v>DX02</v>
      </c>
      <c r="C465" s="93" t="str">
        <f t="shared" si="108"/>
        <v>DIO1</v>
      </c>
      <c r="D465" s="94">
        <f t="shared" si="105"/>
        <v>130</v>
      </c>
      <c r="E465" s="94">
        <v>2</v>
      </c>
      <c r="F465" s="94">
        <f t="shared" si="109"/>
        <v>2</v>
      </c>
      <c r="G465" s="94">
        <v>0</v>
      </c>
      <c r="H465" s="171">
        <f t="shared" ref="H465:H481" si="113">H461</f>
        <v>1</v>
      </c>
      <c r="I465" s="163">
        <f t="shared" si="111"/>
        <v>15</v>
      </c>
      <c r="J465" s="172"/>
      <c r="K465" s="124"/>
      <c r="L465" s="92" t="s">
        <v>21</v>
      </c>
      <c r="M465" s="92"/>
      <c r="N465" s="92">
        <v>4</v>
      </c>
      <c r="O465" s="92" t="s">
        <v>10</v>
      </c>
      <c r="P465" s="92" t="s">
        <v>364</v>
      </c>
      <c r="R465" s="92" t="s">
        <v>424</v>
      </c>
      <c r="S465" s="92" t="s">
        <v>18</v>
      </c>
      <c r="T465" s="92" t="s">
        <v>362</v>
      </c>
      <c r="U465" s="92" t="s">
        <v>10</v>
      </c>
      <c r="W465" s="92" t="str">
        <f t="shared" si="110"/>
        <v>2.2\0.1:15</v>
      </c>
      <c r="X465" s="92" t="s">
        <v>418</v>
      </c>
      <c r="Y465" s="113"/>
      <c r="Z465" s="277"/>
      <c r="AA465" s="104"/>
      <c r="AB465" s="104"/>
      <c r="AH465" s="94" t="s">
        <v>404</v>
      </c>
      <c r="AI465" s="168">
        <v>31</v>
      </c>
      <c r="AJ465" s="168">
        <v>32</v>
      </c>
    </row>
    <row r="466" spans="1:36" x14ac:dyDescent="0.3">
      <c r="A466" s="102" t="str">
        <f t="shared" si="106"/>
        <v>BSR130</v>
      </c>
      <c r="B466" s="93" t="str">
        <f t="shared" si="107"/>
        <v>DX02</v>
      </c>
      <c r="C466" s="93" t="str">
        <f t="shared" si="108"/>
        <v>DIO1</v>
      </c>
      <c r="D466" s="94">
        <f t="shared" si="105"/>
        <v>130</v>
      </c>
      <c r="E466" s="94">
        <v>2</v>
      </c>
      <c r="F466" s="94">
        <f t="shared" si="109"/>
        <v>2</v>
      </c>
      <c r="G466" s="94">
        <v>0</v>
      </c>
      <c r="H466" s="171">
        <f t="shared" si="113"/>
        <v>1</v>
      </c>
      <c r="I466" s="163">
        <f t="shared" si="111"/>
        <v>16</v>
      </c>
      <c r="J466" s="172"/>
      <c r="K466" s="93"/>
      <c r="L466" s="92" t="s">
        <v>21</v>
      </c>
      <c r="M466" s="92"/>
      <c r="N466" s="92">
        <v>4</v>
      </c>
      <c r="O466" s="92" t="s">
        <v>10</v>
      </c>
      <c r="P466" s="7" t="s">
        <v>361</v>
      </c>
      <c r="Q466" s="7"/>
      <c r="R466" s="92" t="s">
        <v>423</v>
      </c>
      <c r="S466" s="92" t="s">
        <v>18</v>
      </c>
      <c r="T466" s="92" t="s">
        <v>359</v>
      </c>
      <c r="U466" s="92" t="s">
        <v>10</v>
      </c>
      <c r="W466" s="92" t="str">
        <f t="shared" si="110"/>
        <v>2.2\0.1:16</v>
      </c>
      <c r="X466" s="92" t="s">
        <v>418</v>
      </c>
      <c r="Y466" s="113"/>
      <c r="Z466" s="277"/>
      <c r="AA466" s="104"/>
      <c r="AB466" s="104"/>
      <c r="AH466" s="94" t="s">
        <v>404</v>
      </c>
      <c r="AI466" s="168">
        <v>33</v>
      </c>
      <c r="AJ466" s="168">
        <v>34</v>
      </c>
    </row>
    <row r="467" spans="1:36" x14ac:dyDescent="0.3">
      <c r="A467" s="102" t="str">
        <f t="shared" si="106"/>
        <v>BSR130</v>
      </c>
      <c r="B467" s="93" t="str">
        <f t="shared" si="107"/>
        <v>DX02</v>
      </c>
      <c r="C467" s="93" t="str">
        <f t="shared" si="108"/>
        <v>DIO1</v>
      </c>
      <c r="D467" s="94">
        <f t="shared" si="105"/>
        <v>130</v>
      </c>
      <c r="E467" s="94">
        <v>2</v>
      </c>
      <c r="F467" s="94">
        <f t="shared" si="109"/>
        <v>2</v>
      </c>
      <c r="G467" s="94">
        <v>0</v>
      </c>
      <c r="H467" s="171">
        <f t="shared" si="113"/>
        <v>1</v>
      </c>
      <c r="I467" s="163">
        <f t="shared" si="111"/>
        <v>17</v>
      </c>
      <c r="J467" s="172"/>
      <c r="K467" s="124"/>
      <c r="L467" s="92" t="s">
        <v>21</v>
      </c>
      <c r="M467" s="92"/>
      <c r="N467" s="92">
        <v>4</v>
      </c>
      <c r="O467" s="92" t="s">
        <v>10</v>
      </c>
      <c r="P467" s="92" t="s">
        <v>422</v>
      </c>
      <c r="R467" s="92" t="s">
        <v>421</v>
      </c>
      <c r="S467" s="92" t="s">
        <v>18</v>
      </c>
      <c r="T467" s="92" t="s">
        <v>420</v>
      </c>
      <c r="U467" s="92" t="s">
        <v>10</v>
      </c>
      <c r="W467" s="92" t="str">
        <f t="shared" si="110"/>
        <v>2.2\0.1:17</v>
      </c>
      <c r="X467" s="92" t="s">
        <v>418</v>
      </c>
      <c r="Y467" s="113"/>
      <c r="Z467" s="277"/>
      <c r="AA467" s="104"/>
      <c r="AB467" s="104"/>
      <c r="AH467" s="94" t="s">
        <v>404</v>
      </c>
      <c r="AI467" s="168">
        <v>35</v>
      </c>
      <c r="AJ467" s="168">
        <v>36</v>
      </c>
    </row>
    <row r="468" spans="1:36" x14ac:dyDescent="0.3">
      <c r="A468" s="102" t="str">
        <f t="shared" si="106"/>
        <v>BSR130</v>
      </c>
      <c r="B468" s="93" t="str">
        <f t="shared" si="107"/>
        <v>DX02</v>
      </c>
      <c r="C468" s="93" t="str">
        <f t="shared" si="108"/>
        <v>DIO1</v>
      </c>
      <c r="D468" s="94">
        <f t="shared" si="105"/>
        <v>130</v>
      </c>
      <c r="E468" s="94">
        <v>2</v>
      </c>
      <c r="F468" s="94">
        <f t="shared" si="109"/>
        <v>2</v>
      </c>
      <c r="G468" s="94">
        <v>0</v>
      </c>
      <c r="H468" s="171">
        <f t="shared" si="113"/>
        <v>1</v>
      </c>
      <c r="I468" s="163">
        <f t="shared" si="111"/>
        <v>18</v>
      </c>
      <c r="J468" s="172"/>
      <c r="K468" s="124"/>
      <c r="L468" s="92" t="s">
        <v>21</v>
      </c>
      <c r="M468" s="92"/>
      <c r="N468" s="92">
        <v>4</v>
      </c>
      <c r="O468" s="92" t="s">
        <v>10</v>
      </c>
      <c r="P468" s="67" t="s">
        <v>410</v>
      </c>
      <c r="Q468" s="66"/>
      <c r="R468" s="92" t="s">
        <v>419</v>
      </c>
      <c r="S468" s="92" t="s">
        <v>18</v>
      </c>
      <c r="T468" s="92" t="s">
        <v>406</v>
      </c>
      <c r="U468" s="92" t="s">
        <v>10</v>
      </c>
      <c r="W468" s="92" t="str">
        <f t="shared" si="110"/>
        <v>2.2\0.1:18</v>
      </c>
      <c r="X468" s="92" t="s">
        <v>418</v>
      </c>
      <c r="Y468" s="113"/>
      <c r="Z468" s="277"/>
      <c r="AA468" s="104"/>
      <c r="AB468" s="104"/>
      <c r="AH468" s="94" t="s">
        <v>404</v>
      </c>
      <c r="AI468" s="168">
        <v>37</v>
      </c>
      <c r="AJ468" s="168">
        <v>38</v>
      </c>
    </row>
    <row r="469" spans="1:36" x14ac:dyDescent="0.3">
      <c r="A469" s="102" t="str">
        <f t="shared" si="106"/>
        <v>BSR130</v>
      </c>
      <c r="B469" s="93" t="str">
        <f t="shared" si="107"/>
        <v>DX02</v>
      </c>
      <c r="C469" s="93" t="str">
        <f t="shared" si="108"/>
        <v>DIO1</v>
      </c>
      <c r="D469" s="94">
        <f t="shared" si="105"/>
        <v>130</v>
      </c>
      <c r="E469" s="94">
        <v>2</v>
      </c>
      <c r="F469" s="94">
        <f t="shared" si="109"/>
        <v>2</v>
      </c>
      <c r="G469" s="94">
        <v>0</v>
      </c>
      <c r="H469" s="171">
        <f t="shared" si="113"/>
        <v>1</v>
      </c>
      <c r="I469" s="163">
        <f t="shared" si="111"/>
        <v>19</v>
      </c>
      <c r="J469" s="172"/>
      <c r="K469" s="124"/>
      <c r="L469" s="92" t="s">
        <v>21</v>
      </c>
      <c r="M469" s="92"/>
      <c r="N469" s="92">
        <v>4</v>
      </c>
      <c r="O469" s="92" t="s">
        <v>6</v>
      </c>
      <c r="P469" s="92" t="s">
        <v>320</v>
      </c>
      <c r="R469" s="92" t="s">
        <v>417</v>
      </c>
      <c r="S469" s="92" t="s">
        <v>18</v>
      </c>
      <c r="T469" s="92" t="s">
        <v>372</v>
      </c>
      <c r="U469" s="92" t="s">
        <v>6</v>
      </c>
      <c r="W469" s="92" t="str">
        <f t="shared" si="110"/>
        <v>2.2\0.1:19</v>
      </c>
      <c r="X469" s="92" t="s">
        <v>405</v>
      </c>
      <c r="Y469" s="113"/>
      <c r="Z469" s="277" t="s">
        <v>416</v>
      </c>
      <c r="AA469" s="104"/>
      <c r="AB469" s="104"/>
      <c r="AH469" s="94" t="s">
        <v>404</v>
      </c>
      <c r="AI469" s="168">
        <v>39</v>
      </c>
      <c r="AJ469" s="168">
        <v>40</v>
      </c>
    </row>
    <row r="470" spans="1:36" x14ac:dyDescent="0.3">
      <c r="A470" s="102" t="str">
        <f t="shared" si="106"/>
        <v>BSR130</v>
      </c>
      <c r="B470" s="93" t="str">
        <f t="shared" si="107"/>
        <v>DX02</v>
      </c>
      <c r="C470" s="93" t="str">
        <f t="shared" si="108"/>
        <v>DIO1</v>
      </c>
      <c r="D470" s="94">
        <f t="shared" si="105"/>
        <v>130</v>
      </c>
      <c r="E470" s="94">
        <v>2</v>
      </c>
      <c r="F470" s="94">
        <f t="shared" si="109"/>
        <v>2</v>
      </c>
      <c r="G470" s="94">
        <v>0</v>
      </c>
      <c r="H470" s="171">
        <f t="shared" si="113"/>
        <v>1</v>
      </c>
      <c r="I470" s="163">
        <f t="shared" si="111"/>
        <v>20</v>
      </c>
      <c r="J470" s="172"/>
      <c r="K470" s="124"/>
      <c r="L470" s="92" t="s">
        <v>21</v>
      </c>
      <c r="M470" s="92"/>
      <c r="N470" s="92">
        <v>4</v>
      </c>
      <c r="O470" s="92" t="s">
        <v>6</v>
      </c>
      <c r="P470" s="92" t="s">
        <v>68</v>
      </c>
      <c r="R470" s="92" t="s">
        <v>415</v>
      </c>
      <c r="S470" s="92" t="s">
        <v>18</v>
      </c>
      <c r="T470" s="92" t="s">
        <v>414</v>
      </c>
      <c r="U470" s="92" t="s">
        <v>6</v>
      </c>
      <c r="W470" s="92" t="str">
        <f t="shared" si="110"/>
        <v>2.2\0.1:20</v>
      </c>
      <c r="X470" s="92" t="s">
        <v>405</v>
      </c>
      <c r="Y470" s="113"/>
      <c r="Z470" s="277"/>
      <c r="AA470" s="104"/>
      <c r="AB470" s="104"/>
      <c r="AH470" s="94" t="s">
        <v>404</v>
      </c>
      <c r="AI470" s="168">
        <v>41</v>
      </c>
      <c r="AJ470" s="168">
        <v>42</v>
      </c>
    </row>
    <row r="471" spans="1:36" x14ac:dyDescent="0.3">
      <c r="A471" s="102" t="str">
        <f t="shared" si="106"/>
        <v>BSR130</v>
      </c>
      <c r="B471" s="93" t="str">
        <f t="shared" si="107"/>
        <v>DX02</v>
      </c>
      <c r="C471" s="93" t="str">
        <f t="shared" si="108"/>
        <v>DIO1</v>
      </c>
      <c r="D471" s="94">
        <f t="shared" si="105"/>
        <v>130</v>
      </c>
      <c r="E471" s="94">
        <v>2</v>
      </c>
      <c r="F471" s="94">
        <f t="shared" si="109"/>
        <v>2</v>
      </c>
      <c r="G471" s="94">
        <v>0</v>
      </c>
      <c r="H471" s="171">
        <f t="shared" si="113"/>
        <v>1</v>
      </c>
      <c r="I471" s="163">
        <f t="shared" si="111"/>
        <v>21</v>
      </c>
      <c r="J471" s="172"/>
      <c r="K471" s="124"/>
      <c r="L471" s="92" t="s">
        <v>21</v>
      </c>
      <c r="M471" s="92"/>
      <c r="N471" s="92">
        <v>4</v>
      </c>
      <c r="O471" s="92" t="s">
        <v>6</v>
      </c>
      <c r="P471" s="92" t="s">
        <v>367</v>
      </c>
      <c r="R471" s="93" t="s">
        <v>413</v>
      </c>
      <c r="S471" s="93" t="s">
        <v>18</v>
      </c>
      <c r="T471" s="92" t="s">
        <v>365</v>
      </c>
      <c r="U471" s="92" t="s">
        <v>6</v>
      </c>
      <c r="W471" s="92" t="str">
        <f t="shared" si="110"/>
        <v>2.2\0.1:21</v>
      </c>
      <c r="X471" s="92" t="s">
        <v>405</v>
      </c>
      <c r="Y471" s="113"/>
      <c r="Z471" s="277"/>
      <c r="AA471" s="104"/>
      <c r="AB471" s="104"/>
      <c r="AH471" s="94" t="s">
        <v>404</v>
      </c>
      <c r="AI471" s="168">
        <v>43</v>
      </c>
      <c r="AJ471" s="168">
        <v>44</v>
      </c>
    </row>
    <row r="472" spans="1:36" x14ac:dyDescent="0.3">
      <c r="A472" s="102" t="str">
        <f t="shared" si="106"/>
        <v>BSR130</v>
      </c>
      <c r="B472" s="93" t="str">
        <f t="shared" si="107"/>
        <v>DX02</v>
      </c>
      <c r="C472" s="93" t="str">
        <f t="shared" si="108"/>
        <v>DIO1</v>
      </c>
      <c r="D472" s="94">
        <f t="shared" si="105"/>
        <v>130</v>
      </c>
      <c r="E472" s="94">
        <v>2</v>
      </c>
      <c r="F472" s="94">
        <f t="shared" si="109"/>
        <v>2</v>
      </c>
      <c r="G472" s="94">
        <v>0</v>
      </c>
      <c r="H472" s="171">
        <f t="shared" si="113"/>
        <v>1</v>
      </c>
      <c r="I472" s="163">
        <f t="shared" si="111"/>
        <v>22</v>
      </c>
      <c r="J472" s="172"/>
      <c r="K472" s="124"/>
      <c r="L472" s="92" t="s">
        <v>21</v>
      </c>
      <c r="M472" s="92"/>
      <c r="N472" s="92">
        <v>4</v>
      </c>
      <c r="O472" s="92" t="s">
        <v>6</v>
      </c>
      <c r="P472" s="93" t="s">
        <v>364</v>
      </c>
      <c r="Q472" s="93"/>
      <c r="R472" s="93" t="s">
        <v>412</v>
      </c>
      <c r="S472" s="93" t="s">
        <v>18</v>
      </c>
      <c r="T472" s="92" t="s">
        <v>362</v>
      </c>
      <c r="U472" s="92" t="s">
        <v>6</v>
      </c>
      <c r="W472" s="92" t="str">
        <f t="shared" si="110"/>
        <v>2.2\0.1:22</v>
      </c>
      <c r="X472" s="92" t="s">
        <v>405</v>
      </c>
      <c r="Y472" s="113"/>
      <c r="Z472" s="277"/>
      <c r="AA472" s="104"/>
      <c r="AB472" s="104"/>
      <c r="AH472" s="94" t="s">
        <v>404</v>
      </c>
      <c r="AI472" s="168">
        <v>45</v>
      </c>
      <c r="AJ472" s="168">
        <v>46</v>
      </c>
    </row>
    <row r="473" spans="1:36" x14ac:dyDescent="0.3">
      <c r="A473" s="102" t="str">
        <f t="shared" si="106"/>
        <v>BSR130</v>
      </c>
      <c r="B473" s="93" t="str">
        <f t="shared" si="107"/>
        <v>DX02</v>
      </c>
      <c r="C473" s="93" t="str">
        <f t="shared" si="108"/>
        <v>DIO1</v>
      </c>
      <c r="D473" s="94">
        <f t="shared" si="105"/>
        <v>130</v>
      </c>
      <c r="E473" s="94">
        <v>2</v>
      </c>
      <c r="F473" s="94">
        <f t="shared" si="109"/>
        <v>2</v>
      </c>
      <c r="G473" s="94">
        <v>0</v>
      </c>
      <c r="H473" s="171">
        <f t="shared" si="113"/>
        <v>1</v>
      </c>
      <c r="I473" s="163">
        <f t="shared" si="111"/>
        <v>23</v>
      </c>
      <c r="J473" s="172"/>
      <c r="K473" s="124"/>
      <c r="L473" s="92" t="s">
        <v>21</v>
      </c>
      <c r="M473" s="92"/>
      <c r="N473" s="92">
        <v>4</v>
      </c>
      <c r="O473" s="92" t="s">
        <v>6</v>
      </c>
      <c r="P473" s="93" t="s">
        <v>361</v>
      </c>
      <c r="Q473" s="93"/>
      <c r="R473" s="93" t="s">
        <v>411</v>
      </c>
      <c r="S473" s="93" t="s">
        <v>18</v>
      </c>
      <c r="T473" s="92" t="s">
        <v>359</v>
      </c>
      <c r="U473" s="92" t="s">
        <v>6</v>
      </c>
      <c r="W473" s="92" t="str">
        <f t="shared" si="110"/>
        <v>2.2\0.1:23</v>
      </c>
      <c r="X473" s="92" t="s">
        <v>405</v>
      </c>
      <c r="Y473" s="113"/>
      <c r="Z473" s="277"/>
      <c r="AA473" s="104"/>
      <c r="AB473" s="104"/>
      <c r="AH473" s="94" t="s">
        <v>404</v>
      </c>
      <c r="AI473" s="168">
        <v>47</v>
      </c>
      <c r="AJ473" s="168">
        <v>48</v>
      </c>
    </row>
    <row r="474" spans="1:36" x14ac:dyDescent="0.3">
      <c r="A474" s="102" t="str">
        <f t="shared" si="106"/>
        <v>BSR130</v>
      </c>
      <c r="B474" s="93" t="str">
        <f t="shared" si="107"/>
        <v>DX02</v>
      </c>
      <c r="C474" s="93" t="str">
        <f t="shared" si="108"/>
        <v>DIO1</v>
      </c>
      <c r="D474" s="94">
        <f t="shared" si="105"/>
        <v>130</v>
      </c>
      <c r="E474" s="94">
        <v>2</v>
      </c>
      <c r="F474" s="94">
        <f t="shared" si="109"/>
        <v>2</v>
      </c>
      <c r="G474" s="94">
        <v>0</v>
      </c>
      <c r="H474" s="171">
        <f t="shared" si="113"/>
        <v>1</v>
      </c>
      <c r="I474" s="163">
        <f t="shared" si="111"/>
        <v>24</v>
      </c>
      <c r="J474" s="172"/>
      <c r="K474" s="124"/>
      <c r="L474" s="92" t="s">
        <v>21</v>
      </c>
      <c r="M474" s="92"/>
      <c r="N474" s="92">
        <v>4</v>
      </c>
      <c r="O474" s="92" t="s">
        <v>6</v>
      </c>
      <c r="P474" s="93" t="s">
        <v>410</v>
      </c>
      <c r="Q474" s="93"/>
      <c r="R474" s="93" t="s">
        <v>409</v>
      </c>
      <c r="S474" s="93" t="s">
        <v>18</v>
      </c>
      <c r="T474" s="92" t="s">
        <v>408</v>
      </c>
      <c r="U474" s="92" t="s">
        <v>6</v>
      </c>
      <c r="W474" s="92" t="str">
        <f t="shared" si="110"/>
        <v>2.2\0.1:24</v>
      </c>
      <c r="X474" s="92" t="s">
        <v>405</v>
      </c>
      <c r="Y474" s="113"/>
      <c r="Z474" s="277"/>
      <c r="AA474" s="104"/>
      <c r="AB474" s="104"/>
      <c r="AH474" s="94" t="s">
        <v>404</v>
      </c>
      <c r="AI474" s="168">
        <v>49</v>
      </c>
      <c r="AJ474" s="168">
        <v>50</v>
      </c>
    </row>
    <row r="475" spans="1:36" x14ac:dyDescent="0.3">
      <c r="A475" s="102" t="str">
        <f t="shared" si="106"/>
        <v>BSR130</v>
      </c>
      <c r="B475" s="93" t="str">
        <f t="shared" si="107"/>
        <v>DX02</v>
      </c>
      <c r="C475" s="93" t="str">
        <f t="shared" si="108"/>
        <v>DIO1</v>
      </c>
      <c r="D475" s="94">
        <f t="shared" si="105"/>
        <v>130</v>
      </c>
      <c r="E475" s="94">
        <v>2</v>
      </c>
      <c r="F475" s="94">
        <f t="shared" si="109"/>
        <v>2</v>
      </c>
      <c r="G475" s="94">
        <v>0</v>
      </c>
      <c r="H475" s="171">
        <f t="shared" si="113"/>
        <v>1</v>
      </c>
      <c r="I475" s="163">
        <f t="shared" si="111"/>
        <v>25</v>
      </c>
      <c r="J475" s="172"/>
      <c r="K475" s="124"/>
      <c r="L475" s="92" t="s">
        <v>21</v>
      </c>
      <c r="M475" s="92"/>
      <c r="N475" s="92">
        <v>4</v>
      </c>
      <c r="O475" s="92" t="s">
        <v>6</v>
      </c>
      <c r="P475" s="67" t="s">
        <v>358</v>
      </c>
      <c r="Q475" s="66"/>
      <c r="R475" s="93" t="s">
        <v>407</v>
      </c>
      <c r="S475" s="93" t="s">
        <v>18</v>
      </c>
      <c r="T475" s="92" t="s">
        <v>406</v>
      </c>
      <c r="U475" s="92" t="s">
        <v>6</v>
      </c>
      <c r="W475" s="92" t="str">
        <f t="shared" si="110"/>
        <v>2.2\0.1:25</v>
      </c>
      <c r="X475" s="92" t="s">
        <v>405</v>
      </c>
      <c r="Y475" s="113"/>
      <c r="Z475" s="277"/>
      <c r="AA475" s="9"/>
      <c r="AB475" s="9"/>
      <c r="AH475" s="94" t="s">
        <v>404</v>
      </c>
      <c r="AI475" s="168">
        <v>51</v>
      </c>
      <c r="AJ475" s="168">
        <v>52</v>
      </c>
    </row>
    <row r="476" spans="1:36" x14ac:dyDescent="0.3">
      <c r="A476" s="102" t="str">
        <f t="shared" si="106"/>
        <v>BSR130</v>
      </c>
      <c r="B476" s="93" t="str">
        <f t="shared" si="107"/>
        <v>DX02</v>
      </c>
      <c r="C476" s="93" t="str">
        <f t="shared" si="108"/>
        <v>DIO1</v>
      </c>
      <c r="D476" s="94">
        <f t="shared" si="105"/>
        <v>130</v>
      </c>
      <c r="E476" s="94">
        <v>2</v>
      </c>
      <c r="F476" s="94">
        <f t="shared" si="109"/>
        <v>2</v>
      </c>
      <c r="G476" s="94">
        <v>0</v>
      </c>
      <c r="H476" s="171">
        <f t="shared" si="113"/>
        <v>1</v>
      </c>
      <c r="I476" s="163">
        <f t="shared" si="111"/>
        <v>26</v>
      </c>
      <c r="J476" s="172"/>
      <c r="K476" s="124"/>
      <c r="L476" s="92" t="s">
        <v>21</v>
      </c>
      <c r="M476" s="92"/>
      <c r="N476" s="93"/>
      <c r="O476" s="93"/>
      <c r="P476" s="93"/>
      <c r="Q476" s="93"/>
      <c r="R476" s="93" t="s">
        <v>302</v>
      </c>
      <c r="S476" s="93" t="s">
        <v>302</v>
      </c>
      <c r="T476" s="93"/>
      <c r="U476" s="93"/>
      <c r="V476" s="93"/>
      <c r="W476" s="92" t="str">
        <f t="shared" si="110"/>
        <v>2.2\0.1:26</v>
      </c>
      <c r="X476" s="93"/>
      <c r="Y476" s="113"/>
      <c r="Z476" s="93"/>
      <c r="AA476" s="9"/>
      <c r="AB476" s="7"/>
      <c r="AH476" s="94" t="s">
        <v>404</v>
      </c>
      <c r="AI476" s="168">
        <v>53</v>
      </c>
      <c r="AJ476" s="168">
        <v>54</v>
      </c>
    </row>
    <row r="477" spans="1:36" x14ac:dyDescent="0.3">
      <c r="A477" s="102" t="str">
        <f t="shared" si="106"/>
        <v>BSR130</v>
      </c>
      <c r="B477" s="93" t="str">
        <f t="shared" si="107"/>
        <v>DX02</v>
      </c>
      <c r="C477" s="93" t="str">
        <f t="shared" si="108"/>
        <v>DIO1</v>
      </c>
      <c r="D477" s="94">
        <f t="shared" si="105"/>
        <v>130</v>
      </c>
      <c r="E477" s="94">
        <v>2</v>
      </c>
      <c r="F477" s="94">
        <f t="shared" si="109"/>
        <v>2</v>
      </c>
      <c r="G477" s="94">
        <v>0</v>
      </c>
      <c r="H477" s="171">
        <f t="shared" si="113"/>
        <v>1</v>
      </c>
      <c r="I477" s="163">
        <f t="shared" si="111"/>
        <v>27</v>
      </c>
      <c r="J477" s="172"/>
      <c r="K477" s="124"/>
      <c r="L477" s="92" t="s">
        <v>21</v>
      </c>
      <c r="M477" s="92"/>
      <c r="N477" s="93"/>
      <c r="O477" s="93"/>
      <c r="P477" s="93"/>
      <c r="Q477" s="93"/>
      <c r="R477" s="93" t="s">
        <v>302</v>
      </c>
      <c r="S477" s="93" t="s">
        <v>302</v>
      </c>
      <c r="T477" s="93"/>
      <c r="U477" s="93"/>
      <c r="V477" s="93"/>
      <c r="W477" s="92" t="str">
        <f t="shared" si="110"/>
        <v>2.2\0.1:27</v>
      </c>
      <c r="X477" s="93"/>
      <c r="Y477" s="113"/>
      <c r="Z477" s="93"/>
      <c r="AA477" s="9"/>
      <c r="AB477" s="7"/>
      <c r="AH477" s="94" t="s">
        <v>404</v>
      </c>
      <c r="AI477" s="168">
        <v>55</v>
      </c>
      <c r="AJ477" s="168">
        <v>56</v>
      </c>
    </row>
    <row r="478" spans="1:36" x14ac:dyDescent="0.3">
      <c r="A478" s="102" t="str">
        <f t="shared" si="106"/>
        <v>BSR130</v>
      </c>
      <c r="B478" s="93" t="str">
        <f t="shared" si="107"/>
        <v>DX02</v>
      </c>
      <c r="C478" s="93" t="str">
        <f t="shared" si="108"/>
        <v>DIO1</v>
      </c>
      <c r="D478" s="94">
        <f t="shared" si="105"/>
        <v>130</v>
      </c>
      <c r="E478" s="94">
        <v>2</v>
      </c>
      <c r="F478" s="94">
        <f t="shared" si="109"/>
        <v>2</v>
      </c>
      <c r="G478" s="94">
        <v>0</v>
      </c>
      <c r="H478" s="171">
        <f t="shared" si="113"/>
        <v>1</v>
      </c>
      <c r="I478" s="163">
        <f t="shared" si="111"/>
        <v>28</v>
      </c>
      <c r="J478" s="172"/>
      <c r="K478" s="124"/>
      <c r="L478" s="92" t="s">
        <v>21</v>
      </c>
      <c r="M478" s="92"/>
      <c r="N478" s="93"/>
      <c r="O478" s="93"/>
      <c r="P478" s="93"/>
      <c r="Q478" s="93"/>
      <c r="R478" s="93" t="s">
        <v>302</v>
      </c>
      <c r="S478" s="93" t="s">
        <v>302</v>
      </c>
      <c r="T478" s="93"/>
      <c r="U478" s="93"/>
      <c r="V478" s="93"/>
      <c r="W478" s="92" t="str">
        <f t="shared" si="110"/>
        <v>2.2\0.1:28</v>
      </c>
      <c r="X478" s="93"/>
      <c r="Y478" s="113"/>
      <c r="Z478" s="93"/>
      <c r="AA478" s="9"/>
      <c r="AB478" s="7"/>
      <c r="AH478" s="94" t="s">
        <v>404</v>
      </c>
      <c r="AI478" s="168">
        <v>57</v>
      </c>
      <c r="AJ478" s="168">
        <v>58</v>
      </c>
    </row>
    <row r="479" spans="1:36" x14ac:dyDescent="0.3">
      <c r="A479" s="102" t="str">
        <f t="shared" si="106"/>
        <v>BSR130</v>
      </c>
      <c r="B479" s="93" t="str">
        <f t="shared" si="107"/>
        <v>DX02</v>
      </c>
      <c r="C479" s="93" t="str">
        <f t="shared" si="108"/>
        <v>DIO1</v>
      </c>
      <c r="D479" s="94">
        <f t="shared" ref="D479:D510" si="114">$D$5</f>
        <v>130</v>
      </c>
      <c r="E479" s="94">
        <v>2</v>
      </c>
      <c r="F479" s="94">
        <f t="shared" si="109"/>
        <v>2</v>
      </c>
      <c r="G479" s="94">
        <v>0</v>
      </c>
      <c r="H479" s="171">
        <f t="shared" si="113"/>
        <v>1</v>
      </c>
      <c r="I479" s="163">
        <f t="shared" si="111"/>
        <v>29</v>
      </c>
      <c r="J479" s="172"/>
      <c r="K479" s="124"/>
      <c r="L479" s="92" t="s">
        <v>21</v>
      </c>
      <c r="M479" s="92"/>
      <c r="N479" s="93"/>
      <c r="O479" s="93"/>
      <c r="P479" s="93"/>
      <c r="Q479" s="93"/>
      <c r="R479" s="93" t="s">
        <v>302</v>
      </c>
      <c r="S479" s="93" t="s">
        <v>302</v>
      </c>
      <c r="T479" s="93"/>
      <c r="U479" s="93"/>
      <c r="V479" s="93"/>
      <c r="W479" s="92" t="str">
        <f t="shared" si="110"/>
        <v>2.2\0.1:29</v>
      </c>
      <c r="X479" s="92"/>
      <c r="Z479" s="93"/>
      <c r="AA479" s="9"/>
      <c r="AB479" s="7"/>
      <c r="AH479" s="94" t="s">
        <v>404</v>
      </c>
      <c r="AI479" s="168">
        <v>59</v>
      </c>
      <c r="AJ479" s="168">
        <v>60</v>
      </c>
    </row>
    <row r="480" spans="1:36" x14ac:dyDescent="0.3">
      <c r="A480" s="102" t="str">
        <f t="shared" si="106"/>
        <v>BSR130</v>
      </c>
      <c r="B480" s="93" t="str">
        <f t="shared" ref="B480:B511" si="115">+B479</f>
        <v>DX02</v>
      </c>
      <c r="C480" s="93" t="str">
        <f t="shared" ref="C480:C511" si="116">+C479</f>
        <v>DIO1</v>
      </c>
      <c r="D480" s="94">
        <f t="shared" si="114"/>
        <v>130</v>
      </c>
      <c r="E480" s="94">
        <v>2</v>
      </c>
      <c r="F480" s="94">
        <f t="shared" ref="F480:F511" si="117">+F479</f>
        <v>2</v>
      </c>
      <c r="G480" s="94">
        <v>0</v>
      </c>
      <c r="H480" s="171">
        <f t="shared" si="113"/>
        <v>1</v>
      </c>
      <c r="I480" s="163">
        <f t="shared" si="111"/>
        <v>30</v>
      </c>
      <c r="J480" s="172"/>
      <c r="K480" s="124"/>
      <c r="L480" s="92" t="s">
        <v>21</v>
      </c>
      <c r="M480" s="92"/>
      <c r="N480" s="93"/>
      <c r="O480" s="93"/>
      <c r="P480" s="93"/>
      <c r="Q480" s="93"/>
      <c r="R480" s="93" t="s">
        <v>302</v>
      </c>
      <c r="S480" s="93" t="s">
        <v>302</v>
      </c>
      <c r="T480" s="93"/>
      <c r="U480" s="93"/>
      <c r="V480" s="104"/>
      <c r="W480" s="92" t="str">
        <f t="shared" si="110"/>
        <v>2.2\0.1:30</v>
      </c>
      <c r="X480" s="92"/>
      <c r="Z480" s="93"/>
      <c r="AA480" s="9"/>
      <c r="AB480" s="7"/>
      <c r="AH480" s="94" t="s">
        <v>404</v>
      </c>
      <c r="AI480" s="168">
        <v>61</v>
      </c>
      <c r="AJ480" s="168">
        <v>62</v>
      </c>
    </row>
    <row r="481" spans="1:36" ht="13.5" thickBot="1" x14ac:dyDescent="0.35">
      <c r="A481" s="102" t="str">
        <f t="shared" si="106"/>
        <v>BSR130</v>
      </c>
      <c r="B481" s="93" t="str">
        <f t="shared" si="115"/>
        <v>DX02</v>
      </c>
      <c r="C481" s="93" t="str">
        <f t="shared" si="116"/>
        <v>DIO1</v>
      </c>
      <c r="D481" s="94">
        <f t="shared" si="114"/>
        <v>130</v>
      </c>
      <c r="E481" s="94">
        <v>2</v>
      </c>
      <c r="F481" s="94">
        <f t="shared" si="117"/>
        <v>2</v>
      </c>
      <c r="G481" s="94">
        <v>0</v>
      </c>
      <c r="H481" s="171">
        <f t="shared" si="113"/>
        <v>1</v>
      </c>
      <c r="I481" s="170">
        <f t="shared" si="111"/>
        <v>31</v>
      </c>
      <c r="J481" s="169"/>
      <c r="K481" s="124"/>
      <c r="L481" s="92" t="s">
        <v>21</v>
      </c>
      <c r="M481" s="92"/>
      <c r="N481" s="93"/>
      <c r="O481" s="93"/>
      <c r="P481" s="93"/>
      <c r="Q481" s="93"/>
      <c r="R481" s="93" t="s">
        <v>302</v>
      </c>
      <c r="S481" s="93" t="s">
        <v>302</v>
      </c>
      <c r="T481" s="93"/>
      <c r="U481" s="93"/>
      <c r="V481" s="104"/>
      <c r="W481" s="92" t="str">
        <f t="shared" ref="W481:W512" si="118">+CONCATENATE(E481,".",F481,"\",G481,".",H481,":",I481)</f>
        <v>2.2\0.1:31</v>
      </c>
      <c r="X481" s="92"/>
      <c r="Z481" s="93"/>
      <c r="AA481" s="9"/>
      <c r="AB481" s="7"/>
      <c r="AH481" s="94" t="s">
        <v>404</v>
      </c>
      <c r="AI481" s="168">
        <v>63</v>
      </c>
      <c r="AJ481" s="168">
        <v>64</v>
      </c>
    </row>
    <row r="482" spans="1:36" x14ac:dyDescent="0.3">
      <c r="A482" s="158" t="s">
        <v>291</v>
      </c>
      <c r="B482" s="93" t="str">
        <f t="shared" si="115"/>
        <v>DX02</v>
      </c>
      <c r="C482" s="93" t="str">
        <f t="shared" si="116"/>
        <v>DIO1</v>
      </c>
      <c r="D482" s="94">
        <f t="shared" si="114"/>
        <v>130</v>
      </c>
      <c r="E482" s="94">
        <v>2</v>
      </c>
      <c r="F482" s="94">
        <f t="shared" si="117"/>
        <v>2</v>
      </c>
      <c r="G482" s="94">
        <v>0</v>
      </c>
      <c r="H482" s="166">
        <f>+H481+1</f>
        <v>2</v>
      </c>
      <c r="I482" s="165">
        <v>0</v>
      </c>
      <c r="J482" s="172" t="s">
        <v>316</v>
      </c>
      <c r="K482" s="93" t="s">
        <v>315</v>
      </c>
      <c r="L482" s="92" t="s">
        <v>21</v>
      </c>
      <c r="M482" s="92"/>
      <c r="N482" s="92">
        <v>4</v>
      </c>
      <c r="O482" s="92" t="s">
        <v>403</v>
      </c>
      <c r="P482" s="92" t="s">
        <v>320</v>
      </c>
      <c r="R482" s="12" t="s">
        <v>319</v>
      </c>
      <c r="S482" s="92" t="s">
        <v>18</v>
      </c>
      <c r="T482" s="92" t="s">
        <v>318</v>
      </c>
      <c r="U482" s="92" t="s">
        <v>403</v>
      </c>
      <c r="V482" s="93"/>
      <c r="W482" s="92" t="str">
        <f t="shared" si="118"/>
        <v>2.2\0.2:0</v>
      </c>
      <c r="X482" s="92" t="s">
        <v>402</v>
      </c>
      <c r="Y482" s="97" t="s">
        <v>4</v>
      </c>
      <c r="Z482" s="93"/>
      <c r="AA482" s="9"/>
      <c r="AB482" s="7"/>
      <c r="AH482" s="94" t="s">
        <v>383</v>
      </c>
      <c r="AI482" s="168">
        <v>1</v>
      </c>
      <c r="AJ482" s="168">
        <v>2</v>
      </c>
    </row>
    <row r="483" spans="1:36" x14ac:dyDescent="0.3">
      <c r="A483" s="102" t="str">
        <f t="shared" ref="A483:A513" si="119">A482</f>
        <v>BSR130</v>
      </c>
      <c r="B483" s="93" t="str">
        <f t="shared" si="115"/>
        <v>DX02</v>
      </c>
      <c r="C483" s="93" t="str">
        <f t="shared" si="116"/>
        <v>DIO1</v>
      </c>
      <c r="D483" s="94">
        <f t="shared" si="114"/>
        <v>130</v>
      </c>
      <c r="E483" s="94">
        <v>2</v>
      </c>
      <c r="F483" s="94">
        <f t="shared" si="117"/>
        <v>2</v>
      </c>
      <c r="G483" s="94">
        <v>0</v>
      </c>
      <c r="H483" s="171">
        <f>H482</f>
        <v>2</v>
      </c>
      <c r="I483" s="163">
        <f t="shared" ref="I483:I513" si="120">+I482+1</f>
        <v>1</v>
      </c>
      <c r="J483" s="172"/>
      <c r="K483" s="92"/>
      <c r="L483" s="92" t="s">
        <v>21</v>
      </c>
      <c r="M483" s="92"/>
      <c r="N483" s="92">
        <v>4</v>
      </c>
      <c r="O483" s="92" t="s">
        <v>403</v>
      </c>
      <c r="P483" s="12" t="s">
        <v>72</v>
      </c>
      <c r="Q483" s="12"/>
      <c r="R483" s="12" t="s">
        <v>378</v>
      </c>
      <c r="S483" s="12" t="s">
        <v>24</v>
      </c>
      <c r="T483" s="92" t="s">
        <v>38</v>
      </c>
      <c r="U483" s="92" t="s">
        <v>403</v>
      </c>
      <c r="V483" s="93"/>
      <c r="W483" s="92" t="str">
        <f t="shared" si="118"/>
        <v>2.2\0.2:1</v>
      </c>
      <c r="X483" s="92" t="s">
        <v>402</v>
      </c>
      <c r="Y483" s="97" t="s">
        <v>4</v>
      </c>
      <c r="Z483" s="93"/>
      <c r="AA483" s="9"/>
      <c r="AB483" s="7"/>
      <c r="AH483" s="94" t="s">
        <v>383</v>
      </c>
      <c r="AI483" s="168">
        <v>3</v>
      </c>
      <c r="AJ483" s="168">
        <v>4</v>
      </c>
    </row>
    <row r="484" spans="1:36" x14ac:dyDescent="0.3">
      <c r="A484" s="102" t="str">
        <f t="shared" si="119"/>
        <v>BSR130</v>
      </c>
      <c r="B484" s="93" t="str">
        <f t="shared" si="115"/>
        <v>DX02</v>
      </c>
      <c r="C484" s="93" t="str">
        <f t="shared" si="116"/>
        <v>DIO1</v>
      </c>
      <c r="D484" s="94">
        <f t="shared" si="114"/>
        <v>130</v>
      </c>
      <c r="E484" s="94">
        <v>2</v>
      </c>
      <c r="F484" s="94">
        <f t="shared" si="117"/>
        <v>2</v>
      </c>
      <c r="G484" s="94">
        <v>0</v>
      </c>
      <c r="H484" s="171">
        <f>H482</f>
        <v>2</v>
      </c>
      <c r="I484" s="163">
        <f t="shared" si="120"/>
        <v>2</v>
      </c>
      <c r="J484" s="172"/>
      <c r="K484" s="124"/>
      <c r="L484" s="92" t="s">
        <v>21</v>
      </c>
      <c r="M484" s="92"/>
      <c r="N484" s="92">
        <v>4</v>
      </c>
      <c r="O484" s="92" t="s">
        <v>403</v>
      </c>
      <c r="P484" s="12" t="s">
        <v>41</v>
      </c>
      <c r="Q484" s="12"/>
      <c r="R484" s="7" t="s">
        <v>378</v>
      </c>
      <c r="S484" s="7" t="s">
        <v>67</v>
      </c>
      <c r="T484" s="92" t="s">
        <v>38</v>
      </c>
      <c r="U484" s="92" t="s">
        <v>403</v>
      </c>
      <c r="V484" s="93"/>
      <c r="W484" s="92" t="str">
        <f t="shared" si="118"/>
        <v>2.2\0.2:2</v>
      </c>
      <c r="X484" s="92" t="s">
        <v>402</v>
      </c>
      <c r="Y484" s="97" t="s">
        <v>4</v>
      </c>
      <c r="Z484" s="93"/>
      <c r="AA484" s="9"/>
      <c r="AB484" s="7"/>
      <c r="AH484" s="94" t="s">
        <v>383</v>
      </c>
      <c r="AI484" s="168">
        <v>5</v>
      </c>
      <c r="AJ484" s="168">
        <v>6</v>
      </c>
    </row>
    <row r="485" spans="1:36" x14ac:dyDescent="0.3">
      <c r="A485" s="102" t="str">
        <f t="shared" si="119"/>
        <v>BSR130</v>
      </c>
      <c r="B485" s="93" t="str">
        <f t="shared" si="115"/>
        <v>DX02</v>
      </c>
      <c r="C485" s="93" t="str">
        <f t="shared" si="116"/>
        <v>DIO1</v>
      </c>
      <c r="D485" s="94">
        <f t="shared" si="114"/>
        <v>130</v>
      </c>
      <c r="E485" s="94">
        <v>2</v>
      </c>
      <c r="F485" s="94">
        <f t="shared" si="117"/>
        <v>2</v>
      </c>
      <c r="G485" s="94">
        <v>0</v>
      </c>
      <c r="H485" s="171">
        <f t="shared" ref="H485:H496" si="121">H482</f>
        <v>2</v>
      </c>
      <c r="I485" s="163">
        <f t="shared" si="120"/>
        <v>3</v>
      </c>
      <c r="J485" s="172"/>
      <c r="K485" s="124"/>
      <c r="L485" s="92" t="s">
        <v>21</v>
      </c>
      <c r="M485" s="92"/>
      <c r="N485" s="92">
        <v>4</v>
      </c>
      <c r="O485" s="92" t="s">
        <v>401</v>
      </c>
      <c r="P485" s="12" t="s">
        <v>320</v>
      </c>
      <c r="Q485" s="12"/>
      <c r="R485" s="7" t="s">
        <v>319</v>
      </c>
      <c r="S485" s="12" t="s">
        <v>18</v>
      </c>
      <c r="T485" s="92" t="s">
        <v>318</v>
      </c>
      <c r="U485" s="92" t="s">
        <v>401</v>
      </c>
      <c r="V485" s="93"/>
      <c r="W485" s="92" t="str">
        <f t="shared" si="118"/>
        <v>2.2\0.2:3</v>
      </c>
      <c r="X485" s="93" t="s">
        <v>400</v>
      </c>
      <c r="Y485" s="113" t="s">
        <v>4</v>
      </c>
      <c r="Z485" s="93"/>
      <c r="AA485" s="9"/>
      <c r="AB485" s="7"/>
      <c r="AH485" s="94" t="s">
        <v>383</v>
      </c>
      <c r="AI485" s="168">
        <v>7</v>
      </c>
      <c r="AJ485" s="168">
        <v>8</v>
      </c>
    </row>
    <row r="486" spans="1:36" x14ac:dyDescent="0.3">
      <c r="A486" s="102" t="str">
        <f t="shared" si="119"/>
        <v>BSR130</v>
      </c>
      <c r="B486" s="93" t="str">
        <f t="shared" si="115"/>
        <v>DX02</v>
      </c>
      <c r="C486" s="93" t="str">
        <f t="shared" si="116"/>
        <v>DIO1</v>
      </c>
      <c r="D486" s="94">
        <f t="shared" si="114"/>
        <v>130</v>
      </c>
      <c r="E486" s="94">
        <v>2</v>
      </c>
      <c r="F486" s="94">
        <f t="shared" si="117"/>
        <v>2</v>
      </c>
      <c r="G486" s="94">
        <v>0</v>
      </c>
      <c r="H486" s="171">
        <f t="shared" si="121"/>
        <v>2</v>
      </c>
      <c r="I486" s="163">
        <f t="shared" si="120"/>
        <v>4</v>
      </c>
      <c r="J486" s="172"/>
      <c r="K486" s="124"/>
      <c r="L486" s="92" t="s">
        <v>21</v>
      </c>
      <c r="M486" s="92"/>
      <c r="N486" s="92">
        <v>4</v>
      </c>
      <c r="O486" s="92" t="s">
        <v>401</v>
      </c>
      <c r="P486" s="12" t="s">
        <v>72</v>
      </c>
      <c r="Q486" s="12"/>
      <c r="R486" s="12" t="s">
        <v>378</v>
      </c>
      <c r="S486" s="7" t="s">
        <v>24</v>
      </c>
      <c r="T486" s="92" t="s">
        <v>38</v>
      </c>
      <c r="U486" s="92" t="s">
        <v>401</v>
      </c>
      <c r="V486" s="93"/>
      <c r="W486" s="92" t="str">
        <f t="shared" si="118"/>
        <v>2.2\0.2:4</v>
      </c>
      <c r="X486" s="93" t="s">
        <v>400</v>
      </c>
      <c r="Y486" s="113" t="s">
        <v>4</v>
      </c>
      <c r="Z486" s="93"/>
      <c r="AA486" s="9"/>
      <c r="AB486" s="7"/>
      <c r="AH486" s="94" t="s">
        <v>383</v>
      </c>
      <c r="AI486" s="168">
        <v>9</v>
      </c>
      <c r="AJ486" s="168">
        <v>10</v>
      </c>
    </row>
    <row r="487" spans="1:36" x14ac:dyDescent="0.3">
      <c r="A487" s="102" t="str">
        <f t="shared" si="119"/>
        <v>BSR130</v>
      </c>
      <c r="B487" s="93" t="str">
        <f t="shared" si="115"/>
        <v>DX02</v>
      </c>
      <c r="C487" s="93" t="str">
        <f t="shared" si="116"/>
        <v>DIO1</v>
      </c>
      <c r="D487" s="94">
        <f t="shared" si="114"/>
        <v>130</v>
      </c>
      <c r="E487" s="94">
        <v>2</v>
      </c>
      <c r="F487" s="94">
        <f t="shared" si="117"/>
        <v>2</v>
      </c>
      <c r="G487" s="94">
        <v>0</v>
      </c>
      <c r="H487" s="171">
        <f t="shared" si="121"/>
        <v>2</v>
      </c>
      <c r="I487" s="163">
        <f t="shared" si="120"/>
        <v>5</v>
      </c>
      <c r="J487" s="172"/>
      <c r="K487" s="124"/>
      <c r="L487" s="92" t="s">
        <v>21</v>
      </c>
      <c r="M487" s="92"/>
      <c r="N487" s="92">
        <v>4</v>
      </c>
      <c r="O487" s="92" t="s">
        <v>401</v>
      </c>
      <c r="P487" s="12" t="s">
        <v>41</v>
      </c>
      <c r="Q487" s="12"/>
      <c r="R487" s="12" t="s">
        <v>378</v>
      </c>
      <c r="S487" s="12" t="s">
        <v>67</v>
      </c>
      <c r="T487" s="92" t="s">
        <v>38</v>
      </c>
      <c r="U487" s="92" t="s">
        <v>401</v>
      </c>
      <c r="V487" s="93"/>
      <c r="W487" s="92" t="str">
        <f t="shared" si="118"/>
        <v>2.2\0.2:5</v>
      </c>
      <c r="X487" s="93" t="s">
        <v>400</v>
      </c>
      <c r="Y487" s="113" t="s">
        <v>4</v>
      </c>
      <c r="Z487" s="93"/>
      <c r="AA487" s="9"/>
      <c r="AB487" s="7"/>
      <c r="AH487" s="94" t="s">
        <v>383</v>
      </c>
      <c r="AI487" s="168">
        <v>11</v>
      </c>
      <c r="AJ487" s="168">
        <v>12</v>
      </c>
    </row>
    <row r="488" spans="1:36" x14ac:dyDescent="0.3">
      <c r="A488" s="102" t="str">
        <f t="shared" si="119"/>
        <v>BSR130</v>
      </c>
      <c r="B488" s="93" t="str">
        <f t="shared" si="115"/>
        <v>DX02</v>
      </c>
      <c r="C488" s="93" t="str">
        <f t="shared" si="116"/>
        <v>DIO1</v>
      </c>
      <c r="D488" s="94">
        <f t="shared" si="114"/>
        <v>130</v>
      </c>
      <c r="E488" s="94">
        <v>2</v>
      </c>
      <c r="F488" s="94">
        <f t="shared" si="117"/>
        <v>2</v>
      </c>
      <c r="G488" s="94">
        <v>0</v>
      </c>
      <c r="H488" s="171">
        <f t="shared" si="121"/>
        <v>2</v>
      </c>
      <c r="I488" s="163">
        <f t="shared" si="120"/>
        <v>6</v>
      </c>
      <c r="J488" s="172"/>
      <c r="K488" s="124"/>
      <c r="L488" s="92" t="s">
        <v>21</v>
      </c>
      <c r="M488" s="92"/>
      <c r="N488" s="92">
        <v>4</v>
      </c>
      <c r="O488" s="92" t="s">
        <v>399</v>
      </c>
      <c r="P488" s="12" t="s">
        <v>320</v>
      </c>
      <c r="Q488" s="12"/>
      <c r="R488" s="12" t="s">
        <v>319</v>
      </c>
      <c r="S488" s="7" t="s">
        <v>18</v>
      </c>
      <c r="T488" s="92" t="s">
        <v>318</v>
      </c>
      <c r="U488" s="92" t="s">
        <v>399</v>
      </c>
      <c r="V488" s="93"/>
      <c r="W488" s="92" t="str">
        <f t="shared" si="118"/>
        <v>2.2\0.2:6</v>
      </c>
      <c r="X488" s="93" t="s">
        <v>398</v>
      </c>
      <c r="Y488" s="113" t="s">
        <v>4</v>
      </c>
      <c r="Z488" s="93"/>
      <c r="AA488" s="9"/>
      <c r="AB488" s="7"/>
      <c r="AH488" s="94" t="s">
        <v>383</v>
      </c>
      <c r="AI488" s="168">
        <v>13</v>
      </c>
      <c r="AJ488" s="168">
        <v>14</v>
      </c>
    </row>
    <row r="489" spans="1:36" x14ac:dyDescent="0.3">
      <c r="A489" s="102" t="str">
        <f t="shared" si="119"/>
        <v>BSR130</v>
      </c>
      <c r="B489" s="93" t="str">
        <f t="shared" si="115"/>
        <v>DX02</v>
      </c>
      <c r="C489" s="93" t="str">
        <f t="shared" si="116"/>
        <v>DIO1</v>
      </c>
      <c r="D489" s="94">
        <f t="shared" si="114"/>
        <v>130</v>
      </c>
      <c r="E489" s="94">
        <v>2</v>
      </c>
      <c r="F489" s="94">
        <f t="shared" si="117"/>
        <v>2</v>
      </c>
      <c r="G489" s="94">
        <v>0</v>
      </c>
      <c r="H489" s="171">
        <f t="shared" si="121"/>
        <v>2</v>
      </c>
      <c r="I489" s="163">
        <f t="shared" si="120"/>
        <v>7</v>
      </c>
      <c r="J489" s="172"/>
      <c r="K489" s="124"/>
      <c r="L489" s="92" t="s">
        <v>21</v>
      </c>
      <c r="M489" s="92"/>
      <c r="N489" s="92">
        <v>4</v>
      </c>
      <c r="O489" s="92" t="s">
        <v>399</v>
      </c>
      <c r="P489" s="12" t="s">
        <v>72</v>
      </c>
      <c r="Q489" s="12"/>
      <c r="R489" s="12" t="s">
        <v>378</v>
      </c>
      <c r="S489" s="12" t="s">
        <v>24</v>
      </c>
      <c r="T489" s="92" t="s">
        <v>38</v>
      </c>
      <c r="U489" s="92" t="s">
        <v>399</v>
      </c>
      <c r="V489" s="93"/>
      <c r="W489" s="92" t="str">
        <f t="shared" si="118"/>
        <v>2.2\0.2:7</v>
      </c>
      <c r="X489" s="93" t="s">
        <v>398</v>
      </c>
      <c r="Y489" s="113" t="s">
        <v>4</v>
      </c>
      <c r="Z489" s="93"/>
      <c r="AA489" s="9"/>
      <c r="AB489" s="7"/>
      <c r="AH489" s="94" t="s">
        <v>383</v>
      </c>
      <c r="AI489" s="168">
        <v>15</v>
      </c>
      <c r="AJ489" s="168">
        <v>16</v>
      </c>
    </row>
    <row r="490" spans="1:36" x14ac:dyDescent="0.3">
      <c r="A490" s="102" t="str">
        <f t="shared" si="119"/>
        <v>BSR130</v>
      </c>
      <c r="B490" s="93" t="str">
        <f t="shared" si="115"/>
        <v>DX02</v>
      </c>
      <c r="C490" s="93" t="str">
        <f t="shared" si="116"/>
        <v>DIO1</v>
      </c>
      <c r="D490" s="94">
        <f t="shared" si="114"/>
        <v>130</v>
      </c>
      <c r="E490" s="94">
        <v>2</v>
      </c>
      <c r="F490" s="94">
        <f t="shared" si="117"/>
        <v>2</v>
      </c>
      <c r="G490" s="94">
        <v>0</v>
      </c>
      <c r="H490" s="171">
        <f t="shared" si="121"/>
        <v>2</v>
      </c>
      <c r="I490" s="163">
        <f t="shared" si="120"/>
        <v>8</v>
      </c>
      <c r="J490" s="172"/>
      <c r="K490" s="124"/>
      <c r="L490" s="92" t="s">
        <v>21</v>
      </c>
      <c r="M490" s="92"/>
      <c r="N490" s="92">
        <v>4</v>
      </c>
      <c r="O490" s="92" t="s">
        <v>399</v>
      </c>
      <c r="P490" s="12" t="s">
        <v>41</v>
      </c>
      <c r="Q490" s="12"/>
      <c r="R490" s="12" t="s">
        <v>378</v>
      </c>
      <c r="S490" s="7" t="s">
        <v>67</v>
      </c>
      <c r="T490" s="92" t="s">
        <v>38</v>
      </c>
      <c r="U490" s="92" t="s">
        <v>399</v>
      </c>
      <c r="V490" s="93"/>
      <c r="W490" s="92" t="str">
        <f t="shared" si="118"/>
        <v>2.2\0.2:8</v>
      </c>
      <c r="X490" s="93" t="s">
        <v>398</v>
      </c>
      <c r="Y490" s="113" t="s">
        <v>4</v>
      </c>
      <c r="Z490" s="93"/>
      <c r="AA490" s="9"/>
      <c r="AB490" s="7"/>
      <c r="AH490" s="94" t="s">
        <v>383</v>
      </c>
      <c r="AI490" s="168">
        <v>17</v>
      </c>
      <c r="AJ490" s="168">
        <v>18</v>
      </c>
    </row>
    <row r="491" spans="1:36" x14ac:dyDescent="0.3">
      <c r="A491" s="102" t="str">
        <f t="shared" si="119"/>
        <v>BSR130</v>
      </c>
      <c r="B491" s="93" t="str">
        <f t="shared" si="115"/>
        <v>DX02</v>
      </c>
      <c r="C491" s="93" t="str">
        <f t="shared" si="116"/>
        <v>DIO1</v>
      </c>
      <c r="D491" s="94">
        <f t="shared" si="114"/>
        <v>130</v>
      </c>
      <c r="E491" s="94">
        <v>2</v>
      </c>
      <c r="F491" s="94">
        <f t="shared" si="117"/>
        <v>2</v>
      </c>
      <c r="G491" s="94">
        <v>0</v>
      </c>
      <c r="H491" s="171">
        <f t="shared" si="121"/>
        <v>2</v>
      </c>
      <c r="I491" s="163">
        <f t="shared" si="120"/>
        <v>9</v>
      </c>
      <c r="J491" s="172"/>
      <c r="K491" s="124"/>
      <c r="L491" s="92" t="s">
        <v>21</v>
      </c>
      <c r="M491" s="92"/>
      <c r="N491" s="92">
        <v>4</v>
      </c>
      <c r="O491" s="92" t="s">
        <v>397</v>
      </c>
      <c r="P491" s="12" t="s">
        <v>320</v>
      </c>
      <c r="Q491" s="12"/>
      <c r="R491" s="12" t="s">
        <v>319</v>
      </c>
      <c r="S491" s="12" t="s">
        <v>18</v>
      </c>
      <c r="T491" s="92" t="s">
        <v>318</v>
      </c>
      <c r="U491" s="92" t="s">
        <v>397</v>
      </c>
      <c r="V491" s="93"/>
      <c r="W491" s="92" t="str">
        <f t="shared" si="118"/>
        <v>2.2\0.2:9</v>
      </c>
      <c r="X491" s="93" t="s">
        <v>396</v>
      </c>
      <c r="Y491" s="113" t="s">
        <v>4</v>
      </c>
      <c r="Z491" s="93"/>
      <c r="AA491" s="9"/>
      <c r="AB491" s="7"/>
      <c r="AH491" s="94" t="s">
        <v>383</v>
      </c>
      <c r="AI491" s="168">
        <v>19</v>
      </c>
      <c r="AJ491" s="168">
        <v>20</v>
      </c>
    </row>
    <row r="492" spans="1:36" x14ac:dyDescent="0.3">
      <c r="A492" s="102" t="str">
        <f t="shared" si="119"/>
        <v>BSR130</v>
      </c>
      <c r="B492" s="93" t="str">
        <f t="shared" si="115"/>
        <v>DX02</v>
      </c>
      <c r="C492" s="93" t="str">
        <f t="shared" si="116"/>
        <v>DIO1</v>
      </c>
      <c r="D492" s="94">
        <f t="shared" si="114"/>
        <v>130</v>
      </c>
      <c r="E492" s="94">
        <v>2</v>
      </c>
      <c r="F492" s="94">
        <f t="shared" si="117"/>
        <v>2</v>
      </c>
      <c r="G492" s="94">
        <v>0</v>
      </c>
      <c r="H492" s="171">
        <f t="shared" si="121"/>
        <v>2</v>
      </c>
      <c r="I492" s="163">
        <f t="shared" si="120"/>
        <v>10</v>
      </c>
      <c r="J492" s="172"/>
      <c r="K492" s="124"/>
      <c r="L492" s="92" t="s">
        <v>21</v>
      </c>
      <c r="M492" s="92"/>
      <c r="N492" s="92">
        <v>4</v>
      </c>
      <c r="O492" s="92" t="s">
        <v>397</v>
      </c>
      <c r="P492" s="12" t="s">
        <v>72</v>
      </c>
      <c r="Q492" s="12"/>
      <c r="R492" s="12" t="s">
        <v>378</v>
      </c>
      <c r="S492" s="7" t="s">
        <v>24</v>
      </c>
      <c r="T492" s="92" t="s">
        <v>38</v>
      </c>
      <c r="U492" s="92" t="s">
        <v>397</v>
      </c>
      <c r="V492" s="93"/>
      <c r="W492" s="92" t="str">
        <f t="shared" si="118"/>
        <v>2.2\0.2:10</v>
      </c>
      <c r="X492" s="93" t="s">
        <v>396</v>
      </c>
      <c r="Y492" s="113" t="s">
        <v>4</v>
      </c>
      <c r="Z492" s="93"/>
      <c r="AA492" s="9"/>
      <c r="AB492" s="7"/>
      <c r="AH492" s="94" t="s">
        <v>383</v>
      </c>
      <c r="AI492" s="168">
        <v>21</v>
      </c>
      <c r="AJ492" s="168">
        <v>22</v>
      </c>
    </row>
    <row r="493" spans="1:36" x14ac:dyDescent="0.3">
      <c r="A493" s="102" t="str">
        <f t="shared" si="119"/>
        <v>BSR130</v>
      </c>
      <c r="B493" s="93" t="str">
        <f t="shared" si="115"/>
        <v>DX02</v>
      </c>
      <c r="C493" s="93" t="str">
        <f t="shared" si="116"/>
        <v>DIO1</v>
      </c>
      <c r="D493" s="94">
        <f t="shared" si="114"/>
        <v>130</v>
      </c>
      <c r="E493" s="94">
        <v>2</v>
      </c>
      <c r="F493" s="94">
        <f t="shared" si="117"/>
        <v>2</v>
      </c>
      <c r="G493" s="94">
        <v>0</v>
      </c>
      <c r="H493" s="171">
        <f t="shared" si="121"/>
        <v>2</v>
      </c>
      <c r="I493" s="163">
        <f t="shared" si="120"/>
        <v>11</v>
      </c>
      <c r="J493" s="172"/>
      <c r="K493" s="124"/>
      <c r="L493" s="92" t="s">
        <v>21</v>
      </c>
      <c r="M493" s="92"/>
      <c r="N493" s="92">
        <v>4</v>
      </c>
      <c r="O493" s="92" t="s">
        <v>397</v>
      </c>
      <c r="P493" s="12" t="s">
        <v>41</v>
      </c>
      <c r="Q493" s="12"/>
      <c r="R493" s="12" t="s">
        <v>378</v>
      </c>
      <c r="S493" s="12" t="s">
        <v>67</v>
      </c>
      <c r="T493" s="92" t="s">
        <v>38</v>
      </c>
      <c r="U493" s="92" t="s">
        <v>397</v>
      </c>
      <c r="V493" s="93"/>
      <c r="W493" s="92" t="str">
        <f t="shared" si="118"/>
        <v>2.2\0.2:11</v>
      </c>
      <c r="X493" s="93" t="s">
        <v>396</v>
      </c>
      <c r="Y493" s="113" t="s">
        <v>4</v>
      </c>
      <c r="Z493" s="93"/>
      <c r="AA493" s="9"/>
      <c r="AB493" s="7"/>
      <c r="AH493" s="94" t="s">
        <v>383</v>
      </c>
      <c r="AI493" s="168">
        <v>23</v>
      </c>
      <c r="AJ493" s="168">
        <v>24</v>
      </c>
    </row>
    <row r="494" spans="1:36" x14ac:dyDescent="0.3">
      <c r="A494" s="102" t="str">
        <f t="shared" si="119"/>
        <v>BSR130</v>
      </c>
      <c r="B494" s="93" t="str">
        <f t="shared" si="115"/>
        <v>DX02</v>
      </c>
      <c r="C494" s="93" t="str">
        <f t="shared" si="116"/>
        <v>DIO1</v>
      </c>
      <c r="D494" s="94">
        <f t="shared" si="114"/>
        <v>130</v>
      </c>
      <c r="E494" s="94">
        <v>2</v>
      </c>
      <c r="F494" s="94">
        <f t="shared" si="117"/>
        <v>2</v>
      </c>
      <c r="G494" s="94">
        <v>0</v>
      </c>
      <c r="H494" s="171">
        <f t="shared" si="121"/>
        <v>2</v>
      </c>
      <c r="I494" s="163">
        <f t="shared" si="120"/>
        <v>12</v>
      </c>
      <c r="J494" s="172"/>
      <c r="K494" s="124"/>
      <c r="L494" s="92" t="s">
        <v>21</v>
      </c>
      <c r="M494" s="92"/>
      <c r="N494" s="92">
        <v>4</v>
      </c>
      <c r="O494" s="92" t="s">
        <v>395</v>
      </c>
      <c r="P494" s="12" t="s">
        <v>320</v>
      </c>
      <c r="Q494" s="12"/>
      <c r="R494" s="65" t="s">
        <v>319</v>
      </c>
      <c r="S494" s="7" t="s">
        <v>18</v>
      </c>
      <c r="T494" s="92" t="s">
        <v>318</v>
      </c>
      <c r="U494" s="92" t="s">
        <v>395</v>
      </c>
      <c r="V494" s="93"/>
      <c r="W494" s="92" t="str">
        <f t="shared" si="118"/>
        <v>2.2\0.2:12</v>
      </c>
      <c r="X494" s="93" t="s">
        <v>394</v>
      </c>
      <c r="Y494" s="113" t="s">
        <v>4</v>
      </c>
      <c r="Z494" s="93"/>
      <c r="AA494" s="9"/>
      <c r="AB494" s="7"/>
      <c r="AH494" s="94" t="s">
        <v>383</v>
      </c>
      <c r="AI494" s="168">
        <v>25</v>
      </c>
      <c r="AJ494" s="168">
        <v>26</v>
      </c>
    </row>
    <row r="495" spans="1:36" x14ac:dyDescent="0.3">
      <c r="A495" s="102" t="str">
        <f t="shared" si="119"/>
        <v>BSR130</v>
      </c>
      <c r="B495" s="93" t="str">
        <f t="shared" si="115"/>
        <v>DX02</v>
      </c>
      <c r="C495" s="93" t="str">
        <f t="shared" si="116"/>
        <v>DIO1</v>
      </c>
      <c r="D495" s="94">
        <f t="shared" si="114"/>
        <v>130</v>
      </c>
      <c r="E495" s="94">
        <v>2</v>
      </c>
      <c r="F495" s="94">
        <f t="shared" si="117"/>
        <v>2</v>
      </c>
      <c r="G495" s="94">
        <v>0</v>
      </c>
      <c r="H495" s="171">
        <f t="shared" si="121"/>
        <v>2</v>
      </c>
      <c r="I495" s="163">
        <f t="shared" si="120"/>
        <v>13</v>
      </c>
      <c r="J495" s="172"/>
      <c r="K495" s="124"/>
      <c r="L495" s="92" t="s">
        <v>21</v>
      </c>
      <c r="M495" s="92"/>
      <c r="N495" s="92">
        <v>4</v>
      </c>
      <c r="O495" s="92" t="s">
        <v>395</v>
      </c>
      <c r="P495" s="12" t="s">
        <v>72</v>
      </c>
      <c r="Q495" s="12"/>
      <c r="R495" s="12" t="s">
        <v>378</v>
      </c>
      <c r="S495" s="12" t="s">
        <v>24</v>
      </c>
      <c r="T495" s="92" t="s">
        <v>38</v>
      </c>
      <c r="U495" s="92" t="s">
        <v>395</v>
      </c>
      <c r="V495" s="93"/>
      <c r="W495" s="92" t="str">
        <f t="shared" si="118"/>
        <v>2.2\0.2:13</v>
      </c>
      <c r="X495" s="93" t="s">
        <v>394</v>
      </c>
      <c r="Y495" s="113" t="s">
        <v>4</v>
      </c>
      <c r="Z495" s="93"/>
      <c r="AA495" s="9"/>
      <c r="AB495" s="7"/>
      <c r="AH495" s="94" t="s">
        <v>383</v>
      </c>
      <c r="AI495" s="168">
        <v>27</v>
      </c>
      <c r="AJ495" s="168">
        <v>28</v>
      </c>
    </row>
    <row r="496" spans="1:36" x14ac:dyDescent="0.3">
      <c r="A496" s="102" t="str">
        <f t="shared" si="119"/>
        <v>BSR130</v>
      </c>
      <c r="B496" s="93" t="str">
        <f t="shared" si="115"/>
        <v>DX02</v>
      </c>
      <c r="C496" s="93" t="str">
        <f t="shared" si="116"/>
        <v>DIO1</v>
      </c>
      <c r="D496" s="94">
        <f t="shared" si="114"/>
        <v>130</v>
      </c>
      <c r="E496" s="94">
        <v>2</v>
      </c>
      <c r="F496" s="94">
        <f t="shared" si="117"/>
        <v>2</v>
      </c>
      <c r="G496" s="94">
        <v>0</v>
      </c>
      <c r="H496" s="171">
        <f t="shared" si="121"/>
        <v>2</v>
      </c>
      <c r="I496" s="163">
        <f t="shared" si="120"/>
        <v>14</v>
      </c>
      <c r="J496" s="172"/>
      <c r="K496" s="124"/>
      <c r="L496" s="92" t="s">
        <v>21</v>
      </c>
      <c r="M496" s="92"/>
      <c r="N496" s="92">
        <v>4</v>
      </c>
      <c r="O496" s="92" t="s">
        <v>395</v>
      </c>
      <c r="P496" s="12" t="s">
        <v>41</v>
      </c>
      <c r="Q496" s="12"/>
      <c r="R496" s="12" t="s">
        <v>378</v>
      </c>
      <c r="S496" s="7" t="s">
        <v>67</v>
      </c>
      <c r="T496" s="92" t="s">
        <v>38</v>
      </c>
      <c r="U496" s="92" t="s">
        <v>395</v>
      </c>
      <c r="V496" s="93"/>
      <c r="W496" s="92" t="str">
        <f t="shared" si="118"/>
        <v>2.2\0.2:14</v>
      </c>
      <c r="X496" s="93" t="s">
        <v>394</v>
      </c>
      <c r="Y496" s="113" t="s">
        <v>4</v>
      </c>
      <c r="Z496" s="93"/>
      <c r="AA496" s="9"/>
      <c r="AB496" s="7"/>
      <c r="AH496" s="94" t="s">
        <v>383</v>
      </c>
      <c r="AI496" s="168">
        <v>29</v>
      </c>
      <c r="AJ496" s="168">
        <v>30</v>
      </c>
    </row>
    <row r="497" spans="1:36" x14ac:dyDescent="0.3">
      <c r="A497" s="102" t="str">
        <f t="shared" si="119"/>
        <v>BSR130</v>
      </c>
      <c r="B497" s="93" t="str">
        <f t="shared" si="115"/>
        <v>DX02</v>
      </c>
      <c r="C497" s="93" t="str">
        <f t="shared" si="116"/>
        <v>DIO1</v>
      </c>
      <c r="D497" s="94">
        <f t="shared" si="114"/>
        <v>130</v>
      </c>
      <c r="E497" s="94">
        <v>2</v>
      </c>
      <c r="F497" s="94">
        <f t="shared" si="117"/>
        <v>2</v>
      </c>
      <c r="G497" s="94">
        <v>0</v>
      </c>
      <c r="H497" s="171">
        <f t="shared" ref="H497:H513" si="122">H493</f>
        <v>2</v>
      </c>
      <c r="I497" s="163">
        <f t="shared" si="120"/>
        <v>15</v>
      </c>
      <c r="J497" s="172"/>
      <c r="K497" s="124"/>
      <c r="L497" s="92" t="s">
        <v>21</v>
      </c>
      <c r="M497" s="92"/>
      <c r="N497" s="92">
        <v>4</v>
      </c>
      <c r="O497" s="92" t="s">
        <v>393</v>
      </c>
      <c r="P497" s="12" t="s">
        <v>320</v>
      </c>
      <c r="Q497" s="12"/>
      <c r="R497" s="12" t="s">
        <v>319</v>
      </c>
      <c r="S497" s="12" t="s">
        <v>18</v>
      </c>
      <c r="T497" s="92" t="s">
        <v>318</v>
      </c>
      <c r="U497" s="92" t="s">
        <v>393</v>
      </c>
      <c r="W497" s="92" t="str">
        <f t="shared" si="118"/>
        <v>2.2\0.2:15</v>
      </c>
      <c r="X497" s="93" t="s">
        <v>392</v>
      </c>
      <c r="Y497" s="113" t="s">
        <v>4</v>
      </c>
      <c r="Z497" s="93"/>
      <c r="AA497" s="9"/>
      <c r="AB497" s="7"/>
      <c r="AH497" s="94" t="s">
        <v>383</v>
      </c>
      <c r="AI497" s="168">
        <v>31</v>
      </c>
      <c r="AJ497" s="168">
        <v>32</v>
      </c>
    </row>
    <row r="498" spans="1:36" x14ac:dyDescent="0.3">
      <c r="A498" s="102" t="str">
        <f t="shared" si="119"/>
        <v>BSR130</v>
      </c>
      <c r="B498" s="93" t="str">
        <f t="shared" si="115"/>
        <v>DX02</v>
      </c>
      <c r="C498" s="93" t="str">
        <f t="shared" si="116"/>
        <v>DIO1</v>
      </c>
      <c r="D498" s="94">
        <f t="shared" si="114"/>
        <v>130</v>
      </c>
      <c r="E498" s="94">
        <v>2</v>
      </c>
      <c r="F498" s="94">
        <f t="shared" si="117"/>
        <v>2</v>
      </c>
      <c r="G498" s="94">
        <v>0</v>
      </c>
      <c r="H498" s="171">
        <f t="shared" si="122"/>
        <v>2</v>
      </c>
      <c r="I498" s="163">
        <f t="shared" si="120"/>
        <v>16</v>
      </c>
      <c r="J498" s="172"/>
      <c r="K498" s="93"/>
      <c r="L498" s="92" t="s">
        <v>21</v>
      </c>
      <c r="M498" s="92"/>
      <c r="N498" s="92">
        <v>4</v>
      </c>
      <c r="O498" s="92" t="s">
        <v>393</v>
      </c>
      <c r="P498" s="12" t="s">
        <v>72</v>
      </c>
      <c r="Q498" s="12"/>
      <c r="R498" s="12" t="s">
        <v>378</v>
      </c>
      <c r="S498" s="7" t="s">
        <v>24</v>
      </c>
      <c r="T498" s="92" t="s">
        <v>38</v>
      </c>
      <c r="U498" s="92" t="s">
        <v>393</v>
      </c>
      <c r="W498" s="92" t="str">
        <f t="shared" si="118"/>
        <v>2.2\0.2:16</v>
      </c>
      <c r="X498" s="93" t="s">
        <v>392</v>
      </c>
      <c r="Y498" s="113" t="s">
        <v>4</v>
      </c>
      <c r="Z498" s="93"/>
      <c r="AA498" s="9"/>
      <c r="AB498" s="7"/>
      <c r="AH498" s="94" t="s">
        <v>383</v>
      </c>
      <c r="AI498" s="168">
        <v>33</v>
      </c>
      <c r="AJ498" s="168">
        <v>34</v>
      </c>
    </row>
    <row r="499" spans="1:36" x14ac:dyDescent="0.3">
      <c r="A499" s="102" t="str">
        <f t="shared" si="119"/>
        <v>BSR130</v>
      </c>
      <c r="B499" s="93" t="str">
        <f t="shared" si="115"/>
        <v>DX02</v>
      </c>
      <c r="C499" s="93" t="str">
        <f t="shared" si="116"/>
        <v>DIO1</v>
      </c>
      <c r="D499" s="94">
        <f t="shared" si="114"/>
        <v>130</v>
      </c>
      <c r="E499" s="94">
        <v>2</v>
      </c>
      <c r="F499" s="94">
        <f t="shared" si="117"/>
        <v>2</v>
      </c>
      <c r="G499" s="94">
        <v>0</v>
      </c>
      <c r="H499" s="171">
        <f t="shared" si="122"/>
        <v>2</v>
      </c>
      <c r="I499" s="163">
        <f t="shared" si="120"/>
        <v>17</v>
      </c>
      <c r="J499" s="172"/>
      <c r="K499" s="124"/>
      <c r="L499" s="92" t="s">
        <v>21</v>
      </c>
      <c r="M499" s="92"/>
      <c r="N499" s="92">
        <v>4</v>
      </c>
      <c r="O499" s="92" t="s">
        <v>393</v>
      </c>
      <c r="P499" s="12" t="s">
        <v>41</v>
      </c>
      <c r="Q499" s="12"/>
      <c r="R499" s="92" t="s">
        <v>378</v>
      </c>
      <c r="S499" s="12" t="s">
        <v>67</v>
      </c>
      <c r="T499" s="92" t="s">
        <v>38</v>
      </c>
      <c r="U499" s="92" t="s">
        <v>393</v>
      </c>
      <c r="W499" s="92" t="str">
        <f t="shared" si="118"/>
        <v>2.2\0.2:17</v>
      </c>
      <c r="X499" s="93" t="s">
        <v>392</v>
      </c>
      <c r="Y499" s="113" t="s">
        <v>4</v>
      </c>
      <c r="Z499" s="93"/>
      <c r="AA499" s="9"/>
      <c r="AB499" s="7"/>
      <c r="AH499" s="94" t="s">
        <v>383</v>
      </c>
      <c r="AI499" s="168">
        <v>35</v>
      </c>
      <c r="AJ499" s="168">
        <v>36</v>
      </c>
    </row>
    <row r="500" spans="1:36" x14ac:dyDescent="0.3">
      <c r="A500" s="102" t="str">
        <f t="shared" si="119"/>
        <v>BSR130</v>
      </c>
      <c r="B500" s="93" t="str">
        <f t="shared" si="115"/>
        <v>DX02</v>
      </c>
      <c r="C500" s="93" t="str">
        <f t="shared" si="116"/>
        <v>DIO1</v>
      </c>
      <c r="D500" s="94">
        <f t="shared" si="114"/>
        <v>130</v>
      </c>
      <c r="E500" s="94">
        <v>2</v>
      </c>
      <c r="F500" s="94">
        <f t="shared" si="117"/>
        <v>2</v>
      </c>
      <c r="G500" s="94">
        <v>0</v>
      </c>
      <c r="H500" s="171">
        <f t="shared" si="122"/>
        <v>2</v>
      </c>
      <c r="I500" s="163">
        <f t="shared" si="120"/>
        <v>18</v>
      </c>
      <c r="J500" s="172"/>
      <c r="K500" s="124"/>
      <c r="L500" s="92" t="s">
        <v>21</v>
      </c>
      <c r="M500" s="92"/>
      <c r="N500" s="92">
        <v>4</v>
      </c>
      <c r="O500" s="92" t="s">
        <v>391</v>
      </c>
      <c r="P500" s="12" t="s">
        <v>320</v>
      </c>
      <c r="Q500" s="12"/>
      <c r="R500" s="12" t="s">
        <v>319</v>
      </c>
      <c r="S500" s="7" t="s">
        <v>18</v>
      </c>
      <c r="T500" s="92" t="s">
        <v>318</v>
      </c>
      <c r="U500" s="92" t="s">
        <v>391</v>
      </c>
      <c r="W500" s="92" t="str">
        <f t="shared" si="118"/>
        <v>2.2\0.2:18</v>
      </c>
      <c r="X500" s="93" t="s">
        <v>390</v>
      </c>
      <c r="Y500" s="113" t="s">
        <v>4</v>
      </c>
      <c r="Z500" s="93"/>
      <c r="AA500" s="9"/>
      <c r="AB500" s="7"/>
      <c r="AH500" s="94" t="s">
        <v>383</v>
      </c>
      <c r="AI500" s="168">
        <v>37</v>
      </c>
      <c r="AJ500" s="168">
        <v>38</v>
      </c>
    </row>
    <row r="501" spans="1:36" x14ac:dyDescent="0.3">
      <c r="A501" s="102" t="str">
        <f t="shared" si="119"/>
        <v>BSR130</v>
      </c>
      <c r="B501" s="93" t="str">
        <f t="shared" si="115"/>
        <v>DX02</v>
      </c>
      <c r="C501" s="93" t="str">
        <f t="shared" si="116"/>
        <v>DIO1</v>
      </c>
      <c r="D501" s="94">
        <f t="shared" si="114"/>
        <v>130</v>
      </c>
      <c r="E501" s="94">
        <v>2</v>
      </c>
      <c r="F501" s="94">
        <f t="shared" si="117"/>
        <v>2</v>
      </c>
      <c r="G501" s="94">
        <v>0</v>
      </c>
      <c r="H501" s="171">
        <f t="shared" si="122"/>
        <v>2</v>
      </c>
      <c r="I501" s="163">
        <f t="shared" si="120"/>
        <v>19</v>
      </c>
      <c r="J501" s="172"/>
      <c r="K501" s="124"/>
      <c r="L501" s="92" t="s">
        <v>21</v>
      </c>
      <c r="M501" s="92"/>
      <c r="N501" s="92">
        <v>4</v>
      </c>
      <c r="O501" s="92" t="s">
        <v>391</v>
      </c>
      <c r="P501" s="12" t="s">
        <v>72</v>
      </c>
      <c r="Q501" s="12"/>
      <c r="R501" s="65" t="s">
        <v>378</v>
      </c>
      <c r="S501" s="12" t="s">
        <v>24</v>
      </c>
      <c r="T501" s="92" t="s">
        <v>38</v>
      </c>
      <c r="U501" s="92" t="s">
        <v>391</v>
      </c>
      <c r="W501" s="92" t="str">
        <f t="shared" si="118"/>
        <v>2.2\0.2:19</v>
      </c>
      <c r="X501" s="93" t="s">
        <v>390</v>
      </c>
      <c r="Y501" s="113" t="s">
        <v>4</v>
      </c>
      <c r="Z501" s="93"/>
      <c r="AA501" s="9"/>
      <c r="AB501" s="7"/>
      <c r="AH501" s="94" t="s">
        <v>383</v>
      </c>
      <c r="AI501" s="168">
        <v>39</v>
      </c>
      <c r="AJ501" s="168">
        <v>40</v>
      </c>
    </row>
    <row r="502" spans="1:36" x14ac:dyDescent="0.3">
      <c r="A502" s="102" t="str">
        <f t="shared" si="119"/>
        <v>BSR130</v>
      </c>
      <c r="B502" s="93" t="str">
        <f t="shared" si="115"/>
        <v>DX02</v>
      </c>
      <c r="C502" s="93" t="str">
        <f t="shared" si="116"/>
        <v>DIO1</v>
      </c>
      <c r="D502" s="94">
        <f t="shared" si="114"/>
        <v>130</v>
      </c>
      <c r="E502" s="94">
        <v>2</v>
      </c>
      <c r="F502" s="94">
        <f t="shared" si="117"/>
        <v>2</v>
      </c>
      <c r="G502" s="94">
        <v>0</v>
      </c>
      <c r="H502" s="171">
        <f t="shared" si="122"/>
        <v>2</v>
      </c>
      <c r="I502" s="163">
        <f t="shared" si="120"/>
        <v>20</v>
      </c>
      <c r="J502" s="172"/>
      <c r="K502" s="124"/>
      <c r="L502" s="92" t="s">
        <v>21</v>
      </c>
      <c r="M502" s="92"/>
      <c r="N502" s="92">
        <v>4</v>
      </c>
      <c r="O502" s="92" t="s">
        <v>391</v>
      </c>
      <c r="P502" s="93" t="s">
        <v>41</v>
      </c>
      <c r="Q502" s="93"/>
      <c r="R502" s="93" t="s">
        <v>378</v>
      </c>
      <c r="S502" s="7" t="s">
        <v>67</v>
      </c>
      <c r="T502" s="92" t="s">
        <v>38</v>
      </c>
      <c r="U502" s="93" t="s">
        <v>391</v>
      </c>
      <c r="V502" s="93"/>
      <c r="W502" s="92" t="str">
        <f t="shared" si="118"/>
        <v>2.2\0.2:20</v>
      </c>
      <c r="X502" s="93" t="s">
        <v>390</v>
      </c>
      <c r="Y502" s="113" t="s">
        <v>4</v>
      </c>
      <c r="Z502" s="93"/>
      <c r="AA502" s="9"/>
      <c r="AB502" s="7"/>
      <c r="AH502" s="94" t="s">
        <v>383</v>
      </c>
      <c r="AI502" s="168">
        <v>41</v>
      </c>
      <c r="AJ502" s="168">
        <v>42</v>
      </c>
    </row>
    <row r="503" spans="1:36" x14ac:dyDescent="0.3">
      <c r="A503" s="102" t="str">
        <f t="shared" si="119"/>
        <v>BSR130</v>
      </c>
      <c r="B503" s="93" t="str">
        <f t="shared" si="115"/>
        <v>DX02</v>
      </c>
      <c r="C503" s="93" t="str">
        <f t="shared" si="116"/>
        <v>DIO1</v>
      </c>
      <c r="D503" s="94">
        <f t="shared" si="114"/>
        <v>130</v>
      </c>
      <c r="E503" s="94">
        <v>2</v>
      </c>
      <c r="F503" s="94">
        <f t="shared" si="117"/>
        <v>2</v>
      </c>
      <c r="G503" s="94">
        <v>0</v>
      </c>
      <c r="H503" s="171">
        <f t="shared" si="122"/>
        <v>2</v>
      </c>
      <c r="I503" s="163">
        <f t="shared" si="120"/>
        <v>21</v>
      </c>
      <c r="J503" s="172"/>
      <c r="K503" s="124"/>
      <c r="L503" s="92" t="s">
        <v>21</v>
      </c>
      <c r="M503" s="92"/>
      <c r="N503" s="92">
        <v>4</v>
      </c>
      <c r="O503" s="92" t="s">
        <v>389</v>
      </c>
      <c r="P503" s="93" t="s">
        <v>320</v>
      </c>
      <c r="Q503" s="93"/>
      <c r="R503" s="93" t="s">
        <v>319</v>
      </c>
      <c r="S503" s="12" t="s">
        <v>18</v>
      </c>
      <c r="T503" s="92" t="s">
        <v>318</v>
      </c>
      <c r="U503" s="93" t="s">
        <v>389</v>
      </c>
      <c r="W503" s="92" t="str">
        <f t="shared" si="118"/>
        <v>2.2\0.2:21</v>
      </c>
      <c r="X503" s="93" t="s">
        <v>388</v>
      </c>
      <c r="Y503" s="113" t="s">
        <v>4</v>
      </c>
      <c r="Z503" s="93"/>
      <c r="AA503" s="9"/>
      <c r="AB503" s="7"/>
      <c r="AH503" s="94" t="s">
        <v>383</v>
      </c>
      <c r="AI503" s="168">
        <v>43</v>
      </c>
      <c r="AJ503" s="168">
        <v>44</v>
      </c>
    </row>
    <row r="504" spans="1:36" x14ac:dyDescent="0.3">
      <c r="A504" s="102" t="str">
        <f t="shared" si="119"/>
        <v>BSR130</v>
      </c>
      <c r="B504" s="93" t="str">
        <f t="shared" si="115"/>
        <v>DX02</v>
      </c>
      <c r="C504" s="93" t="str">
        <f t="shared" si="116"/>
        <v>DIO1</v>
      </c>
      <c r="D504" s="94">
        <f t="shared" si="114"/>
        <v>130</v>
      </c>
      <c r="E504" s="94">
        <v>2</v>
      </c>
      <c r="F504" s="94">
        <f t="shared" si="117"/>
        <v>2</v>
      </c>
      <c r="G504" s="94">
        <v>0</v>
      </c>
      <c r="H504" s="171">
        <f t="shared" si="122"/>
        <v>2</v>
      </c>
      <c r="I504" s="163">
        <f t="shared" si="120"/>
        <v>22</v>
      </c>
      <c r="J504" s="172"/>
      <c r="K504" s="124"/>
      <c r="L504" s="92" t="s">
        <v>21</v>
      </c>
      <c r="M504" s="92"/>
      <c r="N504" s="92">
        <v>4</v>
      </c>
      <c r="O504" s="92" t="s">
        <v>389</v>
      </c>
      <c r="P504" s="93" t="s">
        <v>72</v>
      </c>
      <c r="Q504" s="93"/>
      <c r="R504" s="93" t="s">
        <v>378</v>
      </c>
      <c r="S504" s="7" t="s">
        <v>24</v>
      </c>
      <c r="T504" s="92" t="s">
        <v>38</v>
      </c>
      <c r="U504" s="93" t="s">
        <v>389</v>
      </c>
      <c r="V504" s="93"/>
      <c r="W504" s="92" t="str">
        <f t="shared" si="118"/>
        <v>2.2\0.2:22</v>
      </c>
      <c r="X504" s="93" t="s">
        <v>388</v>
      </c>
      <c r="Y504" s="113" t="s">
        <v>4</v>
      </c>
      <c r="Z504" s="93"/>
      <c r="AA504" s="9"/>
      <c r="AB504" s="7"/>
      <c r="AH504" s="94" t="s">
        <v>383</v>
      </c>
      <c r="AI504" s="168">
        <v>45</v>
      </c>
      <c r="AJ504" s="168">
        <v>46</v>
      </c>
    </row>
    <row r="505" spans="1:36" x14ac:dyDescent="0.3">
      <c r="A505" s="102" t="str">
        <f t="shared" si="119"/>
        <v>BSR130</v>
      </c>
      <c r="B505" s="93" t="str">
        <f t="shared" si="115"/>
        <v>DX02</v>
      </c>
      <c r="C505" s="93" t="str">
        <f t="shared" si="116"/>
        <v>DIO1</v>
      </c>
      <c r="D505" s="94">
        <f t="shared" si="114"/>
        <v>130</v>
      </c>
      <c r="E505" s="94">
        <v>2</v>
      </c>
      <c r="F505" s="94">
        <f t="shared" si="117"/>
        <v>2</v>
      </c>
      <c r="G505" s="94">
        <v>0</v>
      </c>
      <c r="H505" s="171">
        <f t="shared" si="122"/>
        <v>2</v>
      </c>
      <c r="I505" s="163">
        <f t="shared" si="120"/>
        <v>23</v>
      </c>
      <c r="J505" s="172"/>
      <c r="K505" s="124"/>
      <c r="L505" s="92" t="s">
        <v>21</v>
      </c>
      <c r="M505" s="92"/>
      <c r="N505" s="92">
        <v>4</v>
      </c>
      <c r="O505" s="92" t="s">
        <v>389</v>
      </c>
      <c r="P505" s="93" t="s">
        <v>41</v>
      </c>
      <c r="Q505" s="93"/>
      <c r="R505" s="93" t="s">
        <v>378</v>
      </c>
      <c r="S505" s="12" t="s">
        <v>67</v>
      </c>
      <c r="T505" s="92" t="s">
        <v>38</v>
      </c>
      <c r="U505" s="93" t="s">
        <v>389</v>
      </c>
      <c r="V505" s="93"/>
      <c r="W505" s="92" t="str">
        <f t="shared" si="118"/>
        <v>2.2\0.2:23</v>
      </c>
      <c r="X505" s="93" t="s">
        <v>388</v>
      </c>
      <c r="Y505" s="113" t="s">
        <v>4</v>
      </c>
      <c r="Z505" s="93"/>
      <c r="AA505" s="9"/>
      <c r="AB505" s="7"/>
      <c r="AH505" s="94" t="s">
        <v>383</v>
      </c>
      <c r="AI505" s="168">
        <v>47</v>
      </c>
      <c r="AJ505" s="168">
        <v>48</v>
      </c>
    </row>
    <row r="506" spans="1:36" x14ac:dyDescent="0.3">
      <c r="A506" s="102" t="str">
        <f t="shared" si="119"/>
        <v>BSR130</v>
      </c>
      <c r="B506" s="93" t="str">
        <f t="shared" si="115"/>
        <v>DX02</v>
      </c>
      <c r="C506" s="93" t="str">
        <f t="shared" si="116"/>
        <v>DIO1</v>
      </c>
      <c r="D506" s="94">
        <f t="shared" si="114"/>
        <v>130</v>
      </c>
      <c r="E506" s="94">
        <v>2</v>
      </c>
      <c r="F506" s="94">
        <f t="shared" si="117"/>
        <v>2</v>
      </c>
      <c r="G506" s="94">
        <v>0</v>
      </c>
      <c r="H506" s="171">
        <f t="shared" si="122"/>
        <v>2</v>
      </c>
      <c r="I506" s="163">
        <f t="shared" si="120"/>
        <v>24</v>
      </c>
      <c r="J506" s="172"/>
      <c r="K506" s="124"/>
      <c r="L506" s="92" t="s">
        <v>21</v>
      </c>
      <c r="M506" s="92"/>
      <c r="N506" s="92">
        <v>4</v>
      </c>
      <c r="O506" s="92" t="s">
        <v>387</v>
      </c>
      <c r="P506" s="93" t="s">
        <v>320</v>
      </c>
      <c r="Q506" s="93"/>
      <c r="R506" s="93" t="s">
        <v>319</v>
      </c>
      <c r="S506" s="7" t="s">
        <v>18</v>
      </c>
      <c r="T506" s="92" t="s">
        <v>318</v>
      </c>
      <c r="U506" s="93" t="s">
        <v>387</v>
      </c>
      <c r="V506" s="93"/>
      <c r="W506" s="92" t="str">
        <f t="shared" si="118"/>
        <v>2.2\0.2:24</v>
      </c>
      <c r="X506" s="93" t="s">
        <v>386</v>
      </c>
      <c r="Y506" s="113" t="s">
        <v>4</v>
      </c>
      <c r="Z506" s="93"/>
      <c r="AA506" s="9"/>
      <c r="AB506" s="7"/>
      <c r="AH506" s="94" t="s">
        <v>383</v>
      </c>
      <c r="AI506" s="168">
        <v>49</v>
      </c>
      <c r="AJ506" s="168">
        <v>50</v>
      </c>
    </row>
    <row r="507" spans="1:36" x14ac:dyDescent="0.3">
      <c r="A507" s="102" t="str">
        <f t="shared" si="119"/>
        <v>BSR130</v>
      </c>
      <c r="B507" s="93" t="str">
        <f t="shared" si="115"/>
        <v>DX02</v>
      </c>
      <c r="C507" s="93" t="str">
        <f t="shared" si="116"/>
        <v>DIO1</v>
      </c>
      <c r="D507" s="94">
        <f t="shared" si="114"/>
        <v>130</v>
      </c>
      <c r="E507" s="94">
        <v>2</v>
      </c>
      <c r="F507" s="94">
        <f t="shared" si="117"/>
        <v>2</v>
      </c>
      <c r="G507" s="94">
        <v>0</v>
      </c>
      <c r="H507" s="171">
        <f t="shared" si="122"/>
        <v>2</v>
      </c>
      <c r="I507" s="163">
        <f t="shared" si="120"/>
        <v>25</v>
      </c>
      <c r="J507" s="172"/>
      <c r="K507" s="124"/>
      <c r="L507" s="92" t="s">
        <v>21</v>
      </c>
      <c r="M507" s="92"/>
      <c r="N507" s="92">
        <v>4</v>
      </c>
      <c r="O507" s="92" t="s">
        <v>387</v>
      </c>
      <c r="P507" s="93" t="s">
        <v>72</v>
      </c>
      <c r="Q507" s="93"/>
      <c r="R507" s="93" t="s">
        <v>378</v>
      </c>
      <c r="S507" s="12" t="s">
        <v>24</v>
      </c>
      <c r="T507" s="92" t="s">
        <v>38</v>
      </c>
      <c r="U507" s="93" t="s">
        <v>387</v>
      </c>
      <c r="V507" s="93"/>
      <c r="W507" s="92" t="str">
        <f t="shared" si="118"/>
        <v>2.2\0.2:25</v>
      </c>
      <c r="X507" s="93" t="s">
        <v>386</v>
      </c>
      <c r="Y507" s="113" t="s">
        <v>4</v>
      </c>
      <c r="Z507" s="93"/>
      <c r="AA507" s="9"/>
      <c r="AB507" s="7"/>
      <c r="AH507" s="94" t="s">
        <v>383</v>
      </c>
      <c r="AI507" s="168">
        <v>51</v>
      </c>
      <c r="AJ507" s="168">
        <v>52</v>
      </c>
    </row>
    <row r="508" spans="1:36" x14ac:dyDescent="0.3">
      <c r="A508" s="102" t="str">
        <f t="shared" si="119"/>
        <v>BSR130</v>
      </c>
      <c r="B508" s="93" t="str">
        <f t="shared" si="115"/>
        <v>DX02</v>
      </c>
      <c r="C508" s="93" t="str">
        <f t="shared" si="116"/>
        <v>DIO1</v>
      </c>
      <c r="D508" s="94">
        <f t="shared" si="114"/>
        <v>130</v>
      </c>
      <c r="E508" s="94">
        <v>2</v>
      </c>
      <c r="F508" s="94">
        <f t="shared" si="117"/>
        <v>2</v>
      </c>
      <c r="G508" s="94">
        <v>0</v>
      </c>
      <c r="H508" s="171">
        <f t="shared" si="122"/>
        <v>2</v>
      </c>
      <c r="I508" s="163">
        <f t="shared" si="120"/>
        <v>26</v>
      </c>
      <c r="J508" s="172"/>
      <c r="K508" s="124"/>
      <c r="L508" s="92" t="s">
        <v>21</v>
      </c>
      <c r="M508" s="92"/>
      <c r="N508" s="92">
        <v>4</v>
      </c>
      <c r="O508" s="92" t="s">
        <v>387</v>
      </c>
      <c r="P508" s="93" t="s">
        <v>41</v>
      </c>
      <c r="Q508" s="93"/>
      <c r="R508" s="93" t="s">
        <v>378</v>
      </c>
      <c r="S508" s="7" t="s">
        <v>67</v>
      </c>
      <c r="T508" s="92" t="s">
        <v>38</v>
      </c>
      <c r="U508" s="93" t="s">
        <v>387</v>
      </c>
      <c r="V508" s="93"/>
      <c r="W508" s="92" t="str">
        <f t="shared" si="118"/>
        <v>2.2\0.2:26</v>
      </c>
      <c r="X508" s="93" t="s">
        <v>386</v>
      </c>
      <c r="Y508" s="113" t="s">
        <v>4</v>
      </c>
      <c r="Z508" s="93"/>
      <c r="AA508" s="9"/>
      <c r="AB508" s="7"/>
      <c r="AH508" s="94" t="s">
        <v>383</v>
      </c>
      <c r="AI508" s="168">
        <v>53</v>
      </c>
      <c r="AJ508" s="168">
        <v>54</v>
      </c>
    </row>
    <row r="509" spans="1:36" x14ac:dyDescent="0.3">
      <c r="A509" s="102" t="str">
        <f t="shared" si="119"/>
        <v>BSR130</v>
      </c>
      <c r="B509" s="93" t="str">
        <f t="shared" si="115"/>
        <v>DX02</v>
      </c>
      <c r="C509" s="93" t="str">
        <f t="shared" si="116"/>
        <v>DIO1</v>
      </c>
      <c r="D509" s="94">
        <f t="shared" si="114"/>
        <v>130</v>
      </c>
      <c r="E509" s="94">
        <v>2</v>
      </c>
      <c r="F509" s="94">
        <f t="shared" si="117"/>
        <v>2</v>
      </c>
      <c r="G509" s="94">
        <v>0</v>
      </c>
      <c r="H509" s="171">
        <f t="shared" si="122"/>
        <v>2</v>
      </c>
      <c r="I509" s="163">
        <f t="shared" si="120"/>
        <v>27</v>
      </c>
      <c r="J509" s="172"/>
      <c r="K509" s="124"/>
      <c r="L509" s="92" t="s">
        <v>21</v>
      </c>
      <c r="M509" s="92"/>
      <c r="N509" s="92">
        <v>4</v>
      </c>
      <c r="O509" s="92" t="s">
        <v>385</v>
      </c>
      <c r="P509" s="93" t="s">
        <v>320</v>
      </c>
      <c r="Q509" s="93"/>
      <c r="R509" s="93" t="s">
        <v>319</v>
      </c>
      <c r="S509" s="12" t="s">
        <v>18</v>
      </c>
      <c r="T509" s="92" t="s">
        <v>318</v>
      </c>
      <c r="U509" s="93" t="s">
        <v>385</v>
      </c>
      <c r="V509" s="93"/>
      <c r="W509" s="92" t="str">
        <f t="shared" si="118"/>
        <v>2.2\0.2:27</v>
      </c>
      <c r="X509" s="93" t="s">
        <v>384</v>
      </c>
      <c r="Y509" s="113" t="s">
        <v>4</v>
      </c>
      <c r="Z509" s="93"/>
      <c r="AA509" s="9"/>
      <c r="AB509" s="7"/>
      <c r="AH509" s="94" t="s">
        <v>383</v>
      </c>
      <c r="AI509" s="168">
        <v>55</v>
      </c>
      <c r="AJ509" s="168">
        <v>56</v>
      </c>
    </row>
    <row r="510" spans="1:36" x14ac:dyDescent="0.3">
      <c r="A510" s="102" t="str">
        <f t="shared" si="119"/>
        <v>BSR130</v>
      </c>
      <c r="B510" s="93" t="str">
        <f t="shared" si="115"/>
        <v>DX02</v>
      </c>
      <c r="C510" s="93" t="str">
        <f t="shared" si="116"/>
        <v>DIO1</v>
      </c>
      <c r="D510" s="94">
        <f t="shared" si="114"/>
        <v>130</v>
      </c>
      <c r="E510" s="94">
        <v>2</v>
      </c>
      <c r="F510" s="94">
        <f t="shared" si="117"/>
        <v>2</v>
      </c>
      <c r="G510" s="94">
        <v>0</v>
      </c>
      <c r="H510" s="171">
        <f t="shared" si="122"/>
        <v>2</v>
      </c>
      <c r="I510" s="163">
        <f t="shared" si="120"/>
        <v>28</v>
      </c>
      <c r="J510" s="172"/>
      <c r="K510" s="124"/>
      <c r="L510" s="92" t="s">
        <v>21</v>
      </c>
      <c r="M510" s="92"/>
      <c r="N510" s="92">
        <v>4</v>
      </c>
      <c r="O510" s="92" t="s">
        <v>385</v>
      </c>
      <c r="P510" s="92" t="s">
        <v>72</v>
      </c>
      <c r="R510" s="92" t="s">
        <v>378</v>
      </c>
      <c r="S510" s="7" t="s">
        <v>24</v>
      </c>
      <c r="T510" s="92" t="s">
        <v>38</v>
      </c>
      <c r="U510" s="12" t="s">
        <v>385</v>
      </c>
      <c r="V510" s="93"/>
      <c r="W510" s="92" t="str">
        <f t="shared" si="118"/>
        <v>2.2\0.2:28</v>
      </c>
      <c r="X510" s="93" t="s">
        <v>384</v>
      </c>
      <c r="Y510" s="113" t="s">
        <v>4</v>
      </c>
      <c r="Z510" s="93"/>
      <c r="AA510" s="9"/>
      <c r="AB510" s="7"/>
      <c r="AH510" s="94" t="s">
        <v>383</v>
      </c>
      <c r="AI510" s="168">
        <v>57</v>
      </c>
      <c r="AJ510" s="168">
        <v>58</v>
      </c>
    </row>
    <row r="511" spans="1:36" x14ac:dyDescent="0.3">
      <c r="A511" s="102" t="str">
        <f t="shared" si="119"/>
        <v>BSR130</v>
      </c>
      <c r="B511" s="93" t="str">
        <f t="shared" si="115"/>
        <v>DX02</v>
      </c>
      <c r="C511" s="93" t="str">
        <f t="shared" si="116"/>
        <v>DIO1</v>
      </c>
      <c r="D511" s="94">
        <f t="shared" ref="D511:D542" si="123">$D$5</f>
        <v>130</v>
      </c>
      <c r="E511" s="94">
        <v>2</v>
      </c>
      <c r="F511" s="94">
        <f t="shared" si="117"/>
        <v>2</v>
      </c>
      <c r="G511" s="94">
        <v>0</v>
      </c>
      <c r="H511" s="171">
        <f t="shared" si="122"/>
        <v>2</v>
      </c>
      <c r="I511" s="163">
        <f t="shared" si="120"/>
        <v>29</v>
      </c>
      <c r="J511" s="172"/>
      <c r="K511" s="124"/>
      <c r="L511" s="92" t="s">
        <v>21</v>
      </c>
      <c r="M511" s="92"/>
      <c r="N511" s="92">
        <v>4</v>
      </c>
      <c r="O511" s="92" t="s">
        <v>385</v>
      </c>
      <c r="P511" s="12" t="s">
        <v>41</v>
      </c>
      <c r="Q511" s="12"/>
      <c r="R511" s="92" t="s">
        <v>378</v>
      </c>
      <c r="S511" s="12" t="s">
        <v>67</v>
      </c>
      <c r="T511" s="92" t="s">
        <v>38</v>
      </c>
      <c r="U511" s="12" t="s">
        <v>385</v>
      </c>
      <c r="V511" s="93"/>
      <c r="W511" s="92" t="str">
        <f t="shared" si="118"/>
        <v>2.2\0.2:29</v>
      </c>
      <c r="X511" s="93" t="s">
        <v>384</v>
      </c>
      <c r="Y511" s="113" t="s">
        <v>4</v>
      </c>
      <c r="Z511" s="93"/>
      <c r="AA511" s="9"/>
      <c r="AB511" s="7"/>
      <c r="AH511" s="94" t="s">
        <v>383</v>
      </c>
      <c r="AI511" s="168">
        <v>59</v>
      </c>
      <c r="AJ511" s="168">
        <v>60</v>
      </c>
    </row>
    <row r="512" spans="1:36" x14ac:dyDescent="0.3">
      <c r="A512" s="102" t="str">
        <f t="shared" si="119"/>
        <v>BSR130</v>
      </c>
      <c r="B512" s="93" t="str">
        <f t="shared" ref="B512:B543" si="124">+B511</f>
        <v>DX02</v>
      </c>
      <c r="C512" s="93" t="str">
        <f t="shared" ref="C512:C543" si="125">+C511</f>
        <v>DIO1</v>
      </c>
      <c r="D512" s="94">
        <f t="shared" si="123"/>
        <v>130</v>
      </c>
      <c r="E512" s="94">
        <v>2</v>
      </c>
      <c r="F512" s="94">
        <f t="shared" ref="F512:F543" si="126">+F511</f>
        <v>2</v>
      </c>
      <c r="G512" s="94">
        <v>0</v>
      </c>
      <c r="H512" s="171">
        <f t="shared" si="122"/>
        <v>2</v>
      </c>
      <c r="I512" s="163">
        <f t="shared" si="120"/>
        <v>30</v>
      </c>
      <c r="J512" s="172"/>
      <c r="K512" s="124"/>
      <c r="L512" s="92" t="s">
        <v>21</v>
      </c>
      <c r="M512" s="92"/>
      <c r="N512" s="92"/>
      <c r="O512" s="92"/>
      <c r="P512" s="12"/>
      <c r="Q512" s="12"/>
      <c r="R512" s="92" t="s">
        <v>302</v>
      </c>
      <c r="S512" s="7" t="s">
        <v>302</v>
      </c>
      <c r="T512" s="64"/>
      <c r="U512" s="12"/>
      <c r="W512" s="92" t="str">
        <f t="shared" si="118"/>
        <v>2.2\0.2:30</v>
      </c>
      <c r="X512" s="93"/>
      <c r="Y512" s="113"/>
      <c r="Z512" s="93"/>
      <c r="AA512" s="9"/>
      <c r="AB512" s="7"/>
      <c r="AH512" s="94" t="s">
        <v>383</v>
      </c>
      <c r="AI512" s="168">
        <v>61</v>
      </c>
      <c r="AJ512" s="168">
        <v>62</v>
      </c>
    </row>
    <row r="513" spans="1:36" ht="13.5" thickBot="1" x14ac:dyDescent="0.35">
      <c r="A513" s="102" t="str">
        <f t="shared" si="119"/>
        <v>BSR130</v>
      </c>
      <c r="B513" s="93" t="str">
        <f t="shared" si="124"/>
        <v>DX02</v>
      </c>
      <c r="C513" s="93" t="str">
        <f t="shared" si="125"/>
        <v>DIO1</v>
      </c>
      <c r="D513" s="94">
        <f t="shared" si="123"/>
        <v>130</v>
      </c>
      <c r="E513" s="94">
        <v>2</v>
      </c>
      <c r="F513" s="94">
        <f t="shared" si="126"/>
        <v>2</v>
      </c>
      <c r="G513" s="94">
        <v>0</v>
      </c>
      <c r="H513" s="171">
        <f t="shared" si="122"/>
        <v>2</v>
      </c>
      <c r="I513" s="170">
        <f t="shared" si="120"/>
        <v>31</v>
      </c>
      <c r="J513" s="169"/>
      <c r="K513" s="124"/>
      <c r="L513" s="92" t="s">
        <v>21</v>
      </c>
      <c r="M513" s="92"/>
      <c r="R513" s="92" t="s">
        <v>302</v>
      </c>
      <c r="S513" s="92" t="s">
        <v>302</v>
      </c>
      <c r="W513" s="92" t="str">
        <f t="shared" ref="W513:W544" si="127">+CONCATENATE(E513,".",F513,"\",G513,".",H513,":",I513)</f>
        <v>2.2\0.2:31</v>
      </c>
      <c r="X513" s="92"/>
      <c r="Y513" s="94"/>
      <c r="Z513" s="93"/>
      <c r="AA513" s="9"/>
      <c r="AB513" s="7"/>
      <c r="AH513" s="94" t="s">
        <v>383</v>
      </c>
      <c r="AI513" s="168">
        <v>63</v>
      </c>
      <c r="AJ513" s="168">
        <v>64</v>
      </c>
    </row>
    <row r="514" spans="1:36" x14ac:dyDescent="0.3">
      <c r="A514" s="158" t="s">
        <v>291</v>
      </c>
      <c r="B514" s="93" t="str">
        <f t="shared" si="124"/>
        <v>DX02</v>
      </c>
      <c r="C514" s="93" t="str">
        <f t="shared" si="125"/>
        <v>DIO1</v>
      </c>
      <c r="D514" s="94">
        <f t="shared" si="123"/>
        <v>130</v>
      </c>
      <c r="E514" s="94">
        <v>2</v>
      </c>
      <c r="F514" s="94">
        <f t="shared" si="126"/>
        <v>2</v>
      </c>
      <c r="G514" s="94">
        <v>0</v>
      </c>
      <c r="H514" s="173">
        <f>+H513+1</f>
        <v>3</v>
      </c>
      <c r="I514" s="165">
        <v>0</v>
      </c>
      <c r="J514" s="172" t="s">
        <v>316</v>
      </c>
      <c r="K514" s="93" t="s">
        <v>315</v>
      </c>
      <c r="L514" s="92" t="s">
        <v>21</v>
      </c>
      <c r="M514" s="92"/>
      <c r="N514" s="92">
        <v>4</v>
      </c>
      <c r="O514" s="92" t="s">
        <v>382</v>
      </c>
      <c r="P514" s="12" t="s">
        <v>320</v>
      </c>
      <c r="Q514" s="12"/>
      <c r="R514" s="12" t="s">
        <v>319</v>
      </c>
      <c r="S514" s="12" t="s">
        <v>18</v>
      </c>
      <c r="T514" s="12" t="s">
        <v>318</v>
      </c>
      <c r="U514" s="12" t="s">
        <v>382</v>
      </c>
      <c r="W514" s="92" t="str">
        <f t="shared" si="127"/>
        <v>2.2\0.3:0</v>
      </c>
      <c r="X514" s="93" t="s">
        <v>381</v>
      </c>
      <c r="Y514" s="113" t="s">
        <v>4</v>
      </c>
      <c r="Z514" s="93"/>
      <c r="AA514" s="9"/>
      <c r="AB514" s="7"/>
      <c r="AH514" s="94" t="s">
        <v>354</v>
      </c>
      <c r="AI514" s="168">
        <v>1</v>
      </c>
      <c r="AJ514" s="168">
        <v>2</v>
      </c>
    </row>
    <row r="515" spans="1:36" x14ac:dyDescent="0.3">
      <c r="A515" s="102" t="str">
        <f t="shared" ref="A515:A545" si="128">A514</f>
        <v>BSR130</v>
      </c>
      <c r="B515" s="93" t="str">
        <f t="shared" si="124"/>
        <v>DX02</v>
      </c>
      <c r="C515" s="93" t="str">
        <f t="shared" si="125"/>
        <v>DIO1</v>
      </c>
      <c r="D515" s="94">
        <f t="shared" si="123"/>
        <v>130</v>
      </c>
      <c r="E515" s="94">
        <v>2</v>
      </c>
      <c r="F515" s="94">
        <f t="shared" si="126"/>
        <v>2</v>
      </c>
      <c r="G515" s="94">
        <v>0</v>
      </c>
      <c r="H515" s="171">
        <f>H514</f>
        <v>3</v>
      </c>
      <c r="I515" s="163">
        <f t="shared" ref="I515:I545" si="129">+I514+1</f>
        <v>1</v>
      </c>
      <c r="J515" s="172"/>
      <c r="K515" s="92"/>
      <c r="L515" s="92" t="s">
        <v>21</v>
      </c>
      <c r="M515" s="92"/>
      <c r="N515" s="92">
        <v>4</v>
      </c>
      <c r="O515" s="92" t="s">
        <v>382</v>
      </c>
      <c r="P515" s="12" t="s">
        <v>72</v>
      </c>
      <c r="Q515" s="12"/>
      <c r="R515" s="12" t="s">
        <v>378</v>
      </c>
      <c r="S515" s="12" t="s">
        <v>24</v>
      </c>
      <c r="T515" s="12" t="s">
        <v>38</v>
      </c>
      <c r="U515" s="12" t="s">
        <v>382</v>
      </c>
      <c r="V515" s="111"/>
      <c r="W515" s="92" t="str">
        <f t="shared" si="127"/>
        <v>2.2\0.3:1</v>
      </c>
      <c r="X515" s="93" t="s">
        <v>381</v>
      </c>
      <c r="Y515" s="113" t="s">
        <v>4</v>
      </c>
      <c r="Z515" s="93"/>
      <c r="AA515" s="9"/>
      <c r="AB515" s="7"/>
      <c r="AH515" s="94" t="s">
        <v>354</v>
      </c>
      <c r="AI515" s="168">
        <v>3</v>
      </c>
      <c r="AJ515" s="168">
        <v>4</v>
      </c>
    </row>
    <row r="516" spans="1:36" x14ac:dyDescent="0.3">
      <c r="A516" s="102" t="str">
        <f t="shared" si="128"/>
        <v>BSR130</v>
      </c>
      <c r="B516" s="93" t="str">
        <f t="shared" si="124"/>
        <v>DX02</v>
      </c>
      <c r="C516" s="93" t="str">
        <f t="shared" si="125"/>
        <v>DIO1</v>
      </c>
      <c r="D516" s="94">
        <f t="shared" si="123"/>
        <v>130</v>
      </c>
      <c r="E516" s="94">
        <v>2</v>
      </c>
      <c r="F516" s="94">
        <f t="shared" si="126"/>
        <v>2</v>
      </c>
      <c r="G516" s="94">
        <v>0</v>
      </c>
      <c r="H516" s="171">
        <f>H514</f>
        <v>3</v>
      </c>
      <c r="I516" s="163">
        <f t="shared" si="129"/>
        <v>2</v>
      </c>
      <c r="J516" s="172"/>
      <c r="K516" s="124"/>
      <c r="L516" s="92" t="s">
        <v>21</v>
      </c>
      <c r="M516" s="92"/>
      <c r="N516" s="92">
        <v>4</v>
      </c>
      <c r="O516" s="92" t="s">
        <v>382</v>
      </c>
      <c r="P516" s="12" t="s">
        <v>41</v>
      </c>
      <c r="Q516" s="12"/>
      <c r="R516" s="12" t="s">
        <v>378</v>
      </c>
      <c r="S516" s="12" t="s">
        <v>67</v>
      </c>
      <c r="T516" s="12" t="s">
        <v>38</v>
      </c>
      <c r="U516" s="12" t="s">
        <v>382</v>
      </c>
      <c r="W516" s="92" t="str">
        <f t="shared" si="127"/>
        <v>2.2\0.3:2</v>
      </c>
      <c r="X516" s="93" t="s">
        <v>381</v>
      </c>
      <c r="Y516" s="113" t="s">
        <v>4</v>
      </c>
      <c r="Z516" s="93"/>
      <c r="AA516" s="9"/>
      <c r="AB516" s="7"/>
      <c r="AH516" s="94" t="s">
        <v>354</v>
      </c>
      <c r="AI516" s="168">
        <v>5</v>
      </c>
      <c r="AJ516" s="168">
        <v>6</v>
      </c>
    </row>
    <row r="517" spans="1:36" x14ac:dyDescent="0.3">
      <c r="A517" s="102" t="str">
        <f t="shared" si="128"/>
        <v>BSR130</v>
      </c>
      <c r="B517" s="93" t="str">
        <f t="shared" si="124"/>
        <v>DX02</v>
      </c>
      <c r="C517" s="93" t="str">
        <f t="shared" si="125"/>
        <v>DIO1</v>
      </c>
      <c r="D517" s="94">
        <f t="shared" si="123"/>
        <v>130</v>
      </c>
      <c r="E517" s="94">
        <v>2</v>
      </c>
      <c r="F517" s="94">
        <f t="shared" si="126"/>
        <v>2</v>
      </c>
      <c r="G517" s="94">
        <v>0</v>
      </c>
      <c r="H517" s="171">
        <f t="shared" ref="H517:H528" si="130">H514</f>
        <v>3</v>
      </c>
      <c r="I517" s="163">
        <f t="shared" si="129"/>
        <v>3</v>
      </c>
      <c r="J517" s="172"/>
      <c r="K517" s="124"/>
      <c r="L517" s="92" t="s">
        <v>21</v>
      </c>
      <c r="M517" s="92"/>
      <c r="N517" s="92">
        <v>4</v>
      </c>
      <c r="O517" s="92" t="s">
        <v>380</v>
      </c>
      <c r="P517" s="12" t="s">
        <v>320</v>
      </c>
      <c r="Q517" s="12"/>
      <c r="R517" s="41" t="s">
        <v>319</v>
      </c>
      <c r="S517" s="12" t="s">
        <v>18</v>
      </c>
      <c r="T517" s="92" t="s">
        <v>318</v>
      </c>
      <c r="U517" s="12" t="s">
        <v>380</v>
      </c>
      <c r="W517" s="92" t="str">
        <f t="shared" si="127"/>
        <v>2.2\0.3:3</v>
      </c>
      <c r="X517" s="93" t="s">
        <v>379</v>
      </c>
      <c r="Y517" s="113" t="s">
        <v>4</v>
      </c>
      <c r="Z517" s="93"/>
      <c r="AA517" s="9"/>
      <c r="AB517" s="7"/>
      <c r="AH517" s="94" t="s">
        <v>354</v>
      </c>
      <c r="AI517" s="168">
        <v>7</v>
      </c>
      <c r="AJ517" s="168">
        <v>8</v>
      </c>
    </row>
    <row r="518" spans="1:36" x14ac:dyDescent="0.3">
      <c r="A518" s="102" t="str">
        <f t="shared" si="128"/>
        <v>BSR130</v>
      </c>
      <c r="B518" s="93" t="str">
        <f t="shared" si="124"/>
        <v>DX02</v>
      </c>
      <c r="C518" s="93" t="str">
        <f t="shared" si="125"/>
        <v>DIO1</v>
      </c>
      <c r="D518" s="94">
        <f t="shared" si="123"/>
        <v>130</v>
      </c>
      <c r="E518" s="94">
        <v>2</v>
      </c>
      <c r="F518" s="94">
        <f t="shared" si="126"/>
        <v>2</v>
      </c>
      <c r="G518" s="94">
        <v>0</v>
      </c>
      <c r="H518" s="171">
        <f t="shared" si="130"/>
        <v>3</v>
      </c>
      <c r="I518" s="163">
        <f t="shared" si="129"/>
        <v>4</v>
      </c>
      <c r="J518" s="172"/>
      <c r="K518" s="124"/>
      <c r="L518" s="92" t="s">
        <v>21</v>
      </c>
      <c r="M518" s="92"/>
      <c r="N518" s="92">
        <v>4</v>
      </c>
      <c r="O518" s="92" t="s">
        <v>380</v>
      </c>
      <c r="P518" s="12" t="s">
        <v>72</v>
      </c>
      <c r="Q518" s="12"/>
      <c r="R518" s="41" t="s">
        <v>378</v>
      </c>
      <c r="S518" s="12" t="s">
        <v>24</v>
      </c>
      <c r="T518" s="92" t="s">
        <v>38</v>
      </c>
      <c r="U518" s="12" t="s">
        <v>380</v>
      </c>
      <c r="W518" s="92" t="str">
        <f t="shared" si="127"/>
        <v>2.2\0.3:4</v>
      </c>
      <c r="X518" s="93" t="s">
        <v>379</v>
      </c>
      <c r="Y518" s="113" t="s">
        <v>4</v>
      </c>
      <c r="Z518" s="93"/>
      <c r="AA518" s="9"/>
      <c r="AB518" s="7"/>
      <c r="AH518" s="94" t="s">
        <v>354</v>
      </c>
      <c r="AI518" s="168">
        <v>9</v>
      </c>
      <c r="AJ518" s="168">
        <v>10</v>
      </c>
    </row>
    <row r="519" spans="1:36" x14ac:dyDescent="0.3">
      <c r="A519" s="102" t="str">
        <f t="shared" si="128"/>
        <v>BSR130</v>
      </c>
      <c r="B519" s="93" t="str">
        <f t="shared" si="124"/>
        <v>DX02</v>
      </c>
      <c r="C519" s="93" t="str">
        <f t="shared" si="125"/>
        <v>DIO1</v>
      </c>
      <c r="D519" s="94">
        <f t="shared" si="123"/>
        <v>130</v>
      </c>
      <c r="E519" s="94">
        <v>2</v>
      </c>
      <c r="F519" s="94">
        <f t="shared" si="126"/>
        <v>2</v>
      </c>
      <c r="G519" s="94">
        <v>0</v>
      </c>
      <c r="H519" s="171">
        <f t="shared" si="130"/>
        <v>3</v>
      </c>
      <c r="I519" s="163">
        <f t="shared" si="129"/>
        <v>5</v>
      </c>
      <c r="J519" s="172"/>
      <c r="K519" s="124"/>
      <c r="L519" s="92" t="s">
        <v>21</v>
      </c>
      <c r="M519" s="92"/>
      <c r="N519" s="92">
        <v>4</v>
      </c>
      <c r="O519" s="92" t="s">
        <v>380</v>
      </c>
      <c r="P519" s="12" t="s">
        <v>41</v>
      </c>
      <c r="Q519" s="12"/>
      <c r="R519" s="41" t="s">
        <v>378</v>
      </c>
      <c r="S519" s="12" t="s">
        <v>67</v>
      </c>
      <c r="T519" s="92" t="s">
        <v>38</v>
      </c>
      <c r="U519" s="12" t="s">
        <v>380</v>
      </c>
      <c r="W519" s="92" t="str">
        <f t="shared" si="127"/>
        <v>2.2\0.3:5</v>
      </c>
      <c r="X519" s="93" t="s">
        <v>379</v>
      </c>
      <c r="Y519" s="113" t="s">
        <v>4</v>
      </c>
      <c r="Z519" s="93"/>
      <c r="AA519" s="9"/>
      <c r="AB519" s="7"/>
      <c r="AH519" s="94" t="s">
        <v>354</v>
      </c>
      <c r="AI519" s="168">
        <v>11</v>
      </c>
      <c r="AJ519" s="168">
        <v>12</v>
      </c>
    </row>
    <row r="520" spans="1:36" x14ac:dyDescent="0.3">
      <c r="A520" s="102" t="str">
        <f t="shared" si="128"/>
        <v>BSR130</v>
      </c>
      <c r="B520" s="93" t="str">
        <f t="shared" si="124"/>
        <v>DX02</v>
      </c>
      <c r="C520" s="93" t="str">
        <f t="shared" si="125"/>
        <v>DIO1</v>
      </c>
      <c r="D520" s="94">
        <f t="shared" si="123"/>
        <v>130</v>
      </c>
      <c r="E520" s="94">
        <v>2</v>
      </c>
      <c r="F520" s="94">
        <f t="shared" si="126"/>
        <v>2</v>
      </c>
      <c r="G520" s="94">
        <v>0</v>
      </c>
      <c r="H520" s="171">
        <f t="shared" si="130"/>
        <v>3</v>
      </c>
      <c r="I520" s="163">
        <f t="shared" si="129"/>
        <v>6</v>
      </c>
      <c r="J520" s="172"/>
      <c r="K520" s="124"/>
      <c r="L520" s="92" t="s">
        <v>21</v>
      </c>
      <c r="M520" s="92"/>
      <c r="N520" s="92">
        <v>4</v>
      </c>
      <c r="O520" s="92" t="s">
        <v>377</v>
      </c>
      <c r="P520" s="12" t="s">
        <v>320</v>
      </c>
      <c r="Q520" s="12"/>
      <c r="R520" s="41" t="s">
        <v>319</v>
      </c>
      <c r="S520" s="12" t="s">
        <v>18</v>
      </c>
      <c r="T520" s="41" t="s">
        <v>318</v>
      </c>
      <c r="U520" s="12" t="s">
        <v>377</v>
      </c>
      <c r="W520" s="92" t="str">
        <f t="shared" si="127"/>
        <v>2.2\0.3:6</v>
      </c>
      <c r="X520" s="93" t="s">
        <v>376</v>
      </c>
      <c r="Y520" s="113" t="s">
        <v>4</v>
      </c>
      <c r="Z520" s="93"/>
      <c r="AA520" s="9"/>
      <c r="AB520" s="7"/>
      <c r="AH520" s="94" t="s">
        <v>354</v>
      </c>
      <c r="AI520" s="168">
        <v>13</v>
      </c>
      <c r="AJ520" s="168">
        <v>14</v>
      </c>
    </row>
    <row r="521" spans="1:36" x14ac:dyDescent="0.3">
      <c r="A521" s="102" t="str">
        <f t="shared" si="128"/>
        <v>BSR130</v>
      </c>
      <c r="B521" s="93" t="str">
        <f t="shared" si="124"/>
        <v>DX02</v>
      </c>
      <c r="C521" s="93" t="str">
        <f t="shared" si="125"/>
        <v>DIO1</v>
      </c>
      <c r="D521" s="94">
        <f t="shared" si="123"/>
        <v>130</v>
      </c>
      <c r="E521" s="94">
        <v>2</v>
      </c>
      <c r="F521" s="94">
        <f t="shared" si="126"/>
        <v>2</v>
      </c>
      <c r="G521" s="94">
        <v>0</v>
      </c>
      <c r="H521" s="171">
        <f t="shared" si="130"/>
        <v>3</v>
      </c>
      <c r="I521" s="163">
        <f t="shared" si="129"/>
        <v>7</v>
      </c>
      <c r="J521" s="172"/>
      <c r="K521" s="124"/>
      <c r="L521" s="92" t="s">
        <v>21</v>
      </c>
      <c r="M521" s="92"/>
      <c r="N521" s="92">
        <v>4</v>
      </c>
      <c r="O521" s="92" t="s">
        <v>377</v>
      </c>
      <c r="P521" s="12" t="s">
        <v>72</v>
      </c>
      <c r="Q521" s="12"/>
      <c r="R521" s="41" t="s">
        <v>378</v>
      </c>
      <c r="S521" s="12" t="s">
        <v>24</v>
      </c>
      <c r="T521" s="41" t="s">
        <v>38</v>
      </c>
      <c r="U521" s="12" t="s">
        <v>377</v>
      </c>
      <c r="W521" s="92" t="str">
        <f t="shared" si="127"/>
        <v>2.2\0.3:7</v>
      </c>
      <c r="X521" s="93" t="s">
        <v>376</v>
      </c>
      <c r="Y521" s="113" t="s">
        <v>4</v>
      </c>
      <c r="Z521" s="93"/>
      <c r="AA521" s="9"/>
      <c r="AB521" s="7"/>
      <c r="AH521" s="94" t="s">
        <v>354</v>
      </c>
      <c r="AI521" s="168">
        <v>15</v>
      </c>
      <c r="AJ521" s="168">
        <v>16</v>
      </c>
    </row>
    <row r="522" spans="1:36" x14ac:dyDescent="0.3">
      <c r="A522" s="102" t="str">
        <f t="shared" si="128"/>
        <v>BSR130</v>
      </c>
      <c r="B522" s="93" t="str">
        <f t="shared" si="124"/>
        <v>DX02</v>
      </c>
      <c r="C522" s="93" t="str">
        <f t="shared" si="125"/>
        <v>DIO1</v>
      </c>
      <c r="D522" s="94">
        <f t="shared" si="123"/>
        <v>130</v>
      </c>
      <c r="E522" s="94">
        <v>2</v>
      </c>
      <c r="F522" s="94">
        <f t="shared" si="126"/>
        <v>2</v>
      </c>
      <c r="G522" s="94">
        <v>0</v>
      </c>
      <c r="H522" s="171">
        <f t="shared" si="130"/>
        <v>3</v>
      </c>
      <c r="I522" s="163">
        <f t="shared" si="129"/>
        <v>8</v>
      </c>
      <c r="J522" s="172"/>
      <c r="K522" s="124"/>
      <c r="L522" s="92" t="s">
        <v>21</v>
      </c>
      <c r="M522" s="92"/>
      <c r="N522" s="92">
        <v>4</v>
      </c>
      <c r="O522" s="92" t="s">
        <v>377</v>
      </c>
      <c r="P522" s="12" t="s">
        <v>41</v>
      </c>
      <c r="Q522" s="12"/>
      <c r="R522" s="41" t="s">
        <v>378</v>
      </c>
      <c r="S522" s="12" t="s">
        <v>67</v>
      </c>
      <c r="T522" s="12" t="s">
        <v>38</v>
      </c>
      <c r="U522" s="12" t="s">
        <v>377</v>
      </c>
      <c r="V522" s="13"/>
      <c r="W522" s="92" t="str">
        <f t="shared" si="127"/>
        <v>2.2\0.3:8</v>
      </c>
      <c r="X522" s="93" t="s">
        <v>376</v>
      </c>
      <c r="Y522" s="113" t="s">
        <v>4</v>
      </c>
      <c r="Z522" s="93"/>
      <c r="AA522" s="9"/>
      <c r="AH522" s="94" t="s">
        <v>354</v>
      </c>
      <c r="AI522" s="168">
        <v>17</v>
      </c>
      <c r="AJ522" s="168">
        <v>18</v>
      </c>
    </row>
    <row r="523" spans="1:36" x14ac:dyDescent="0.3">
      <c r="A523" s="102" t="str">
        <f t="shared" si="128"/>
        <v>BSR130</v>
      </c>
      <c r="B523" s="93" t="str">
        <f t="shared" si="124"/>
        <v>DX02</v>
      </c>
      <c r="C523" s="93" t="str">
        <f t="shared" si="125"/>
        <v>DIO1</v>
      </c>
      <c r="D523" s="94">
        <f t="shared" si="123"/>
        <v>130</v>
      </c>
      <c r="E523" s="94">
        <v>2</v>
      </c>
      <c r="F523" s="94">
        <f t="shared" si="126"/>
        <v>2</v>
      </c>
      <c r="G523" s="94">
        <v>0</v>
      </c>
      <c r="H523" s="171">
        <f t="shared" si="130"/>
        <v>3</v>
      </c>
      <c r="I523" s="163">
        <f t="shared" si="129"/>
        <v>9</v>
      </c>
      <c r="J523" s="172"/>
      <c r="K523" s="124"/>
      <c r="L523" s="92" t="s">
        <v>21</v>
      </c>
      <c r="M523" s="92"/>
      <c r="N523" s="92"/>
      <c r="O523" s="139"/>
      <c r="P523" s="12"/>
      <c r="Q523" s="12"/>
      <c r="R523" s="12" t="s">
        <v>302</v>
      </c>
      <c r="S523" s="12" t="s">
        <v>302</v>
      </c>
      <c r="T523" s="12"/>
      <c r="U523" s="13"/>
      <c r="V523" s="93"/>
      <c r="W523" s="92" t="str">
        <f t="shared" si="127"/>
        <v>2.2\0.3:9</v>
      </c>
      <c r="X523" s="93"/>
      <c r="Y523" s="113"/>
      <c r="Z523" s="93"/>
      <c r="AA523" s="9"/>
      <c r="AH523" s="94" t="s">
        <v>354</v>
      </c>
      <c r="AI523" s="168">
        <v>19</v>
      </c>
      <c r="AJ523" s="168">
        <v>20</v>
      </c>
    </row>
    <row r="524" spans="1:36" x14ac:dyDescent="0.3">
      <c r="A524" s="102" t="str">
        <f t="shared" si="128"/>
        <v>BSR130</v>
      </c>
      <c r="B524" s="93" t="str">
        <f t="shared" si="124"/>
        <v>DX02</v>
      </c>
      <c r="C524" s="93" t="str">
        <f t="shared" si="125"/>
        <v>DIO1</v>
      </c>
      <c r="D524" s="94">
        <f t="shared" si="123"/>
        <v>130</v>
      </c>
      <c r="E524" s="94">
        <v>2</v>
      </c>
      <c r="F524" s="94">
        <f t="shared" si="126"/>
        <v>2</v>
      </c>
      <c r="G524" s="94">
        <v>0</v>
      </c>
      <c r="H524" s="171">
        <f t="shared" si="130"/>
        <v>3</v>
      </c>
      <c r="I524" s="163">
        <f t="shared" si="129"/>
        <v>10</v>
      </c>
      <c r="J524" s="172"/>
      <c r="K524" s="124"/>
      <c r="L524" s="92" t="s">
        <v>21</v>
      </c>
      <c r="M524" s="92"/>
      <c r="N524" s="92"/>
      <c r="O524" s="139"/>
      <c r="P524" s="12"/>
      <c r="Q524" s="12"/>
      <c r="R524" s="12" t="s">
        <v>302</v>
      </c>
      <c r="S524" s="12" t="s">
        <v>302</v>
      </c>
      <c r="T524" s="12"/>
      <c r="U524" s="13"/>
      <c r="V524" s="93"/>
      <c r="W524" s="92" t="str">
        <f t="shared" si="127"/>
        <v>2.2\0.3:10</v>
      </c>
      <c r="X524" s="93"/>
      <c r="Y524" s="113"/>
      <c r="Z524" s="93"/>
      <c r="AA524" s="9"/>
      <c r="AB524" s="7"/>
      <c r="AH524" s="94" t="s">
        <v>354</v>
      </c>
      <c r="AI524" s="168">
        <v>21</v>
      </c>
      <c r="AJ524" s="168">
        <v>22</v>
      </c>
    </row>
    <row r="525" spans="1:36" x14ac:dyDescent="0.3">
      <c r="A525" s="102" t="str">
        <f t="shared" si="128"/>
        <v>BSR130</v>
      </c>
      <c r="B525" s="93" t="str">
        <f t="shared" si="124"/>
        <v>DX02</v>
      </c>
      <c r="C525" s="93" t="str">
        <f t="shared" si="125"/>
        <v>DIO1</v>
      </c>
      <c r="D525" s="94">
        <f t="shared" si="123"/>
        <v>130</v>
      </c>
      <c r="E525" s="94">
        <v>2</v>
      </c>
      <c r="F525" s="94">
        <f t="shared" si="126"/>
        <v>2</v>
      </c>
      <c r="G525" s="94">
        <v>0</v>
      </c>
      <c r="H525" s="171">
        <f t="shared" si="130"/>
        <v>3</v>
      </c>
      <c r="I525" s="163">
        <f t="shared" si="129"/>
        <v>11</v>
      </c>
      <c r="J525" s="172"/>
      <c r="K525" s="124"/>
      <c r="L525" s="92" t="s">
        <v>21</v>
      </c>
      <c r="M525" s="92"/>
      <c r="N525" s="92"/>
      <c r="O525" s="139"/>
      <c r="P525" s="12"/>
      <c r="Q525" s="12"/>
      <c r="R525" s="12" t="s">
        <v>302</v>
      </c>
      <c r="S525" s="12" t="s">
        <v>302</v>
      </c>
      <c r="T525" s="12"/>
      <c r="U525" s="13"/>
      <c r="V525" s="93"/>
      <c r="W525" s="92" t="str">
        <f t="shared" si="127"/>
        <v>2.2\0.3:11</v>
      </c>
      <c r="X525" s="93"/>
      <c r="Y525" s="113"/>
      <c r="Z525" s="93"/>
      <c r="AA525" s="9"/>
      <c r="AB525" s="7"/>
      <c r="AH525" s="94" t="s">
        <v>354</v>
      </c>
      <c r="AI525" s="168">
        <v>23</v>
      </c>
      <c r="AJ525" s="168">
        <v>24</v>
      </c>
    </row>
    <row r="526" spans="1:36" x14ac:dyDescent="0.3">
      <c r="A526" s="102" t="str">
        <f t="shared" si="128"/>
        <v>BSR130</v>
      </c>
      <c r="B526" s="93" t="str">
        <f t="shared" si="124"/>
        <v>DX02</v>
      </c>
      <c r="C526" s="93" t="str">
        <f t="shared" si="125"/>
        <v>DIO1</v>
      </c>
      <c r="D526" s="94">
        <f t="shared" si="123"/>
        <v>130</v>
      </c>
      <c r="E526" s="94">
        <v>2</v>
      </c>
      <c r="F526" s="94">
        <f t="shared" si="126"/>
        <v>2</v>
      </c>
      <c r="G526" s="94">
        <v>0</v>
      </c>
      <c r="H526" s="171">
        <f t="shared" si="130"/>
        <v>3</v>
      </c>
      <c r="I526" s="163">
        <f t="shared" si="129"/>
        <v>12</v>
      </c>
      <c r="J526" s="172"/>
      <c r="K526" s="124"/>
      <c r="L526" s="92" t="s">
        <v>21</v>
      </c>
      <c r="M526" s="92"/>
      <c r="N526" s="92">
        <v>4</v>
      </c>
      <c r="O526" s="92" t="s">
        <v>374</v>
      </c>
      <c r="P526" s="92" t="s">
        <v>320</v>
      </c>
      <c r="R526" s="92" t="s">
        <v>319</v>
      </c>
      <c r="S526" s="92" t="s">
        <v>18</v>
      </c>
      <c r="T526" s="92" t="s">
        <v>372</v>
      </c>
      <c r="U526" s="92" t="s">
        <v>374</v>
      </c>
      <c r="V526" s="93"/>
      <c r="W526" s="92" t="str">
        <f t="shared" si="127"/>
        <v>2.2\0.3:12</v>
      </c>
      <c r="X526" s="92" t="s">
        <v>373</v>
      </c>
      <c r="Y526" s="113"/>
      <c r="Z526" s="277" t="s">
        <v>375</v>
      </c>
      <c r="AA526" s="9"/>
      <c r="AB526" s="7"/>
      <c r="AH526" s="94" t="s">
        <v>354</v>
      </c>
      <c r="AI526" s="168">
        <v>25</v>
      </c>
      <c r="AJ526" s="168">
        <v>26</v>
      </c>
    </row>
    <row r="527" spans="1:36" x14ac:dyDescent="0.3">
      <c r="A527" s="102" t="str">
        <f t="shared" si="128"/>
        <v>BSR130</v>
      </c>
      <c r="B527" s="93" t="str">
        <f t="shared" si="124"/>
        <v>DX02</v>
      </c>
      <c r="C527" s="93" t="str">
        <f t="shared" si="125"/>
        <v>DIO1</v>
      </c>
      <c r="D527" s="94">
        <f t="shared" si="123"/>
        <v>130</v>
      </c>
      <c r="E527" s="94">
        <v>2</v>
      </c>
      <c r="F527" s="94">
        <f t="shared" si="126"/>
        <v>2</v>
      </c>
      <c r="G527" s="94">
        <v>0</v>
      </c>
      <c r="H527" s="171">
        <f t="shared" si="130"/>
        <v>3</v>
      </c>
      <c r="I527" s="163">
        <f t="shared" si="129"/>
        <v>13</v>
      </c>
      <c r="J527" s="172"/>
      <c r="K527" s="124"/>
      <c r="L527" s="92" t="s">
        <v>21</v>
      </c>
      <c r="M527" s="92"/>
      <c r="N527" s="92">
        <v>4</v>
      </c>
      <c r="O527" s="92" t="s">
        <v>374</v>
      </c>
      <c r="P527" s="92" t="s">
        <v>41</v>
      </c>
      <c r="R527" s="92" t="s">
        <v>370</v>
      </c>
      <c r="S527" s="92" t="s">
        <v>369</v>
      </c>
      <c r="T527" s="92" t="s">
        <v>368</v>
      </c>
      <c r="U527" s="92" t="s">
        <v>374</v>
      </c>
      <c r="V527" s="93"/>
      <c r="W527" s="92" t="str">
        <f t="shared" si="127"/>
        <v>2.2\0.3:13</v>
      </c>
      <c r="X527" s="92" t="s">
        <v>373</v>
      </c>
      <c r="Y527" s="113"/>
      <c r="Z527" s="276"/>
      <c r="AA527" s="9"/>
      <c r="AB527" s="7"/>
      <c r="AH527" s="94" t="s">
        <v>354</v>
      </c>
      <c r="AI527" s="168">
        <v>27</v>
      </c>
      <c r="AJ527" s="168">
        <v>28</v>
      </c>
    </row>
    <row r="528" spans="1:36" x14ac:dyDescent="0.3">
      <c r="A528" s="102" t="str">
        <f t="shared" si="128"/>
        <v>BSR130</v>
      </c>
      <c r="B528" s="93" t="str">
        <f t="shared" si="124"/>
        <v>DX02</v>
      </c>
      <c r="C528" s="93" t="str">
        <f t="shared" si="125"/>
        <v>DIO1</v>
      </c>
      <c r="D528" s="94">
        <f t="shared" si="123"/>
        <v>130</v>
      </c>
      <c r="E528" s="94">
        <v>2</v>
      </c>
      <c r="F528" s="94">
        <f t="shared" si="126"/>
        <v>2</v>
      </c>
      <c r="G528" s="94">
        <v>0</v>
      </c>
      <c r="H528" s="171">
        <f t="shared" si="130"/>
        <v>3</v>
      </c>
      <c r="I528" s="163">
        <f t="shared" si="129"/>
        <v>14</v>
      </c>
      <c r="J528" s="172"/>
      <c r="K528" s="124"/>
      <c r="L528" s="92" t="s">
        <v>21</v>
      </c>
      <c r="M528" s="92"/>
      <c r="N528" s="92">
        <v>4</v>
      </c>
      <c r="O528" s="92" t="s">
        <v>374</v>
      </c>
      <c r="P528" s="12" t="s">
        <v>367</v>
      </c>
      <c r="Q528" s="12"/>
      <c r="R528" s="92" t="s">
        <v>366</v>
      </c>
      <c r="S528" s="92" t="s">
        <v>18</v>
      </c>
      <c r="T528" s="92" t="s">
        <v>365</v>
      </c>
      <c r="U528" s="92" t="s">
        <v>374</v>
      </c>
      <c r="V528" s="93"/>
      <c r="W528" s="92" t="str">
        <f t="shared" si="127"/>
        <v>2.2\0.3:14</v>
      </c>
      <c r="X528" s="92" t="s">
        <v>373</v>
      </c>
      <c r="Y528" s="113"/>
      <c r="Z528" s="276"/>
      <c r="AA528" s="9"/>
      <c r="AB528" s="7"/>
      <c r="AH528" s="94" t="s">
        <v>354</v>
      </c>
      <c r="AI528" s="168">
        <v>29</v>
      </c>
      <c r="AJ528" s="168">
        <v>30</v>
      </c>
    </row>
    <row r="529" spans="1:36" x14ac:dyDescent="0.3">
      <c r="A529" s="102" t="str">
        <f t="shared" si="128"/>
        <v>BSR130</v>
      </c>
      <c r="B529" s="93" t="str">
        <f t="shared" si="124"/>
        <v>DX02</v>
      </c>
      <c r="C529" s="93" t="str">
        <f t="shared" si="125"/>
        <v>DIO1</v>
      </c>
      <c r="D529" s="94">
        <f t="shared" si="123"/>
        <v>130</v>
      </c>
      <c r="E529" s="94">
        <v>2</v>
      </c>
      <c r="F529" s="94">
        <f t="shared" si="126"/>
        <v>2</v>
      </c>
      <c r="G529" s="94">
        <v>0</v>
      </c>
      <c r="H529" s="171">
        <f t="shared" ref="H529:H545" si="131">H525</f>
        <v>3</v>
      </c>
      <c r="I529" s="163">
        <f t="shared" si="129"/>
        <v>15</v>
      </c>
      <c r="J529" s="172"/>
      <c r="K529" s="124"/>
      <c r="L529" s="92" t="s">
        <v>21</v>
      </c>
      <c r="M529" s="92"/>
      <c r="N529" s="92">
        <v>4</v>
      </c>
      <c r="O529" s="92" t="s">
        <v>374</v>
      </c>
      <c r="P529" s="12" t="s">
        <v>364</v>
      </c>
      <c r="Q529" s="12"/>
      <c r="R529" s="92" t="s">
        <v>363</v>
      </c>
      <c r="S529" s="92" t="s">
        <v>18</v>
      </c>
      <c r="T529" s="92" t="s">
        <v>362</v>
      </c>
      <c r="U529" s="13" t="s">
        <v>374</v>
      </c>
      <c r="V529" s="93"/>
      <c r="W529" s="92" t="str">
        <f t="shared" si="127"/>
        <v>2.2\0.3:15</v>
      </c>
      <c r="X529" s="92" t="s">
        <v>373</v>
      </c>
      <c r="Y529" s="113"/>
      <c r="Z529" s="276"/>
      <c r="AA529" s="9"/>
      <c r="AB529" s="7"/>
      <c r="AH529" s="94" t="s">
        <v>354</v>
      </c>
      <c r="AI529" s="168">
        <v>31</v>
      </c>
      <c r="AJ529" s="168">
        <v>32</v>
      </c>
    </row>
    <row r="530" spans="1:36" x14ac:dyDescent="0.3">
      <c r="A530" s="102" t="str">
        <f t="shared" si="128"/>
        <v>BSR130</v>
      </c>
      <c r="B530" s="93" t="str">
        <f t="shared" si="124"/>
        <v>DX02</v>
      </c>
      <c r="C530" s="93" t="str">
        <f t="shared" si="125"/>
        <v>DIO1</v>
      </c>
      <c r="D530" s="94">
        <f t="shared" si="123"/>
        <v>130</v>
      </c>
      <c r="E530" s="94">
        <v>2</v>
      </c>
      <c r="F530" s="94">
        <f t="shared" si="126"/>
        <v>2</v>
      </c>
      <c r="G530" s="94">
        <v>0</v>
      </c>
      <c r="H530" s="171">
        <f t="shared" si="131"/>
        <v>3</v>
      </c>
      <c r="I530" s="163">
        <f t="shared" si="129"/>
        <v>16</v>
      </c>
      <c r="J530" s="172"/>
      <c r="K530" s="93"/>
      <c r="L530" s="92" t="s">
        <v>21</v>
      </c>
      <c r="M530" s="92"/>
      <c r="N530" s="92">
        <v>4</v>
      </c>
      <c r="O530" s="92" t="s">
        <v>374</v>
      </c>
      <c r="P530" s="12" t="s">
        <v>361</v>
      </c>
      <c r="Q530" s="12"/>
      <c r="R530" s="92" t="s">
        <v>360</v>
      </c>
      <c r="S530" s="92" t="s">
        <v>18</v>
      </c>
      <c r="T530" s="92" t="s">
        <v>359</v>
      </c>
      <c r="U530" s="13" t="s">
        <v>374</v>
      </c>
      <c r="W530" s="92" t="str">
        <f t="shared" si="127"/>
        <v>2.2\0.3:16</v>
      </c>
      <c r="X530" s="92" t="s">
        <v>373</v>
      </c>
      <c r="Y530" s="113"/>
      <c r="Z530" s="276"/>
      <c r="AA530" s="9"/>
      <c r="AB530" s="7"/>
      <c r="AH530" s="94" t="s">
        <v>354</v>
      </c>
      <c r="AI530" s="168">
        <v>33</v>
      </c>
      <c r="AJ530" s="168">
        <v>34</v>
      </c>
    </row>
    <row r="531" spans="1:36" x14ac:dyDescent="0.3">
      <c r="A531" s="102" t="str">
        <f t="shared" si="128"/>
        <v>BSR130</v>
      </c>
      <c r="B531" s="93" t="str">
        <f t="shared" si="124"/>
        <v>DX02</v>
      </c>
      <c r="C531" s="93" t="str">
        <f t="shared" si="125"/>
        <v>DIO1</v>
      </c>
      <c r="D531" s="94">
        <f t="shared" si="123"/>
        <v>130</v>
      </c>
      <c r="E531" s="94">
        <v>2</v>
      </c>
      <c r="F531" s="94">
        <f t="shared" si="126"/>
        <v>2</v>
      </c>
      <c r="G531" s="94">
        <v>0</v>
      </c>
      <c r="H531" s="171">
        <f t="shared" si="131"/>
        <v>3</v>
      </c>
      <c r="I531" s="163">
        <f t="shared" si="129"/>
        <v>17</v>
      </c>
      <c r="J531" s="172"/>
      <c r="K531" s="124"/>
      <c r="L531" s="92" t="s">
        <v>21</v>
      </c>
      <c r="M531" s="92"/>
      <c r="N531" s="92">
        <v>4</v>
      </c>
      <c r="O531" s="92" t="s">
        <v>374</v>
      </c>
      <c r="P531" s="92" t="s">
        <v>358</v>
      </c>
      <c r="R531" s="92" t="s">
        <v>357</v>
      </c>
      <c r="S531" s="92" t="s">
        <v>18</v>
      </c>
      <c r="T531" s="92" t="s">
        <v>356</v>
      </c>
      <c r="U531" s="92" t="s">
        <v>374</v>
      </c>
      <c r="W531" s="92" t="str">
        <f t="shared" si="127"/>
        <v>2.2\0.3:17</v>
      </c>
      <c r="X531" s="92" t="s">
        <v>373</v>
      </c>
      <c r="Y531" s="113"/>
      <c r="Z531" s="276"/>
      <c r="AA531" s="9"/>
      <c r="AH531" s="94" t="s">
        <v>354</v>
      </c>
      <c r="AI531" s="168">
        <v>35</v>
      </c>
      <c r="AJ531" s="168">
        <v>36</v>
      </c>
    </row>
    <row r="532" spans="1:36" x14ac:dyDescent="0.3">
      <c r="A532" s="102" t="str">
        <f t="shared" si="128"/>
        <v>BSR130</v>
      </c>
      <c r="B532" s="93" t="str">
        <f t="shared" si="124"/>
        <v>DX02</v>
      </c>
      <c r="C532" s="93" t="str">
        <f t="shared" si="125"/>
        <v>DIO1</v>
      </c>
      <c r="D532" s="94">
        <f t="shared" si="123"/>
        <v>130</v>
      </c>
      <c r="E532" s="94">
        <v>2</v>
      </c>
      <c r="F532" s="94">
        <f t="shared" si="126"/>
        <v>2</v>
      </c>
      <c r="G532" s="94">
        <v>0</v>
      </c>
      <c r="H532" s="171">
        <f t="shared" si="131"/>
        <v>3</v>
      </c>
      <c r="I532" s="163">
        <f t="shared" si="129"/>
        <v>18</v>
      </c>
      <c r="J532" s="172"/>
      <c r="K532" s="124"/>
      <c r="L532" s="92" t="s">
        <v>21</v>
      </c>
      <c r="M532" s="92"/>
      <c r="N532" s="92">
        <v>4</v>
      </c>
      <c r="O532" s="92" t="s">
        <v>355</v>
      </c>
      <c r="P532" s="12" t="s">
        <v>320</v>
      </c>
      <c r="Q532" s="12"/>
      <c r="R532" s="92" t="s">
        <v>319</v>
      </c>
      <c r="S532" s="12" t="s">
        <v>18</v>
      </c>
      <c r="T532" s="92" t="s">
        <v>372</v>
      </c>
      <c r="U532" s="92" t="s">
        <v>355</v>
      </c>
      <c r="V532" s="12"/>
      <c r="W532" s="92" t="str">
        <f t="shared" si="127"/>
        <v>2.2\0.3:18</v>
      </c>
      <c r="X532" s="92" t="s">
        <v>16</v>
      </c>
      <c r="Y532" s="113"/>
      <c r="Z532" s="277" t="s">
        <v>371</v>
      </c>
      <c r="AA532" s="9"/>
      <c r="AB532" s="7"/>
      <c r="AH532" s="94" t="s">
        <v>354</v>
      </c>
      <c r="AI532" s="168">
        <v>37</v>
      </c>
      <c r="AJ532" s="168">
        <v>38</v>
      </c>
    </row>
    <row r="533" spans="1:36" x14ac:dyDescent="0.3">
      <c r="A533" s="102" t="str">
        <f t="shared" si="128"/>
        <v>BSR130</v>
      </c>
      <c r="B533" s="93" t="str">
        <f t="shared" si="124"/>
        <v>DX02</v>
      </c>
      <c r="C533" s="93" t="str">
        <f t="shared" si="125"/>
        <v>DIO1</v>
      </c>
      <c r="D533" s="94">
        <f t="shared" si="123"/>
        <v>130</v>
      </c>
      <c r="E533" s="94">
        <v>2</v>
      </c>
      <c r="F533" s="94">
        <f t="shared" si="126"/>
        <v>2</v>
      </c>
      <c r="G533" s="94">
        <v>0</v>
      </c>
      <c r="H533" s="171">
        <f t="shared" si="131"/>
        <v>3</v>
      </c>
      <c r="I533" s="163">
        <f t="shared" si="129"/>
        <v>19</v>
      </c>
      <c r="J533" s="172"/>
      <c r="K533" s="124"/>
      <c r="L533" s="92" t="s">
        <v>21</v>
      </c>
      <c r="M533" s="92"/>
      <c r="N533" s="92">
        <v>4</v>
      </c>
      <c r="O533" s="111" t="s">
        <v>355</v>
      </c>
      <c r="P533" s="111" t="s">
        <v>41</v>
      </c>
      <c r="Q533" s="111"/>
      <c r="R533" s="111" t="s">
        <v>370</v>
      </c>
      <c r="S533" s="111" t="s">
        <v>369</v>
      </c>
      <c r="T533" s="92" t="s">
        <v>368</v>
      </c>
      <c r="U533" s="92" t="s">
        <v>355</v>
      </c>
      <c r="V533" s="12"/>
      <c r="W533" s="92" t="str">
        <f t="shared" si="127"/>
        <v>2.2\0.3:19</v>
      </c>
      <c r="X533" s="92" t="s">
        <v>16</v>
      </c>
      <c r="Y533" s="113"/>
      <c r="Z533" s="276"/>
      <c r="AA533" s="9"/>
      <c r="AB533" s="7"/>
      <c r="AH533" s="94" t="s">
        <v>354</v>
      </c>
      <c r="AI533" s="168">
        <v>39</v>
      </c>
      <c r="AJ533" s="168">
        <v>40</v>
      </c>
    </row>
    <row r="534" spans="1:36" x14ac:dyDescent="0.3">
      <c r="A534" s="102" t="str">
        <f t="shared" si="128"/>
        <v>BSR130</v>
      </c>
      <c r="B534" s="93" t="str">
        <f t="shared" si="124"/>
        <v>DX02</v>
      </c>
      <c r="C534" s="93" t="str">
        <f t="shared" si="125"/>
        <v>DIO1</v>
      </c>
      <c r="D534" s="94">
        <f t="shared" si="123"/>
        <v>130</v>
      </c>
      <c r="E534" s="94">
        <v>2</v>
      </c>
      <c r="F534" s="94">
        <f t="shared" si="126"/>
        <v>2</v>
      </c>
      <c r="G534" s="94">
        <v>0</v>
      </c>
      <c r="H534" s="171">
        <f t="shared" si="131"/>
        <v>3</v>
      </c>
      <c r="I534" s="163">
        <f t="shared" si="129"/>
        <v>20</v>
      </c>
      <c r="J534" s="172"/>
      <c r="K534" s="124"/>
      <c r="L534" s="92" t="s">
        <v>21</v>
      </c>
      <c r="M534" s="92"/>
      <c r="N534" s="92">
        <v>4</v>
      </c>
      <c r="O534" s="92" t="s">
        <v>355</v>
      </c>
      <c r="P534" s="92" t="s">
        <v>367</v>
      </c>
      <c r="R534" s="12" t="s">
        <v>366</v>
      </c>
      <c r="S534" s="92" t="s">
        <v>18</v>
      </c>
      <c r="T534" s="92" t="s">
        <v>365</v>
      </c>
      <c r="U534" s="92" t="s">
        <v>355</v>
      </c>
      <c r="V534" s="37"/>
      <c r="W534" s="92" t="str">
        <f t="shared" si="127"/>
        <v>2.2\0.3:20</v>
      </c>
      <c r="X534" s="92" t="s">
        <v>16</v>
      </c>
      <c r="Y534" s="113"/>
      <c r="Z534" s="276"/>
      <c r="AA534" s="9"/>
      <c r="AH534" s="94" t="s">
        <v>354</v>
      </c>
      <c r="AI534" s="168">
        <v>41</v>
      </c>
      <c r="AJ534" s="168">
        <v>42</v>
      </c>
    </row>
    <row r="535" spans="1:36" x14ac:dyDescent="0.3">
      <c r="A535" s="102" t="str">
        <f t="shared" si="128"/>
        <v>BSR130</v>
      </c>
      <c r="B535" s="93" t="str">
        <f t="shared" si="124"/>
        <v>DX02</v>
      </c>
      <c r="C535" s="93" t="str">
        <f t="shared" si="125"/>
        <v>DIO1</v>
      </c>
      <c r="D535" s="94">
        <f t="shared" si="123"/>
        <v>130</v>
      </c>
      <c r="E535" s="94">
        <v>2</v>
      </c>
      <c r="F535" s="94">
        <f t="shared" si="126"/>
        <v>2</v>
      </c>
      <c r="G535" s="94">
        <v>0</v>
      </c>
      <c r="H535" s="171">
        <f t="shared" si="131"/>
        <v>3</v>
      </c>
      <c r="I535" s="163">
        <f t="shared" si="129"/>
        <v>21</v>
      </c>
      <c r="J535" s="172"/>
      <c r="K535" s="124"/>
      <c r="L535" s="92" t="s">
        <v>21</v>
      </c>
      <c r="M535" s="92"/>
      <c r="N535" s="92">
        <v>4</v>
      </c>
      <c r="O535" s="92" t="s">
        <v>355</v>
      </c>
      <c r="P535" s="92" t="s">
        <v>364</v>
      </c>
      <c r="R535" s="92" t="s">
        <v>363</v>
      </c>
      <c r="S535" s="92" t="s">
        <v>18</v>
      </c>
      <c r="T535" s="92" t="s">
        <v>362</v>
      </c>
      <c r="U535" s="92" t="s">
        <v>355</v>
      </c>
      <c r="V535" s="12"/>
      <c r="W535" s="92" t="str">
        <f t="shared" si="127"/>
        <v>2.2\0.3:21</v>
      </c>
      <c r="X535" s="92" t="s">
        <v>16</v>
      </c>
      <c r="Y535" s="113"/>
      <c r="Z535" s="276"/>
      <c r="AA535" s="9"/>
      <c r="AH535" s="94" t="s">
        <v>354</v>
      </c>
      <c r="AI535" s="168">
        <v>43</v>
      </c>
      <c r="AJ535" s="168">
        <v>44</v>
      </c>
    </row>
    <row r="536" spans="1:36" x14ac:dyDescent="0.3">
      <c r="A536" s="102" t="str">
        <f t="shared" si="128"/>
        <v>BSR130</v>
      </c>
      <c r="B536" s="93" t="str">
        <f t="shared" si="124"/>
        <v>DX02</v>
      </c>
      <c r="C536" s="93" t="str">
        <f t="shared" si="125"/>
        <v>DIO1</v>
      </c>
      <c r="D536" s="94">
        <f t="shared" si="123"/>
        <v>130</v>
      </c>
      <c r="E536" s="94">
        <v>2</v>
      </c>
      <c r="F536" s="94">
        <f t="shared" si="126"/>
        <v>2</v>
      </c>
      <c r="G536" s="94">
        <v>0</v>
      </c>
      <c r="H536" s="171">
        <f t="shared" si="131"/>
        <v>3</v>
      </c>
      <c r="I536" s="163">
        <f t="shared" si="129"/>
        <v>22</v>
      </c>
      <c r="J536" s="172"/>
      <c r="K536" s="124"/>
      <c r="L536" s="92" t="s">
        <v>21</v>
      </c>
      <c r="M536" s="92"/>
      <c r="N536" s="92">
        <v>4</v>
      </c>
      <c r="O536" s="92" t="s">
        <v>355</v>
      </c>
      <c r="P536" s="92" t="s">
        <v>361</v>
      </c>
      <c r="R536" s="92" t="s">
        <v>360</v>
      </c>
      <c r="S536" s="92" t="s">
        <v>18</v>
      </c>
      <c r="T536" s="92" t="s">
        <v>359</v>
      </c>
      <c r="U536" s="92" t="s">
        <v>355</v>
      </c>
      <c r="V536" s="13"/>
      <c r="W536" s="92" t="str">
        <f t="shared" si="127"/>
        <v>2.2\0.3:22</v>
      </c>
      <c r="X536" s="92" t="s">
        <v>16</v>
      </c>
      <c r="Y536" s="113"/>
      <c r="Z536" s="276"/>
      <c r="AA536" s="9"/>
      <c r="AH536" s="94" t="s">
        <v>354</v>
      </c>
      <c r="AI536" s="168">
        <v>45</v>
      </c>
      <c r="AJ536" s="168">
        <v>46</v>
      </c>
    </row>
    <row r="537" spans="1:36" x14ac:dyDescent="0.3">
      <c r="A537" s="102" t="str">
        <f t="shared" si="128"/>
        <v>BSR130</v>
      </c>
      <c r="B537" s="93" t="str">
        <f t="shared" si="124"/>
        <v>DX02</v>
      </c>
      <c r="C537" s="93" t="str">
        <f t="shared" si="125"/>
        <v>DIO1</v>
      </c>
      <c r="D537" s="94">
        <f t="shared" si="123"/>
        <v>130</v>
      </c>
      <c r="E537" s="94">
        <v>2</v>
      </c>
      <c r="F537" s="94">
        <f t="shared" si="126"/>
        <v>2</v>
      </c>
      <c r="G537" s="94">
        <v>0</v>
      </c>
      <c r="H537" s="171">
        <f t="shared" si="131"/>
        <v>3</v>
      </c>
      <c r="I537" s="163">
        <f t="shared" si="129"/>
        <v>23</v>
      </c>
      <c r="J537" s="172"/>
      <c r="K537" s="124"/>
      <c r="L537" s="92" t="s">
        <v>21</v>
      </c>
      <c r="M537" s="92"/>
      <c r="N537" s="92">
        <v>4</v>
      </c>
      <c r="O537" s="92" t="s">
        <v>355</v>
      </c>
      <c r="P537" s="92" t="s">
        <v>358</v>
      </c>
      <c r="R537" s="92" t="s">
        <v>357</v>
      </c>
      <c r="S537" s="92" t="s">
        <v>18</v>
      </c>
      <c r="T537" s="92" t="s">
        <v>356</v>
      </c>
      <c r="U537" s="92" t="s">
        <v>355</v>
      </c>
      <c r="V537" s="13"/>
      <c r="W537" s="92" t="str">
        <f t="shared" si="127"/>
        <v>2.2\0.3:23</v>
      </c>
      <c r="X537" s="92" t="s">
        <v>16</v>
      </c>
      <c r="Y537" s="113"/>
      <c r="Z537" s="276"/>
      <c r="AA537" s="9"/>
      <c r="AH537" s="94" t="s">
        <v>354</v>
      </c>
      <c r="AI537" s="168">
        <v>47</v>
      </c>
      <c r="AJ537" s="168">
        <v>48</v>
      </c>
    </row>
    <row r="538" spans="1:36" x14ac:dyDescent="0.3">
      <c r="A538" s="102" t="str">
        <f t="shared" si="128"/>
        <v>BSR130</v>
      </c>
      <c r="B538" s="93" t="str">
        <f t="shared" si="124"/>
        <v>DX02</v>
      </c>
      <c r="C538" s="93" t="str">
        <f t="shared" si="125"/>
        <v>DIO1</v>
      </c>
      <c r="D538" s="94">
        <f t="shared" si="123"/>
        <v>130</v>
      </c>
      <c r="E538" s="94">
        <v>2</v>
      </c>
      <c r="F538" s="94">
        <f t="shared" si="126"/>
        <v>2</v>
      </c>
      <c r="G538" s="94">
        <v>0</v>
      </c>
      <c r="H538" s="171">
        <f t="shared" si="131"/>
        <v>3</v>
      </c>
      <c r="I538" s="163">
        <f t="shared" si="129"/>
        <v>24</v>
      </c>
      <c r="J538" s="172"/>
      <c r="K538" s="124"/>
      <c r="L538" s="92" t="s">
        <v>21</v>
      </c>
      <c r="M538" s="92"/>
      <c r="N538" s="92"/>
      <c r="O538" s="92"/>
      <c r="R538" s="92" t="s">
        <v>302</v>
      </c>
      <c r="S538" s="92" t="s">
        <v>302</v>
      </c>
      <c r="V538" s="13"/>
      <c r="W538" s="92" t="str">
        <f t="shared" si="127"/>
        <v>2.2\0.3:24</v>
      </c>
      <c r="X538" s="93"/>
      <c r="Y538" s="113"/>
      <c r="Z538" s="93"/>
      <c r="AA538" s="9"/>
      <c r="AH538" s="94" t="s">
        <v>354</v>
      </c>
      <c r="AI538" s="168">
        <v>49</v>
      </c>
      <c r="AJ538" s="168">
        <v>50</v>
      </c>
    </row>
    <row r="539" spans="1:36" x14ac:dyDescent="0.3">
      <c r="A539" s="102" t="str">
        <f t="shared" si="128"/>
        <v>BSR130</v>
      </c>
      <c r="B539" s="93" t="str">
        <f t="shared" si="124"/>
        <v>DX02</v>
      </c>
      <c r="C539" s="93" t="str">
        <f t="shared" si="125"/>
        <v>DIO1</v>
      </c>
      <c r="D539" s="94">
        <f t="shared" si="123"/>
        <v>130</v>
      </c>
      <c r="E539" s="94">
        <v>2</v>
      </c>
      <c r="F539" s="94">
        <f t="shared" si="126"/>
        <v>2</v>
      </c>
      <c r="G539" s="94">
        <v>0</v>
      </c>
      <c r="H539" s="171">
        <f t="shared" si="131"/>
        <v>3</v>
      </c>
      <c r="I539" s="163">
        <f t="shared" si="129"/>
        <v>25</v>
      </c>
      <c r="J539" s="172"/>
      <c r="K539" s="124"/>
      <c r="L539" s="92" t="s">
        <v>21</v>
      </c>
      <c r="M539" s="92"/>
      <c r="N539" s="92"/>
      <c r="O539" s="92"/>
      <c r="R539" s="92" t="s">
        <v>302</v>
      </c>
      <c r="S539" s="92" t="s">
        <v>302</v>
      </c>
      <c r="V539" s="13"/>
      <c r="W539" s="92" t="str">
        <f t="shared" si="127"/>
        <v>2.2\0.3:25</v>
      </c>
      <c r="X539" s="93"/>
      <c r="Y539" s="113"/>
      <c r="Z539" s="93"/>
      <c r="AA539" s="9"/>
      <c r="AH539" s="94" t="s">
        <v>354</v>
      </c>
      <c r="AI539" s="168">
        <v>51</v>
      </c>
      <c r="AJ539" s="168">
        <v>52</v>
      </c>
    </row>
    <row r="540" spans="1:36" x14ac:dyDescent="0.3">
      <c r="A540" s="102" t="str">
        <f t="shared" si="128"/>
        <v>BSR130</v>
      </c>
      <c r="B540" s="93" t="str">
        <f t="shared" si="124"/>
        <v>DX02</v>
      </c>
      <c r="C540" s="93" t="str">
        <f t="shared" si="125"/>
        <v>DIO1</v>
      </c>
      <c r="D540" s="94">
        <f t="shared" si="123"/>
        <v>130</v>
      </c>
      <c r="E540" s="94">
        <v>2</v>
      </c>
      <c r="F540" s="94">
        <f t="shared" si="126"/>
        <v>2</v>
      </c>
      <c r="G540" s="94">
        <v>0</v>
      </c>
      <c r="H540" s="171">
        <f t="shared" si="131"/>
        <v>3</v>
      </c>
      <c r="I540" s="163">
        <f t="shared" si="129"/>
        <v>26</v>
      </c>
      <c r="J540" s="172"/>
      <c r="K540" s="124"/>
      <c r="L540" s="92" t="s">
        <v>21</v>
      </c>
      <c r="M540" s="92"/>
      <c r="N540" s="92"/>
      <c r="O540" s="92"/>
      <c r="R540" s="92" t="s">
        <v>302</v>
      </c>
      <c r="S540" s="92" t="s">
        <v>302</v>
      </c>
      <c r="V540" s="37"/>
      <c r="W540" s="92" t="str">
        <f t="shared" si="127"/>
        <v>2.2\0.3:26</v>
      </c>
      <c r="X540" s="93"/>
      <c r="Y540" s="113"/>
      <c r="Z540" s="93"/>
      <c r="AA540" s="9"/>
      <c r="AH540" s="94" t="s">
        <v>354</v>
      </c>
      <c r="AI540" s="168">
        <v>53</v>
      </c>
      <c r="AJ540" s="168">
        <v>54</v>
      </c>
    </row>
    <row r="541" spans="1:36" x14ac:dyDescent="0.3">
      <c r="A541" s="102" t="str">
        <f t="shared" si="128"/>
        <v>BSR130</v>
      </c>
      <c r="B541" s="93" t="str">
        <f t="shared" si="124"/>
        <v>DX02</v>
      </c>
      <c r="C541" s="93" t="str">
        <f t="shared" si="125"/>
        <v>DIO1</v>
      </c>
      <c r="D541" s="94">
        <f t="shared" si="123"/>
        <v>130</v>
      </c>
      <c r="E541" s="94">
        <v>2</v>
      </c>
      <c r="F541" s="94">
        <f t="shared" si="126"/>
        <v>2</v>
      </c>
      <c r="G541" s="94">
        <v>0</v>
      </c>
      <c r="H541" s="171">
        <f t="shared" si="131"/>
        <v>3</v>
      </c>
      <c r="I541" s="163">
        <f t="shared" si="129"/>
        <v>27</v>
      </c>
      <c r="J541" s="172"/>
      <c r="K541" s="124"/>
      <c r="L541" s="92" t="s">
        <v>21</v>
      </c>
      <c r="M541" s="92"/>
      <c r="N541" s="92"/>
      <c r="O541" s="92"/>
      <c r="R541" s="92" t="s">
        <v>302</v>
      </c>
      <c r="S541" s="92" t="s">
        <v>302</v>
      </c>
      <c r="V541" s="93"/>
      <c r="W541" s="92" t="str">
        <f t="shared" si="127"/>
        <v>2.2\0.3:27</v>
      </c>
      <c r="X541" s="93"/>
      <c r="Y541" s="113"/>
      <c r="Z541" s="93"/>
      <c r="AA541" s="9"/>
      <c r="AH541" s="94" t="s">
        <v>354</v>
      </c>
      <c r="AI541" s="168">
        <v>55</v>
      </c>
      <c r="AJ541" s="168">
        <v>56</v>
      </c>
    </row>
    <row r="542" spans="1:36" x14ac:dyDescent="0.3">
      <c r="A542" s="102" t="str">
        <f t="shared" si="128"/>
        <v>BSR130</v>
      </c>
      <c r="B542" s="93" t="str">
        <f t="shared" si="124"/>
        <v>DX02</v>
      </c>
      <c r="C542" s="93" t="str">
        <f t="shared" si="125"/>
        <v>DIO1</v>
      </c>
      <c r="D542" s="94">
        <f t="shared" si="123"/>
        <v>130</v>
      </c>
      <c r="E542" s="94">
        <v>2</v>
      </c>
      <c r="F542" s="94">
        <f t="shared" si="126"/>
        <v>2</v>
      </c>
      <c r="G542" s="94">
        <v>0</v>
      </c>
      <c r="H542" s="171">
        <f t="shared" si="131"/>
        <v>3</v>
      </c>
      <c r="I542" s="163">
        <f t="shared" si="129"/>
        <v>28</v>
      </c>
      <c r="J542" s="172"/>
      <c r="K542" s="124"/>
      <c r="L542" s="92" t="s">
        <v>21</v>
      </c>
      <c r="M542" s="92"/>
      <c r="N542" s="92"/>
      <c r="O542" s="92"/>
      <c r="R542" s="92" t="s">
        <v>302</v>
      </c>
      <c r="S542" s="92" t="s">
        <v>302</v>
      </c>
      <c r="V542" s="93"/>
      <c r="W542" s="92" t="str">
        <f t="shared" si="127"/>
        <v>2.2\0.3:28</v>
      </c>
      <c r="X542" s="93"/>
      <c r="Y542" s="113"/>
      <c r="Z542" s="93"/>
      <c r="AA542" s="9"/>
      <c r="AH542" s="94" t="s">
        <v>354</v>
      </c>
      <c r="AI542" s="168">
        <v>57</v>
      </c>
      <c r="AJ542" s="168">
        <v>58</v>
      </c>
    </row>
    <row r="543" spans="1:36" x14ac:dyDescent="0.3">
      <c r="A543" s="102" t="str">
        <f t="shared" si="128"/>
        <v>BSR130</v>
      </c>
      <c r="B543" s="93" t="str">
        <f t="shared" si="124"/>
        <v>DX02</v>
      </c>
      <c r="C543" s="93" t="str">
        <f t="shared" si="125"/>
        <v>DIO1</v>
      </c>
      <c r="D543" s="94">
        <f t="shared" ref="D543:D574" si="132">$D$5</f>
        <v>130</v>
      </c>
      <c r="E543" s="94">
        <v>2</v>
      </c>
      <c r="F543" s="94">
        <f t="shared" si="126"/>
        <v>2</v>
      </c>
      <c r="G543" s="94">
        <v>0</v>
      </c>
      <c r="H543" s="171">
        <f t="shared" si="131"/>
        <v>3</v>
      </c>
      <c r="I543" s="163">
        <f t="shared" si="129"/>
        <v>29</v>
      </c>
      <c r="J543" s="172"/>
      <c r="K543" s="124"/>
      <c r="L543" s="92" t="s">
        <v>21</v>
      </c>
      <c r="M543" s="92"/>
      <c r="N543" s="92"/>
      <c r="O543" s="92"/>
      <c r="R543" s="93" t="s">
        <v>302</v>
      </c>
      <c r="S543" s="92" t="s">
        <v>302</v>
      </c>
      <c r="W543" s="92" t="str">
        <f t="shared" si="127"/>
        <v>2.2\0.3:29</v>
      </c>
      <c r="X543" s="93"/>
      <c r="Y543" s="113"/>
      <c r="Z543" s="93"/>
      <c r="AA543" s="9"/>
      <c r="AC543" s="92"/>
      <c r="AH543" s="94" t="s">
        <v>354</v>
      </c>
      <c r="AI543" s="168">
        <v>59</v>
      </c>
      <c r="AJ543" s="168">
        <v>60</v>
      </c>
    </row>
    <row r="544" spans="1:36" x14ac:dyDescent="0.3">
      <c r="A544" s="102" t="str">
        <f t="shared" si="128"/>
        <v>BSR130</v>
      </c>
      <c r="B544" s="93" t="str">
        <f t="shared" ref="B544:B577" si="133">+B543</f>
        <v>DX02</v>
      </c>
      <c r="C544" s="93" t="str">
        <f t="shared" ref="C544:C577" si="134">+C543</f>
        <v>DIO1</v>
      </c>
      <c r="D544" s="94">
        <f t="shared" si="132"/>
        <v>130</v>
      </c>
      <c r="E544" s="94">
        <v>2</v>
      </c>
      <c r="F544" s="94">
        <f t="shared" ref="F544:F575" si="135">+F543</f>
        <v>2</v>
      </c>
      <c r="G544" s="94">
        <v>0</v>
      </c>
      <c r="H544" s="171">
        <f t="shared" si="131"/>
        <v>3</v>
      </c>
      <c r="I544" s="163">
        <f t="shared" si="129"/>
        <v>30</v>
      </c>
      <c r="J544" s="172"/>
      <c r="K544" s="124"/>
      <c r="L544" s="92" t="s">
        <v>21</v>
      </c>
      <c r="M544" s="92"/>
      <c r="N544" s="92"/>
      <c r="O544" s="92"/>
      <c r="R544" s="93" t="s">
        <v>302</v>
      </c>
      <c r="S544" s="92" t="s">
        <v>302</v>
      </c>
      <c r="W544" s="92" t="str">
        <f t="shared" si="127"/>
        <v>2.2\0.3:30</v>
      </c>
      <c r="X544" s="93"/>
      <c r="Y544" s="113"/>
      <c r="Z544" s="93"/>
      <c r="AA544" s="9"/>
      <c r="AC544" s="92"/>
      <c r="AH544" s="94" t="s">
        <v>354</v>
      </c>
      <c r="AI544" s="168">
        <v>61</v>
      </c>
      <c r="AJ544" s="168">
        <v>62</v>
      </c>
    </row>
    <row r="545" spans="1:36" ht="13.5" thickBot="1" x14ac:dyDescent="0.35">
      <c r="A545" s="102" t="str">
        <f t="shared" si="128"/>
        <v>BSR130</v>
      </c>
      <c r="B545" s="93" t="str">
        <f t="shared" si="133"/>
        <v>DX02</v>
      </c>
      <c r="C545" s="93" t="str">
        <f t="shared" si="134"/>
        <v>DIO1</v>
      </c>
      <c r="D545" s="94">
        <f t="shared" si="132"/>
        <v>130</v>
      </c>
      <c r="E545" s="94">
        <v>2</v>
      </c>
      <c r="F545" s="94">
        <f t="shared" si="135"/>
        <v>2</v>
      </c>
      <c r="G545" s="94">
        <v>0</v>
      </c>
      <c r="H545" s="171">
        <f t="shared" si="131"/>
        <v>3</v>
      </c>
      <c r="I545" s="170">
        <f t="shared" si="129"/>
        <v>31</v>
      </c>
      <c r="J545" s="169"/>
      <c r="K545" s="124"/>
      <c r="L545" s="92" t="s">
        <v>21</v>
      </c>
      <c r="M545" s="92"/>
      <c r="N545" s="92"/>
      <c r="O545" s="92"/>
      <c r="R545" s="93" t="s">
        <v>302</v>
      </c>
      <c r="S545" s="92" t="s">
        <v>302</v>
      </c>
      <c r="W545" s="92" t="str">
        <f t="shared" ref="W545:W576" si="136">+CONCATENATE(E545,".",F545,"\",G545,".",H545,":",I545)</f>
        <v>2.2\0.3:31</v>
      </c>
      <c r="X545" s="93"/>
      <c r="Y545" s="113"/>
      <c r="Z545" s="93"/>
      <c r="AA545" s="9"/>
      <c r="AC545" s="92"/>
      <c r="AH545" s="94" t="s">
        <v>354</v>
      </c>
      <c r="AI545" s="168">
        <v>63</v>
      </c>
      <c r="AJ545" s="168">
        <v>64</v>
      </c>
    </row>
    <row r="546" spans="1:36" x14ac:dyDescent="0.3">
      <c r="A546" s="158" t="s">
        <v>291</v>
      </c>
      <c r="B546" s="93" t="str">
        <f t="shared" si="133"/>
        <v>DX02</v>
      </c>
      <c r="C546" s="93" t="str">
        <f t="shared" si="134"/>
        <v>DIO1</v>
      </c>
      <c r="D546" s="94">
        <f t="shared" si="132"/>
        <v>130</v>
      </c>
      <c r="E546" s="94">
        <v>2</v>
      </c>
      <c r="F546" s="94">
        <f t="shared" si="135"/>
        <v>2</v>
      </c>
      <c r="G546" s="94">
        <v>0</v>
      </c>
      <c r="H546" s="173">
        <f>+H545+1</f>
        <v>4</v>
      </c>
      <c r="I546" s="165">
        <v>0</v>
      </c>
      <c r="J546" s="172" t="s">
        <v>316</v>
      </c>
      <c r="K546" s="93" t="s">
        <v>315</v>
      </c>
      <c r="L546" s="92" t="s">
        <v>21</v>
      </c>
      <c r="M546" s="92"/>
      <c r="N546" s="92">
        <v>4</v>
      </c>
      <c r="O546" s="92" t="s">
        <v>323</v>
      </c>
      <c r="P546" s="12" t="s">
        <v>320</v>
      </c>
      <c r="Q546" s="12"/>
      <c r="R546" s="12" t="s">
        <v>353</v>
      </c>
      <c r="S546" s="12" t="s">
        <v>18</v>
      </c>
      <c r="T546" s="92" t="s">
        <v>352</v>
      </c>
      <c r="U546" s="12" t="s">
        <v>323</v>
      </c>
      <c r="V546" s="93"/>
      <c r="W546" s="92" t="str">
        <f t="shared" si="136"/>
        <v>2.2\0.4:0</v>
      </c>
      <c r="X546" s="92" t="s">
        <v>351</v>
      </c>
      <c r="Y546" s="94">
        <v>0</v>
      </c>
      <c r="Z546" s="93"/>
      <c r="AA546" s="9"/>
      <c r="AC546" s="92"/>
      <c r="AH546" s="94" t="s">
        <v>317</v>
      </c>
      <c r="AI546" s="168">
        <v>1</v>
      </c>
      <c r="AJ546" s="168">
        <v>2</v>
      </c>
    </row>
    <row r="547" spans="1:36" x14ac:dyDescent="0.3">
      <c r="A547" s="102" t="str">
        <f t="shared" ref="A547:A577" si="137">A546</f>
        <v>BSR130</v>
      </c>
      <c r="B547" s="93" t="str">
        <f t="shared" si="133"/>
        <v>DX02</v>
      </c>
      <c r="C547" s="93" t="str">
        <f t="shared" si="134"/>
        <v>DIO1</v>
      </c>
      <c r="D547" s="94">
        <f t="shared" si="132"/>
        <v>130</v>
      </c>
      <c r="E547" s="94">
        <v>2</v>
      </c>
      <c r="F547" s="94">
        <f t="shared" si="135"/>
        <v>2</v>
      </c>
      <c r="G547" s="94">
        <v>0</v>
      </c>
      <c r="H547" s="171">
        <f>H546</f>
        <v>4</v>
      </c>
      <c r="I547" s="163">
        <f t="shared" ref="I547:I577" si="138">+I546+1</f>
        <v>1</v>
      </c>
      <c r="J547" s="172"/>
      <c r="K547" s="92"/>
      <c r="L547" s="92" t="s">
        <v>21</v>
      </c>
      <c r="M547" s="92"/>
      <c r="N547" s="92">
        <v>4</v>
      </c>
      <c r="O547" s="92" t="s">
        <v>323</v>
      </c>
      <c r="P547" s="12" t="s">
        <v>350</v>
      </c>
      <c r="Q547" s="12"/>
      <c r="R547" s="12" t="s">
        <v>325</v>
      </c>
      <c r="S547" s="12" t="s">
        <v>18</v>
      </c>
      <c r="T547" s="92" t="s">
        <v>349</v>
      </c>
      <c r="U547" s="12" t="s">
        <v>323</v>
      </c>
      <c r="V547" s="93"/>
      <c r="W547" s="92" t="str">
        <f t="shared" si="136"/>
        <v>2.2\0.4:1</v>
      </c>
      <c r="X547" s="92" t="s">
        <v>322</v>
      </c>
      <c r="Y547" s="94">
        <v>0</v>
      </c>
      <c r="Z547" s="93"/>
      <c r="AA547" s="9"/>
      <c r="AC547" s="92"/>
      <c r="AH547" s="94" t="s">
        <v>317</v>
      </c>
      <c r="AI547" s="168">
        <v>3</v>
      </c>
      <c r="AJ547" s="168">
        <v>4</v>
      </c>
    </row>
    <row r="548" spans="1:36" x14ac:dyDescent="0.3">
      <c r="A548" s="102" t="str">
        <f t="shared" si="137"/>
        <v>BSR130</v>
      </c>
      <c r="B548" s="93" t="str">
        <f t="shared" si="133"/>
        <v>DX02</v>
      </c>
      <c r="C548" s="93" t="str">
        <f t="shared" si="134"/>
        <v>DIO1</v>
      </c>
      <c r="D548" s="94">
        <f t="shared" si="132"/>
        <v>130</v>
      </c>
      <c r="E548" s="94">
        <v>2</v>
      </c>
      <c r="F548" s="94">
        <f t="shared" si="135"/>
        <v>2</v>
      </c>
      <c r="G548" s="94">
        <v>0</v>
      </c>
      <c r="H548" s="171">
        <f>H546</f>
        <v>4</v>
      </c>
      <c r="I548" s="163">
        <f t="shared" si="138"/>
        <v>2</v>
      </c>
      <c r="J548" s="172"/>
      <c r="K548" s="124"/>
      <c r="L548" s="92" t="s">
        <v>21</v>
      </c>
      <c r="M548" s="92"/>
      <c r="N548" s="92">
        <v>4</v>
      </c>
      <c r="O548" s="92" t="s">
        <v>323</v>
      </c>
      <c r="P548" s="12" t="s">
        <v>348</v>
      </c>
      <c r="Q548" s="12"/>
      <c r="R548" s="12" t="s">
        <v>347</v>
      </c>
      <c r="S548" s="12" t="s">
        <v>18</v>
      </c>
      <c r="T548" s="92" t="s">
        <v>346</v>
      </c>
      <c r="U548" s="12" t="s">
        <v>323</v>
      </c>
      <c r="V548" s="93"/>
      <c r="W548" s="92" t="str">
        <f t="shared" si="136"/>
        <v>2.2\0.4:2</v>
      </c>
      <c r="X548" s="92" t="s">
        <v>322</v>
      </c>
      <c r="Y548" s="94">
        <v>0</v>
      </c>
      <c r="Z548" s="93"/>
      <c r="AA548" s="9"/>
      <c r="AC548" s="92"/>
      <c r="AH548" s="94" t="s">
        <v>317</v>
      </c>
      <c r="AI548" s="168">
        <v>5</v>
      </c>
      <c r="AJ548" s="168">
        <v>6</v>
      </c>
    </row>
    <row r="549" spans="1:36" x14ac:dyDescent="0.3">
      <c r="A549" s="102" t="str">
        <f t="shared" si="137"/>
        <v>BSR130</v>
      </c>
      <c r="B549" s="93" t="str">
        <f t="shared" si="133"/>
        <v>DX02</v>
      </c>
      <c r="C549" s="93" t="str">
        <f t="shared" si="134"/>
        <v>DIO1</v>
      </c>
      <c r="D549" s="94">
        <f t="shared" si="132"/>
        <v>130</v>
      </c>
      <c r="E549" s="94">
        <v>2</v>
      </c>
      <c r="F549" s="94">
        <f t="shared" si="135"/>
        <v>2</v>
      </c>
      <c r="G549" s="94">
        <v>0</v>
      </c>
      <c r="H549" s="171">
        <f t="shared" ref="H549:H560" si="139">H546</f>
        <v>4</v>
      </c>
      <c r="I549" s="163">
        <f t="shared" si="138"/>
        <v>3</v>
      </c>
      <c r="J549" s="172"/>
      <c r="K549" s="124"/>
      <c r="L549" s="92" t="s">
        <v>21</v>
      </c>
      <c r="M549" s="92"/>
      <c r="N549" s="92">
        <v>4</v>
      </c>
      <c r="O549" s="92" t="s">
        <v>323</v>
      </c>
      <c r="P549" s="12" t="s">
        <v>345</v>
      </c>
      <c r="Q549" s="12"/>
      <c r="R549" s="12" t="s">
        <v>344</v>
      </c>
      <c r="S549" s="12" t="s">
        <v>18</v>
      </c>
      <c r="T549" s="92" t="s">
        <v>343</v>
      </c>
      <c r="U549" s="12" t="s">
        <v>323</v>
      </c>
      <c r="V549" s="93"/>
      <c r="W549" s="92" t="str">
        <f t="shared" si="136"/>
        <v>2.2\0.4:3</v>
      </c>
      <c r="X549" s="92" t="s">
        <v>322</v>
      </c>
      <c r="Y549" s="94">
        <v>0</v>
      </c>
      <c r="Z549" s="93"/>
      <c r="AA549" s="9"/>
      <c r="AC549" s="92"/>
      <c r="AH549" s="94" t="s">
        <v>317</v>
      </c>
      <c r="AI549" s="168">
        <v>7</v>
      </c>
      <c r="AJ549" s="168">
        <v>8</v>
      </c>
    </row>
    <row r="550" spans="1:36" x14ac:dyDescent="0.3">
      <c r="A550" s="102" t="str">
        <f t="shared" si="137"/>
        <v>BSR130</v>
      </c>
      <c r="B550" s="93" t="str">
        <f t="shared" si="133"/>
        <v>DX02</v>
      </c>
      <c r="C550" s="93" t="str">
        <f t="shared" si="134"/>
        <v>DIO1</v>
      </c>
      <c r="D550" s="94">
        <f t="shared" si="132"/>
        <v>130</v>
      </c>
      <c r="E550" s="94">
        <v>2</v>
      </c>
      <c r="F550" s="94">
        <f t="shared" si="135"/>
        <v>2</v>
      </c>
      <c r="G550" s="94">
        <v>0</v>
      </c>
      <c r="H550" s="171">
        <f t="shared" si="139"/>
        <v>4</v>
      </c>
      <c r="I550" s="163">
        <f t="shared" si="138"/>
        <v>4</v>
      </c>
      <c r="J550" s="172"/>
      <c r="K550" s="124"/>
      <c r="L550" s="92" t="s">
        <v>21</v>
      </c>
      <c r="M550" s="92"/>
      <c r="N550" s="92">
        <v>4</v>
      </c>
      <c r="O550" s="92" t="s">
        <v>323</v>
      </c>
      <c r="P550" s="12" t="s">
        <v>342</v>
      </c>
      <c r="Q550" s="12"/>
      <c r="R550" s="12" t="s">
        <v>341</v>
      </c>
      <c r="S550" s="12" t="s">
        <v>18</v>
      </c>
      <c r="T550" s="92" t="s">
        <v>340</v>
      </c>
      <c r="U550" s="12" t="s">
        <v>323</v>
      </c>
      <c r="V550" s="93"/>
      <c r="W550" s="92" t="str">
        <f t="shared" si="136"/>
        <v>2.2\0.4:4</v>
      </c>
      <c r="X550" s="92" t="s">
        <v>322</v>
      </c>
      <c r="Y550" s="94">
        <v>0</v>
      </c>
      <c r="Z550" s="93"/>
      <c r="AA550" s="9"/>
      <c r="AC550" s="92"/>
      <c r="AH550" s="94" t="s">
        <v>317</v>
      </c>
      <c r="AI550" s="168">
        <v>9</v>
      </c>
      <c r="AJ550" s="168">
        <v>10</v>
      </c>
    </row>
    <row r="551" spans="1:36" x14ac:dyDescent="0.3">
      <c r="A551" s="102" t="str">
        <f t="shared" si="137"/>
        <v>BSR130</v>
      </c>
      <c r="B551" s="93" t="str">
        <f t="shared" si="133"/>
        <v>DX02</v>
      </c>
      <c r="C551" s="93" t="str">
        <f t="shared" si="134"/>
        <v>DIO1</v>
      </c>
      <c r="D551" s="94">
        <f t="shared" si="132"/>
        <v>130</v>
      </c>
      <c r="E551" s="94">
        <v>2</v>
      </c>
      <c r="F551" s="94">
        <f t="shared" si="135"/>
        <v>2</v>
      </c>
      <c r="G551" s="94">
        <v>0</v>
      </c>
      <c r="H551" s="171">
        <f t="shared" si="139"/>
        <v>4</v>
      </c>
      <c r="I551" s="163">
        <f t="shared" si="138"/>
        <v>5</v>
      </c>
      <c r="J551" s="172"/>
      <c r="K551" s="124"/>
      <c r="L551" s="92" t="s">
        <v>21</v>
      </c>
      <c r="M551" s="92"/>
      <c r="N551" s="92">
        <v>4</v>
      </c>
      <c r="O551" s="92" t="s">
        <v>323</v>
      </c>
      <c r="P551" s="12" t="s">
        <v>339</v>
      </c>
      <c r="Q551" s="12"/>
      <c r="R551" s="12" t="s">
        <v>338</v>
      </c>
      <c r="S551" s="12" t="s">
        <v>18</v>
      </c>
      <c r="T551" s="92" t="s">
        <v>337</v>
      </c>
      <c r="U551" s="12" t="s">
        <v>323</v>
      </c>
      <c r="V551" s="93"/>
      <c r="W551" s="92" t="str">
        <f t="shared" si="136"/>
        <v>2.2\0.4:5</v>
      </c>
      <c r="X551" s="92" t="s">
        <v>322</v>
      </c>
      <c r="Y551" s="94">
        <v>0</v>
      </c>
      <c r="Z551" s="93"/>
      <c r="AA551" s="9"/>
      <c r="AC551" s="92"/>
      <c r="AH551" s="94" t="s">
        <v>317</v>
      </c>
      <c r="AI551" s="168">
        <v>11</v>
      </c>
      <c r="AJ551" s="168">
        <v>12</v>
      </c>
    </row>
    <row r="552" spans="1:36" x14ac:dyDescent="0.3">
      <c r="A552" s="102" t="str">
        <f t="shared" si="137"/>
        <v>BSR130</v>
      </c>
      <c r="B552" s="93" t="str">
        <f t="shared" si="133"/>
        <v>DX02</v>
      </c>
      <c r="C552" s="93" t="str">
        <f t="shared" si="134"/>
        <v>DIO1</v>
      </c>
      <c r="D552" s="94">
        <f t="shared" si="132"/>
        <v>130</v>
      </c>
      <c r="E552" s="94">
        <v>2</v>
      </c>
      <c r="F552" s="94">
        <f t="shared" si="135"/>
        <v>2</v>
      </c>
      <c r="G552" s="94">
        <v>0</v>
      </c>
      <c r="H552" s="171">
        <f t="shared" si="139"/>
        <v>4</v>
      </c>
      <c r="I552" s="163">
        <f t="shared" si="138"/>
        <v>6</v>
      </c>
      <c r="J552" s="172"/>
      <c r="K552" s="124"/>
      <c r="L552" s="92" t="s">
        <v>21</v>
      </c>
      <c r="M552" s="92"/>
      <c r="N552" s="92">
        <v>4</v>
      </c>
      <c r="O552" s="92" t="s">
        <v>323</v>
      </c>
      <c r="P552" s="12" t="s">
        <v>336</v>
      </c>
      <c r="Q552" s="12"/>
      <c r="R552" s="12" t="s">
        <v>325</v>
      </c>
      <c r="S552" s="12" t="s">
        <v>18</v>
      </c>
      <c r="T552" s="92" t="s">
        <v>335</v>
      </c>
      <c r="U552" s="12" t="s">
        <v>323</v>
      </c>
      <c r="V552" s="93"/>
      <c r="W552" s="92" t="str">
        <f t="shared" si="136"/>
        <v>2.2\0.4:6</v>
      </c>
      <c r="X552" s="92" t="s">
        <v>322</v>
      </c>
      <c r="Y552" s="94">
        <v>0</v>
      </c>
      <c r="Z552" s="93"/>
      <c r="AA552" s="9"/>
      <c r="AC552" s="92"/>
      <c r="AH552" s="94" t="s">
        <v>317</v>
      </c>
      <c r="AI552" s="168">
        <v>13</v>
      </c>
      <c r="AJ552" s="168">
        <v>14</v>
      </c>
    </row>
    <row r="553" spans="1:36" x14ac:dyDescent="0.3">
      <c r="A553" s="102" t="str">
        <f t="shared" si="137"/>
        <v>BSR130</v>
      </c>
      <c r="B553" s="93" t="str">
        <f t="shared" si="133"/>
        <v>DX02</v>
      </c>
      <c r="C553" s="93" t="str">
        <f t="shared" si="134"/>
        <v>DIO1</v>
      </c>
      <c r="D553" s="94">
        <f t="shared" si="132"/>
        <v>130</v>
      </c>
      <c r="E553" s="94">
        <v>2</v>
      </c>
      <c r="F553" s="94">
        <f t="shared" si="135"/>
        <v>2</v>
      </c>
      <c r="G553" s="94">
        <v>0</v>
      </c>
      <c r="H553" s="171">
        <f t="shared" si="139"/>
        <v>4</v>
      </c>
      <c r="I553" s="163">
        <f t="shared" si="138"/>
        <v>7</v>
      </c>
      <c r="J553" s="172"/>
      <c r="K553" s="124"/>
      <c r="L553" s="92" t="s">
        <v>21</v>
      </c>
      <c r="M553" s="92"/>
      <c r="N553" s="92">
        <v>4</v>
      </c>
      <c r="O553" s="92" t="s">
        <v>323</v>
      </c>
      <c r="P553" s="12" t="s">
        <v>334</v>
      </c>
      <c r="Q553" s="12"/>
      <c r="R553" s="12" t="s">
        <v>325</v>
      </c>
      <c r="S553" s="12" t="s">
        <v>18</v>
      </c>
      <c r="T553" s="92" t="s">
        <v>333</v>
      </c>
      <c r="U553" s="12" t="s">
        <v>323</v>
      </c>
      <c r="V553" s="93"/>
      <c r="W553" s="92" t="str">
        <f t="shared" si="136"/>
        <v>2.2\0.4:7</v>
      </c>
      <c r="X553" s="92" t="s">
        <v>322</v>
      </c>
      <c r="Y553" s="94">
        <v>0</v>
      </c>
      <c r="Z553" s="93"/>
      <c r="AA553" s="9"/>
      <c r="AC553" s="92"/>
      <c r="AH553" s="94" t="s">
        <v>317</v>
      </c>
      <c r="AI553" s="168">
        <v>15</v>
      </c>
      <c r="AJ553" s="168">
        <v>16</v>
      </c>
    </row>
    <row r="554" spans="1:36" x14ac:dyDescent="0.3">
      <c r="A554" s="102" t="str">
        <f t="shared" si="137"/>
        <v>BSR130</v>
      </c>
      <c r="B554" s="93" t="str">
        <f t="shared" si="133"/>
        <v>DX02</v>
      </c>
      <c r="C554" s="93" t="str">
        <f t="shared" si="134"/>
        <v>DIO1</v>
      </c>
      <c r="D554" s="94">
        <f t="shared" si="132"/>
        <v>130</v>
      </c>
      <c r="E554" s="94">
        <v>2</v>
      </c>
      <c r="F554" s="94">
        <f t="shared" si="135"/>
        <v>2</v>
      </c>
      <c r="G554" s="94">
        <v>0</v>
      </c>
      <c r="H554" s="171">
        <f t="shared" si="139"/>
        <v>4</v>
      </c>
      <c r="I554" s="163">
        <f t="shared" si="138"/>
        <v>8</v>
      </c>
      <c r="J554" s="172"/>
      <c r="K554" s="124"/>
      <c r="L554" s="92" t="s">
        <v>21</v>
      </c>
      <c r="M554" s="92"/>
      <c r="N554" s="92">
        <v>4</v>
      </c>
      <c r="O554" s="92" t="s">
        <v>323</v>
      </c>
      <c r="P554" s="12" t="s">
        <v>332</v>
      </c>
      <c r="Q554" s="12"/>
      <c r="R554" s="12" t="s">
        <v>325</v>
      </c>
      <c r="S554" s="12" t="s">
        <v>18</v>
      </c>
      <c r="T554" s="92" t="s">
        <v>331</v>
      </c>
      <c r="U554" s="12" t="s">
        <v>323</v>
      </c>
      <c r="V554" s="93"/>
      <c r="W554" s="92" t="str">
        <f t="shared" si="136"/>
        <v>2.2\0.4:8</v>
      </c>
      <c r="X554" s="92" t="s">
        <v>322</v>
      </c>
      <c r="Y554" s="94">
        <v>0</v>
      </c>
      <c r="Z554" s="93"/>
      <c r="AA554" s="9"/>
      <c r="AC554" s="92"/>
      <c r="AH554" s="94" t="s">
        <v>317</v>
      </c>
      <c r="AI554" s="168">
        <v>17</v>
      </c>
      <c r="AJ554" s="168">
        <v>18</v>
      </c>
    </row>
    <row r="555" spans="1:36" x14ac:dyDescent="0.3">
      <c r="A555" s="102" t="str">
        <f t="shared" si="137"/>
        <v>BSR130</v>
      </c>
      <c r="B555" s="93" t="str">
        <f t="shared" si="133"/>
        <v>DX02</v>
      </c>
      <c r="C555" s="93" t="str">
        <f t="shared" si="134"/>
        <v>DIO1</v>
      </c>
      <c r="D555" s="94">
        <f t="shared" si="132"/>
        <v>130</v>
      </c>
      <c r="E555" s="94">
        <v>2</v>
      </c>
      <c r="F555" s="94">
        <f t="shared" si="135"/>
        <v>2</v>
      </c>
      <c r="G555" s="94">
        <v>0</v>
      </c>
      <c r="H555" s="171">
        <f t="shared" si="139"/>
        <v>4</v>
      </c>
      <c r="I555" s="163">
        <f t="shared" si="138"/>
        <v>9</v>
      </c>
      <c r="J555" s="172"/>
      <c r="K555" s="124"/>
      <c r="L555" s="92" t="s">
        <v>21</v>
      </c>
      <c r="M555" s="92"/>
      <c r="N555" s="92">
        <v>4</v>
      </c>
      <c r="O555" s="92" t="s">
        <v>323</v>
      </c>
      <c r="P555" s="12" t="s">
        <v>330</v>
      </c>
      <c r="Q555" s="12"/>
      <c r="R555" s="12" t="s">
        <v>325</v>
      </c>
      <c r="S555" s="12" t="s">
        <v>18</v>
      </c>
      <c r="T555" s="92" t="s">
        <v>329</v>
      </c>
      <c r="U555" s="12" t="s">
        <v>323</v>
      </c>
      <c r="V555" s="93"/>
      <c r="W555" s="92" t="str">
        <f t="shared" si="136"/>
        <v>2.2\0.4:9</v>
      </c>
      <c r="X555" s="92" t="s">
        <v>322</v>
      </c>
      <c r="Y555" s="94">
        <v>0</v>
      </c>
      <c r="Z555" s="93"/>
      <c r="AA555" s="9"/>
      <c r="AC555" s="92"/>
      <c r="AH555" s="94" t="s">
        <v>317</v>
      </c>
      <c r="AI555" s="168">
        <v>19</v>
      </c>
      <c r="AJ555" s="168">
        <v>20</v>
      </c>
    </row>
    <row r="556" spans="1:36" x14ac:dyDescent="0.3">
      <c r="A556" s="102" t="str">
        <f t="shared" si="137"/>
        <v>BSR130</v>
      </c>
      <c r="B556" s="93" t="str">
        <f t="shared" si="133"/>
        <v>DX02</v>
      </c>
      <c r="C556" s="93" t="str">
        <f t="shared" si="134"/>
        <v>DIO1</v>
      </c>
      <c r="D556" s="94">
        <f t="shared" si="132"/>
        <v>130</v>
      </c>
      <c r="E556" s="94">
        <v>2</v>
      </c>
      <c r="F556" s="94">
        <f t="shared" si="135"/>
        <v>2</v>
      </c>
      <c r="G556" s="94">
        <v>0</v>
      </c>
      <c r="H556" s="171">
        <f t="shared" si="139"/>
        <v>4</v>
      </c>
      <c r="I556" s="163">
        <f t="shared" si="138"/>
        <v>10</v>
      </c>
      <c r="J556" s="172"/>
      <c r="K556" s="124"/>
      <c r="L556" s="92" t="s">
        <v>21</v>
      </c>
      <c r="M556" s="92"/>
      <c r="N556" s="92">
        <v>4</v>
      </c>
      <c r="O556" s="92" t="s">
        <v>323</v>
      </c>
      <c r="P556" s="12" t="s">
        <v>328</v>
      </c>
      <c r="Q556" s="12"/>
      <c r="R556" s="12" t="s">
        <v>325</v>
      </c>
      <c r="S556" s="12" t="s">
        <v>18</v>
      </c>
      <c r="T556" s="92" t="s">
        <v>327</v>
      </c>
      <c r="U556" s="12" t="s">
        <v>323</v>
      </c>
      <c r="V556" s="93"/>
      <c r="W556" s="92" t="str">
        <f t="shared" si="136"/>
        <v>2.2\0.4:10</v>
      </c>
      <c r="X556" s="92" t="s">
        <v>322</v>
      </c>
      <c r="Y556" s="94">
        <v>0</v>
      </c>
      <c r="Z556" s="93"/>
      <c r="AA556" s="9"/>
      <c r="AB556" s="7"/>
      <c r="AC556" s="92"/>
      <c r="AH556" s="94" t="s">
        <v>317</v>
      </c>
      <c r="AI556" s="168">
        <v>21</v>
      </c>
      <c r="AJ556" s="168">
        <v>22</v>
      </c>
    </row>
    <row r="557" spans="1:36" x14ac:dyDescent="0.3">
      <c r="A557" s="102" t="str">
        <f t="shared" si="137"/>
        <v>BSR130</v>
      </c>
      <c r="B557" s="93" t="str">
        <f t="shared" si="133"/>
        <v>DX02</v>
      </c>
      <c r="C557" s="93" t="str">
        <f t="shared" si="134"/>
        <v>DIO1</v>
      </c>
      <c r="D557" s="94">
        <f t="shared" si="132"/>
        <v>130</v>
      </c>
      <c r="E557" s="94">
        <v>2</v>
      </c>
      <c r="F557" s="94">
        <f t="shared" si="135"/>
        <v>2</v>
      </c>
      <c r="G557" s="94">
        <v>0</v>
      </c>
      <c r="H557" s="171">
        <f t="shared" si="139"/>
        <v>4</v>
      </c>
      <c r="I557" s="163">
        <f t="shared" si="138"/>
        <v>11</v>
      </c>
      <c r="J557" s="172"/>
      <c r="K557" s="124"/>
      <c r="L557" s="92" t="s">
        <v>21</v>
      </c>
      <c r="M557" s="92"/>
      <c r="N557" s="92">
        <v>4</v>
      </c>
      <c r="O557" s="92" t="s">
        <v>323</v>
      </c>
      <c r="P557" s="12" t="s">
        <v>326</v>
      </c>
      <c r="Q557" s="12"/>
      <c r="R557" s="12" t="s">
        <v>325</v>
      </c>
      <c r="S557" s="12" t="s">
        <v>18</v>
      </c>
      <c r="T557" s="92" t="s">
        <v>324</v>
      </c>
      <c r="U557" s="12" t="s">
        <v>323</v>
      </c>
      <c r="W557" s="92" t="str">
        <f t="shared" si="136"/>
        <v>2.2\0.4:11</v>
      </c>
      <c r="X557" s="92" t="s">
        <v>322</v>
      </c>
      <c r="Y557" s="94">
        <v>0</v>
      </c>
      <c r="Z557" s="93"/>
      <c r="AA557" s="9"/>
      <c r="AB557" s="7"/>
      <c r="AH557" s="94" t="s">
        <v>317</v>
      </c>
      <c r="AI557" s="168">
        <v>23</v>
      </c>
      <c r="AJ557" s="168">
        <v>24</v>
      </c>
    </row>
    <row r="558" spans="1:36" x14ac:dyDescent="0.3">
      <c r="A558" s="102" t="str">
        <f t="shared" si="137"/>
        <v>BSR130</v>
      </c>
      <c r="B558" s="93" t="str">
        <f t="shared" si="133"/>
        <v>DX02</v>
      </c>
      <c r="C558" s="93" t="str">
        <f t="shared" si="134"/>
        <v>DIO1</v>
      </c>
      <c r="D558" s="94">
        <f t="shared" si="132"/>
        <v>130</v>
      </c>
      <c r="E558" s="94">
        <v>2</v>
      </c>
      <c r="F558" s="94">
        <f t="shared" si="135"/>
        <v>2</v>
      </c>
      <c r="G558" s="94">
        <v>0</v>
      </c>
      <c r="H558" s="171">
        <f t="shared" si="139"/>
        <v>4</v>
      </c>
      <c r="I558" s="163">
        <f t="shared" si="138"/>
        <v>12</v>
      </c>
      <c r="J558" s="172"/>
      <c r="K558" s="124"/>
      <c r="L558" s="92" t="s">
        <v>21</v>
      </c>
      <c r="M558" s="92"/>
      <c r="N558" s="92"/>
      <c r="O558" s="139"/>
      <c r="P558" s="12"/>
      <c r="Q558" s="12"/>
      <c r="R558" s="12" t="s">
        <v>302</v>
      </c>
      <c r="S558" s="12" t="s">
        <v>302</v>
      </c>
      <c r="T558" s="13"/>
      <c r="U558" s="12"/>
      <c r="W558" s="92" t="str">
        <f t="shared" si="136"/>
        <v>2.2\0.4:12</v>
      </c>
      <c r="X558" s="93"/>
      <c r="Y558" s="113"/>
      <c r="Z558" s="93"/>
      <c r="AA558" s="9"/>
      <c r="AH558" s="94" t="s">
        <v>317</v>
      </c>
      <c r="AI558" s="168">
        <v>25</v>
      </c>
      <c r="AJ558" s="168">
        <v>26</v>
      </c>
    </row>
    <row r="559" spans="1:36" x14ac:dyDescent="0.3">
      <c r="A559" s="102" t="str">
        <f t="shared" si="137"/>
        <v>BSR130</v>
      </c>
      <c r="B559" s="93" t="str">
        <f t="shared" si="133"/>
        <v>DX02</v>
      </c>
      <c r="C559" s="93" t="str">
        <f t="shared" si="134"/>
        <v>DIO1</v>
      </c>
      <c r="D559" s="94">
        <f t="shared" si="132"/>
        <v>130</v>
      </c>
      <c r="E559" s="94">
        <v>2</v>
      </c>
      <c r="F559" s="94">
        <f t="shared" si="135"/>
        <v>2</v>
      </c>
      <c r="G559" s="94">
        <v>0</v>
      </c>
      <c r="H559" s="171">
        <f t="shared" si="139"/>
        <v>4</v>
      </c>
      <c r="I559" s="163">
        <f t="shared" si="138"/>
        <v>13</v>
      </c>
      <c r="J559" s="172"/>
      <c r="K559" s="124"/>
      <c r="L559" s="92" t="s">
        <v>21</v>
      </c>
      <c r="M559" s="92"/>
      <c r="N559" s="92"/>
      <c r="O559" s="139"/>
      <c r="P559" s="12"/>
      <c r="Q559" s="12"/>
      <c r="R559" s="12" t="s">
        <v>302</v>
      </c>
      <c r="S559" s="12" t="s">
        <v>302</v>
      </c>
      <c r="T559" s="13"/>
      <c r="U559" s="12"/>
      <c r="W559" s="92" t="str">
        <f t="shared" si="136"/>
        <v>2.2\0.4:13</v>
      </c>
      <c r="X559" s="93"/>
      <c r="Y559" s="113"/>
      <c r="Z559" s="93"/>
      <c r="AA559" s="9"/>
      <c r="AH559" s="94" t="s">
        <v>317</v>
      </c>
      <c r="AI559" s="168">
        <v>27</v>
      </c>
      <c r="AJ559" s="168">
        <v>28</v>
      </c>
    </row>
    <row r="560" spans="1:36" x14ac:dyDescent="0.3">
      <c r="A560" s="102" t="str">
        <f t="shared" si="137"/>
        <v>BSR130</v>
      </c>
      <c r="B560" s="93" t="str">
        <f t="shared" si="133"/>
        <v>DX02</v>
      </c>
      <c r="C560" s="93" t="str">
        <f t="shared" si="134"/>
        <v>DIO1</v>
      </c>
      <c r="D560" s="94">
        <f t="shared" si="132"/>
        <v>130</v>
      </c>
      <c r="E560" s="94">
        <v>2</v>
      </c>
      <c r="F560" s="94">
        <f t="shared" si="135"/>
        <v>2</v>
      </c>
      <c r="G560" s="94">
        <v>0</v>
      </c>
      <c r="H560" s="171">
        <f t="shared" si="139"/>
        <v>4</v>
      </c>
      <c r="I560" s="163">
        <f t="shared" si="138"/>
        <v>14</v>
      </c>
      <c r="J560" s="172"/>
      <c r="K560" s="124"/>
      <c r="L560" s="92" t="s">
        <v>21</v>
      </c>
      <c r="M560" s="92"/>
      <c r="N560" s="92"/>
      <c r="O560" s="139"/>
      <c r="P560" s="12"/>
      <c r="Q560" s="12"/>
      <c r="R560" s="12" t="s">
        <v>302</v>
      </c>
      <c r="S560" s="12" t="s">
        <v>302</v>
      </c>
      <c r="T560" s="12"/>
      <c r="U560" s="12"/>
      <c r="W560" s="92" t="str">
        <f t="shared" si="136"/>
        <v>2.2\0.4:14</v>
      </c>
      <c r="X560" s="93"/>
      <c r="Y560" s="113"/>
      <c r="Z560" s="93"/>
      <c r="AA560" s="9"/>
      <c r="AH560" s="94" t="s">
        <v>317</v>
      </c>
      <c r="AI560" s="168">
        <v>29</v>
      </c>
      <c r="AJ560" s="168">
        <v>30</v>
      </c>
    </row>
    <row r="561" spans="1:36" x14ac:dyDescent="0.3">
      <c r="A561" s="102" t="str">
        <f t="shared" si="137"/>
        <v>BSR130</v>
      </c>
      <c r="B561" s="93" t="str">
        <f t="shared" si="133"/>
        <v>DX02</v>
      </c>
      <c r="C561" s="93" t="str">
        <f t="shared" si="134"/>
        <v>DIO1</v>
      </c>
      <c r="D561" s="94">
        <f t="shared" si="132"/>
        <v>130</v>
      </c>
      <c r="E561" s="94">
        <v>2</v>
      </c>
      <c r="F561" s="94">
        <f t="shared" si="135"/>
        <v>2</v>
      </c>
      <c r="G561" s="94">
        <v>0</v>
      </c>
      <c r="H561" s="171">
        <f t="shared" ref="H561:H577" si="140">H557</f>
        <v>4</v>
      </c>
      <c r="I561" s="163">
        <f t="shared" si="138"/>
        <v>15</v>
      </c>
      <c r="J561" s="172"/>
      <c r="K561" s="124"/>
      <c r="L561" s="92" t="s">
        <v>21</v>
      </c>
      <c r="M561" s="92"/>
      <c r="N561" s="92"/>
      <c r="O561" s="139"/>
      <c r="R561" s="92" t="s">
        <v>302</v>
      </c>
      <c r="S561" s="12" t="s">
        <v>302</v>
      </c>
      <c r="T561" s="13"/>
      <c r="U561" s="12"/>
      <c r="W561" s="92" t="str">
        <f t="shared" si="136"/>
        <v>2.2\0.4:15</v>
      </c>
      <c r="X561" s="93"/>
      <c r="Y561" s="113"/>
      <c r="Z561" s="93"/>
      <c r="AA561" s="9"/>
      <c r="AH561" s="94" t="s">
        <v>317</v>
      </c>
      <c r="AI561" s="168">
        <v>31</v>
      </c>
      <c r="AJ561" s="168">
        <v>32</v>
      </c>
    </row>
    <row r="562" spans="1:36" x14ac:dyDescent="0.3">
      <c r="A562" s="102" t="str">
        <f t="shared" si="137"/>
        <v>BSR130</v>
      </c>
      <c r="B562" s="93" t="str">
        <f t="shared" si="133"/>
        <v>DX02</v>
      </c>
      <c r="C562" s="93" t="str">
        <f t="shared" si="134"/>
        <v>DIO1</v>
      </c>
      <c r="D562" s="94">
        <f t="shared" si="132"/>
        <v>130</v>
      </c>
      <c r="E562" s="94">
        <v>2</v>
      </c>
      <c r="F562" s="94">
        <f t="shared" si="135"/>
        <v>2</v>
      </c>
      <c r="G562" s="94">
        <v>0</v>
      </c>
      <c r="H562" s="171">
        <f t="shared" si="140"/>
        <v>4</v>
      </c>
      <c r="I562" s="163">
        <f t="shared" si="138"/>
        <v>16</v>
      </c>
      <c r="J562" s="172"/>
      <c r="K562" s="93"/>
      <c r="L562" s="92" t="s">
        <v>21</v>
      </c>
      <c r="M562" s="92"/>
      <c r="N562" s="92">
        <v>4</v>
      </c>
      <c r="O562" s="92" t="s">
        <v>71</v>
      </c>
      <c r="P562" s="92" t="s">
        <v>320</v>
      </c>
      <c r="R562" s="92" t="s">
        <v>319</v>
      </c>
      <c r="S562" s="12" t="s">
        <v>18</v>
      </c>
      <c r="T562" s="92" t="s">
        <v>318</v>
      </c>
      <c r="U562" s="12" t="s">
        <v>71</v>
      </c>
      <c r="W562" s="92" t="str">
        <f t="shared" si="136"/>
        <v>2.2\0.4:16</v>
      </c>
      <c r="X562" s="92" t="s">
        <v>70</v>
      </c>
      <c r="Y562" s="94" t="s">
        <v>4</v>
      </c>
      <c r="Z562" s="93"/>
      <c r="AA562" s="9"/>
      <c r="AH562" s="94" t="s">
        <v>317</v>
      </c>
      <c r="AI562" s="168">
        <v>33</v>
      </c>
      <c r="AJ562" s="168">
        <v>34</v>
      </c>
    </row>
    <row r="563" spans="1:36" x14ac:dyDescent="0.3">
      <c r="A563" s="102" t="str">
        <f t="shared" si="137"/>
        <v>BSR130</v>
      </c>
      <c r="B563" s="93" t="str">
        <f t="shared" si="133"/>
        <v>DX02</v>
      </c>
      <c r="C563" s="93" t="str">
        <f t="shared" si="134"/>
        <v>DIO1</v>
      </c>
      <c r="D563" s="94">
        <f t="shared" si="132"/>
        <v>130</v>
      </c>
      <c r="E563" s="94">
        <v>2</v>
      </c>
      <c r="F563" s="94">
        <f t="shared" si="135"/>
        <v>2</v>
      </c>
      <c r="G563" s="94">
        <v>0</v>
      </c>
      <c r="H563" s="171">
        <f t="shared" si="140"/>
        <v>4</v>
      </c>
      <c r="I563" s="163">
        <f t="shared" si="138"/>
        <v>17</v>
      </c>
      <c r="J563" s="172"/>
      <c r="K563" s="124"/>
      <c r="L563" s="92" t="s">
        <v>21</v>
      </c>
      <c r="M563" s="92"/>
      <c r="N563" s="92">
        <v>4</v>
      </c>
      <c r="O563" s="92" t="s">
        <v>105</v>
      </c>
      <c r="P563" s="92" t="s">
        <v>320</v>
      </c>
      <c r="R563" s="92" t="s">
        <v>319</v>
      </c>
      <c r="S563" s="92" t="s">
        <v>18</v>
      </c>
      <c r="T563" s="92" t="s">
        <v>318</v>
      </c>
      <c r="U563" s="12" t="s">
        <v>105</v>
      </c>
      <c r="W563" s="92" t="str">
        <f t="shared" si="136"/>
        <v>2.2\0.4:17</v>
      </c>
      <c r="X563" s="92" t="s">
        <v>104</v>
      </c>
      <c r="Y563" s="94" t="s">
        <v>4</v>
      </c>
      <c r="Z563" s="93"/>
      <c r="AA563" s="9"/>
      <c r="AH563" s="94" t="s">
        <v>317</v>
      </c>
      <c r="AI563" s="168">
        <v>35</v>
      </c>
      <c r="AJ563" s="168">
        <v>36</v>
      </c>
    </row>
    <row r="564" spans="1:36" x14ac:dyDescent="0.3">
      <c r="A564" s="102" t="str">
        <f t="shared" si="137"/>
        <v>BSR130</v>
      </c>
      <c r="B564" s="93" t="str">
        <f t="shared" si="133"/>
        <v>DX02</v>
      </c>
      <c r="C564" s="93" t="str">
        <f t="shared" si="134"/>
        <v>DIO1</v>
      </c>
      <c r="D564" s="94">
        <f t="shared" si="132"/>
        <v>130</v>
      </c>
      <c r="E564" s="94">
        <v>2</v>
      </c>
      <c r="F564" s="94">
        <f t="shared" si="135"/>
        <v>2</v>
      </c>
      <c r="G564" s="94">
        <v>0</v>
      </c>
      <c r="H564" s="171">
        <f t="shared" si="140"/>
        <v>4</v>
      </c>
      <c r="I564" s="163">
        <f t="shared" si="138"/>
        <v>18</v>
      </c>
      <c r="J564" s="172"/>
      <c r="K564" s="124"/>
      <c r="L564" s="92" t="s">
        <v>21</v>
      </c>
      <c r="M564" s="92"/>
      <c r="N564" s="92">
        <v>4</v>
      </c>
      <c r="O564" s="92" t="s">
        <v>103</v>
      </c>
      <c r="P564" s="92" t="s">
        <v>320</v>
      </c>
      <c r="R564" s="12" t="s">
        <v>319</v>
      </c>
      <c r="S564" s="12" t="s">
        <v>18</v>
      </c>
      <c r="T564" s="92" t="s">
        <v>318</v>
      </c>
      <c r="U564" s="12" t="s">
        <v>103</v>
      </c>
      <c r="W564" s="92" t="str">
        <f t="shared" si="136"/>
        <v>2.2\0.4:18</v>
      </c>
      <c r="X564" s="92" t="s">
        <v>321</v>
      </c>
      <c r="Y564" s="94" t="s">
        <v>4</v>
      </c>
      <c r="Z564" s="93"/>
      <c r="AA564" s="9"/>
      <c r="AH564" s="94" t="s">
        <v>317</v>
      </c>
      <c r="AI564" s="168">
        <v>37</v>
      </c>
      <c r="AJ564" s="168">
        <v>38</v>
      </c>
    </row>
    <row r="565" spans="1:36" x14ac:dyDescent="0.3">
      <c r="A565" s="102" t="str">
        <f t="shared" si="137"/>
        <v>BSR130</v>
      </c>
      <c r="B565" s="93" t="str">
        <f t="shared" si="133"/>
        <v>DX02</v>
      </c>
      <c r="C565" s="93" t="str">
        <f t="shared" si="134"/>
        <v>DIO1</v>
      </c>
      <c r="D565" s="94">
        <f t="shared" si="132"/>
        <v>130</v>
      </c>
      <c r="E565" s="94">
        <v>2</v>
      </c>
      <c r="F565" s="94">
        <f t="shared" si="135"/>
        <v>2</v>
      </c>
      <c r="G565" s="94">
        <v>0</v>
      </c>
      <c r="H565" s="171">
        <f t="shared" si="140"/>
        <v>4</v>
      </c>
      <c r="I565" s="163">
        <f t="shared" si="138"/>
        <v>19</v>
      </c>
      <c r="J565" s="172"/>
      <c r="K565" s="124"/>
      <c r="L565" s="92" t="s">
        <v>21</v>
      </c>
      <c r="M565" s="92"/>
      <c r="N565" s="92">
        <v>5</v>
      </c>
      <c r="O565" s="92" t="s">
        <v>37</v>
      </c>
      <c r="P565" s="92" t="s">
        <v>320</v>
      </c>
      <c r="R565" s="12" t="s">
        <v>319</v>
      </c>
      <c r="S565" s="12" t="s">
        <v>18</v>
      </c>
      <c r="T565" s="92" t="s">
        <v>318</v>
      </c>
      <c r="U565" s="12" t="s">
        <v>37</v>
      </c>
      <c r="W565" s="92" t="str">
        <f t="shared" si="136"/>
        <v>2.2\0.4:19</v>
      </c>
      <c r="X565" s="92" t="s">
        <v>36</v>
      </c>
      <c r="Y565" s="94" t="s">
        <v>4</v>
      </c>
      <c r="Z565" s="93"/>
      <c r="AA565" s="9"/>
      <c r="AH565" s="94" t="s">
        <v>317</v>
      </c>
      <c r="AI565" s="168">
        <v>39</v>
      </c>
      <c r="AJ565" s="168">
        <v>40</v>
      </c>
    </row>
    <row r="566" spans="1:36" x14ac:dyDescent="0.3">
      <c r="A566" s="102" t="str">
        <f t="shared" si="137"/>
        <v>BSR130</v>
      </c>
      <c r="B566" s="93" t="str">
        <f t="shared" si="133"/>
        <v>DX02</v>
      </c>
      <c r="C566" s="93" t="str">
        <f t="shared" si="134"/>
        <v>DIO1</v>
      </c>
      <c r="D566" s="94">
        <f t="shared" si="132"/>
        <v>130</v>
      </c>
      <c r="E566" s="94">
        <v>2</v>
      </c>
      <c r="F566" s="94">
        <f t="shared" si="135"/>
        <v>2</v>
      </c>
      <c r="G566" s="94">
        <v>0</v>
      </c>
      <c r="H566" s="171">
        <f t="shared" si="140"/>
        <v>4</v>
      </c>
      <c r="I566" s="163">
        <f t="shared" si="138"/>
        <v>20</v>
      </c>
      <c r="J566" s="172"/>
      <c r="K566" s="124"/>
      <c r="L566" s="92" t="s">
        <v>21</v>
      </c>
      <c r="M566" s="92"/>
      <c r="N566" s="92">
        <v>4</v>
      </c>
      <c r="O566" s="92" t="s">
        <v>35</v>
      </c>
      <c r="P566" s="12" t="s">
        <v>320</v>
      </c>
      <c r="Q566" s="12"/>
      <c r="R566" s="12" t="s">
        <v>319</v>
      </c>
      <c r="S566" s="12" t="s">
        <v>18</v>
      </c>
      <c r="T566" s="92" t="s">
        <v>318</v>
      </c>
      <c r="U566" s="12" t="s">
        <v>35</v>
      </c>
      <c r="W566" s="92" t="str">
        <f t="shared" si="136"/>
        <v>2.2\0.4:20</v>
      </c>
      <c r="X566" s="92" t="s">
        <v>102</v>
      </c>
      <c r="Y566" s="94" t="s">
        <v>4</v>
      </c>
      <c r="Z566" s="93"/>
      <c r="AA566" s="9"/>
      <c r="AH566" s="94" t="s">
        <v>317</v>
      </c>
      <c r="AI566" s="168">
        <v>41</v>
      </c>
      <c r="AJ566" s="168">
        <v>42</v>
      </c>
    </row>
    <row r="567" spans="1:36" x14ac:dyDescent="0.3">
      <c r="A567" s="102" t="str">
        <f t="shared" si="137"/>
        <v>BSR130</v>
      </c>
      <c r="B567" s="93" t="str">
        <f t="shared" si="133"/>
        <v>DX02</v>
      </c>
      <c r="C567" s="93" t="str">
        <f t="shared" si="134"/>
        <v>DIO1</v>
      </c>
      <c r="D567" s="94">
        <f t="shared" si="132"/>
        <v>130</v>
      </c>
      <c r="E567" s="94">
        <v>2</v>
      </c>
      <c r="F567" s="94">
        <f t="shared" si="135"/>
        <v>2</v>
      </c>
      <c r="G567" s="94">
        <v>0</v>
      </c>
      <c r="H567" s="171">
        <f t="shared" si="140"/>
        <v>4</v>
      </c>
      <c r="I567" s="163">
        <f t="shared" si="138"/>
        <v>21</v>
      </c>
      <c r="J567" s="172"/>
      <c r="K567" s="124"/>
      <c r="L567" s="92" t="s">
        <v>21</v>
      </c>
      <c r="M567" s="92"/>
      <c r="N567" s="92">
        <v>4</v>
      </c>
      <c r="O567" s="92" t="s">
        <v>101</v>
      </c>
      <c r="P567" s="12" t="s">
        <v>320</v>
      </c>
      <c r="Q567" s="12"/>
      <c r="R567" s="12" t="s">
        <v>319</v>
      </c>
      <c r="S567" s="12" t="s">
        <v>18</v>
      </c>
      <c r="T567" s="92" t="s">
        <v>318</v>
      </c>
      <c r="U567" s="12" t="s">
        <v>101</v>
      </c>
      <c r="W567" s="92" t="str">
        <f t="shared" si="136"/>
        <v>2.2\0.4:21</v>
      </c>
      <c r="Z567" s="93"/>
      <c r="AA567" s="9"/>
      <c r="AH567" s="94" t="s">
        <v>317</v>
      </c>
      <c r="AI567" s="168">
        <v>43</v>
      </c>
      <c r="AJ567" s="168">
        <v>44</v>
      </c>
    </row>
    <row r="568" spans="1:36" x14ac:dyDescent="0.3">
      <c r="A568" s="102" t="str">
        <f t="shared" si="137"/>
        <v>BSR130</v>
      </c>
      <c r="B568" s="93" t="str">
        <f t="shared" si="133"/>
        <v>DX02</v>
      </c>
      <c r="C568" s="93" t="str">
        <f t="shared" si="134"/>
        <v>DIO1</v>
      </c>
      <c r="D568" s="94">
        <f t="shared" si="132"/>
        <v>130</v>
      </c>
      <c r="E568" s="94">
        <v>2</v>
      </c>
      <c r="F568" s="94">
        <f t="shared" si="135"/>
        <v>2</v>
      </c>
      <c r="G568" s="94">
        <v>0</v>
      </c>
      <c r="H568" s="171">
        <f t="shared" si="140"/>
        <v>4</v>
      </c>
      <c r="I568" s="163">
        <f t="shared" si="138"/>
        <v>22</v>
      </c>
      <c r="J568" s="172"/>
      <c r="K568" s="124"/>
      <c r="L568" s="92" t="s">
        <v>21</v>
      </c>
      <c r="M568" s="92"/>
      <c r="N568" s="92">
        <v>4</v>
      </c>
      <c r="O568" s="92" t="s">
        <v>97</v>
      </c>
      <c r="P568" s="12" t="s">
        <v>320</v>
      </c>
      <c r="Q568" s="12"/>
      <c r="R568" s="92" t="s">
        <v>319</v>
      </c>
      <c r="S568" s="12" t="s">
        <v>18</v>
      </c>
      <c r="T568" s="92" t="s">
        <v>318</v>
      </c>
      <c r="U568" s="12" t="s">
        <v>97</v>
      </c>
      <c r="W568" s="92" t="str">
        <f t="shared" si="136"/>
        <v>2.2\0.4:22</v>
      </c>
      <c r="X568" s="92" t="s">
        <v>96</v>
      </c>
      <c r="Y568" s="94" t="s">
        <v>4</v>
      </c>
      <c r="Z568" s="93"/>
      <c r="AA568" s="9"/>
      <c r="AH568" s="94" t="s">
        <v>317</v>
      </c>
      <c r="AI568" s="168">
        <v>45</v>
      </c>
      <c r="AJ568" s="168">
        <v>46</v>
      </c>
    </row>
    <row r="569" spans="1:36" x14ac:dyDescent="0.3">
      <c r="A569" s="102" t="str">
        <f t="shared" si="137"/>
        <v>BSR130</v>
      </c>
      <c r="B569" s="93" t="str">
        <f t="shared" si="133"/>
        <v>DX02</v>
      </c>
      <c r="C569" s="93" t="str">
        <f t="shared" si="134"/>
        <v>DIO1</v>
      </c>
      <c r="D569" s="94">
        <f t="shared" si="132"/>
        <v>130</v>
      </c>
      <c r="E569" s="94">
        <v>2</v>
      </c>
      <c r="F569" s="94">
        <f t="shared" si="135"/>
        <v>2</v>
      </c>
      <c r="G569" s="94">
        <v>0</v>
      </c>
      <c r="H569" s="171">
        <f t="shared" si="140"/>
        <v>4</v>
      </c>
      <c r="I569" s="163">
        <f t="shared" si="138"/>
        <v>23</v>
      </c>
      <c r="J569" s="172"/>
      <c r="K569" s="124"/>
      <c r="L569" s="92" t="s">
        <v>21</v>
      </c>
      <c r="M569" s="92"/>
      <c r="N569" s="92">
        <v>4</v>
      </c>
      <c r="O569" s="92" t="s">
        <v>95</v>
      </c>
      <c r="P569" s="92" t="s">
        <v>320</v>
      </c>
      <c r="R569" s="92" t="s">
        <v>319</v>
      </c>
      <c r="S569" s="92" t="s">
        <v>18</v>
      </c>
      <c r="T569" s="92" t="s">
        <v>318</v>
      </c>
      <c r="U569" s="92" t="s">
        <v>95</v>
      </c>
      <c r="W569" s="92" t="str">
        <f t="shared" si="136"/>
        <v>2.2\0.4:23</v>
      </c>
      <c r="X569" s="92" t="s">
        <v>94</v>
      </c>
      <c r="Y569" s="94" t="s">
        <v>4</v>
      </c>
      <c r="Z569" s="93"/>
      <c r="AA569" s="9"/>
      <c r="AH569" s="94" t="s">
        <v>317</v>
      </c>
      <c r="AI569" s="168">
        <v>47</v>
      </c>
      <c r="AJ569" s="168">
        <v>48</v>
      </c>
    </row>
    <row r="570" spans="1:36" x14ac:dyDescent="0.3">
      <c r="A570" s="102" t="str">
        <f t="shared" si="137"/>
        <v>BSR130</v>
      </c>
      <c r="B570" s="93" t="str">
        <f t="shared" si="133"/>
        <v>DX02</v>
      </c>
      <c r="C570" s="93" t="str">
        <f t="shared" si="134"/>
        <v>DIO1</v>
      </c>
      <c r="D570" s="94">
        <f t="shared" si="132"/>
        <v>130</v>
      </c>
      <c r="E570" s="94">
        <v>2</v>
      </c>
      <c r="F570" s="94">
        <f t="shared" si="135"/>
        <v>2</v>
      </c>
      <c r="G570" s="94">
        <v>0</v>
      </c>
      <c r="H570" s="171">
        <f t="shared" si="140"/>
        <v>4</v>
      </c>
      <c r="I570" s="163">
        <f t="shared" si="138"/>
        <v>24</v>
      </c>
      <c r="J570" s="172"/>
      <c r="K570" s="124"/>
      <c r="L570" s="92" t="s">
        <v>21</v>
      </c>
      <c r="M570" s="92"/>
      <c r="N570" s="92">
        <v>4</v>
      </c>
      <c r="O570" s="92" t="s">
        <v>92</v>
      </c>
      <c r="P570" s="92" t="s">
        <v>320</v>
      </c>
      <c r="R570" s="92" t="s">
        <v>319</v>
      </c>
      <c r="S570" s="92" t="s">
        <v>18</v>
      </c>
      <c r="T570" s="92" t="s">
        <v>318</v>
      </c>
      <c r="U570" s="92" t="s">
        <v>92</v>
      </c>
      <c r="W570" s="92" t="str">
        <f t="shared" si="136"/>
        <v>2.2\0.4:24</v>
      </c>
      <c r="X570" s="92" t="s">
        <v>93</v>
      </c>
      <c r="Y570" s="94" t="s">
        <v>4</v>
      </c>
      <c r="Z570" s="93"/>
      <c r="AA570" s="9"/>
      <c r="AH570" s="94" t="s">
        <v>317</v>
      </c>
      <c r="AI570" s="168">
        <v>49</v>
      </c>
      <c r="AJ570" s="168">
        <v>50</v>
      </c>
    </row>
    <row r="571" spans="1:36" x14ac:dyDescent="0.3">
      <c r="A571" s="102" t="str">
        <f t="shared" si="137"/>
        <v>BSR130</v>
      </c>
      <c r="B571" s="93" t="str">
        <f t="shared" si="133"/>
        <v>DX02</v>
      </c>
      <c r="C571" s="93" t="str">
        <f t="shared" si="134"/>
        <v>DIO1</v>
      </c>
      <c r="D571" s="94">
        <f t="shared" si="132"/>
        <v>130</v>
      </c>
      <c r="E571" s="94">
        <v>2</v>
      </c>
      <c r="F571" s="94">
        <f t="shared" si="135"/>
        <v>2</v>
      </c>
      <c r="G571" s="94">
        <v>0</v>
      </c>
      <c r="H571" s="171">
        <f t="shared" si="140"/>
        <v>4</v>
      </c>
      <c r="I571" s="163">
        <f t="shared" si="138"/>
        <v>25</v>
      </c>
      <c r="J571" s="172"/>
      <c r="K571" s="124"/>
      <c r="L571" s="92" t="s">
        <v>21</v>
      </c>
      <c r="M571" s="92"/>
      <c r="N571" s="92">
        <v>4</v>
      </c>
      <c r="O571" s="92" t="s">
        <v>90</v>
      </c>
      <c r="P571" s="92" t="s">
        <v>320</v>
      </c>
      <c r="R571" s="92" t="s">
        <v>319</v>
      </c>
      <c r="S571" s="92" t="s">
        <v>18</v>
      </c>
      <c r="T571" s="92" t="s">
        <v>318</v>
      </c>
      <c r="U571" s="92" t="s">
        <v>90</v>
      </c>
      <c r="W571" s="92" t="str">
        <f t="shared" si="136"/>
        <v>2.2\0.4:25</v>
      </c>
      <c r="X571" s="92" t="s">
        <v>91</v>
      </c>
      <c r="Y571" s="94" t="s">
        <v>4</v>
      </c>
      <c r="Z571" s="93"/>
      <c r="AA571" s="9"/>
      <c r="AH571" s="94" t="s">
        <v>317</v>
      </c>
      <c r="AI571" s="168">
        <v>51</v>
      </c>
      <c r="AJ571" s="168">
        <v>52</v>
      </c>
    </row>
    <row r="572" spans="1:36" x14ac:dyDescent="0.3">
      <c r="A572" s="102" t="str">
        <f t="shared" si="137"/>
        <v>BSR130</v>
      </c>
      <c r="B572" s="93" t="str">
        <f t="shared" si="133"/>
        <v>DX02</v>
      </c>
      <c r="C572" s="93" t="str">
        <f t="shared" si="134"/>
        <v>DIO1</v>
      </c>
      <c r="D572" s="94">
        <f t="shared" si="132"/>
        <v>130</v>
      </c>
      <c r="E572" s="94">
        <v>2</v>
      </c>
      <c r="F572" s="94">
        <f t="shared" si="135"/>
        <v>2</v>
      </c>
      <c r="G572" s="94">
        <v>0</v>
      </c>
      <c r="H572" s="171">
        <f t="shared" si="140"/>
        <v>4</v>
      </c>
      <c r="I572" s="163">
        <f t="shared" si="138"/>
        <v>26</v>
      </c>
      <c r="J572" s="172"/>
      <c r="K572" s="124"/>
      <c r="L572" s="92" t="s">
        <v>21</v>
      </c>
      <c r="M572" s="92"/>
      <c r="N572" s="92">
        <v>4</v>
      </c>
      <c r="O572" s="92" t="s">
        <v>88</v>
      </c>
      <c r="P572" s="92" t="s">
        <v>320</v>
      </c>
      <c r="R572" s="92" t="s">
        <v>319</v>
      </c>
      <c r="S572" s="92" t="s">
        <v>18</v>
      </c>
      <c r="T572" s="92" t="s">
        <v>318</v>
      </c>
      <c r="U572" s="92" t="s">
        <v>88</v>
      </c>
      <c r="W572" s="92" t="str">
        <f t="shared" si="136"/>
        <v>2.2\0.4:26</v>
      </c>
      <c r="X572" s="92" t="s">
        <v>89</v>
      </c>
      <c r="Y572" s="94" t="s">
        <v>4</v>
      </c>
      <c r="Z572" s="93"/>
      <c r="AA572" s="9"/>
      <c r="AH572" s="94" t="s">
        <v>317</v>
      </c>
      <c r="AI572" s="168">
        <v>53</v>
      </c>
      <c r="AJ572" s="168">
        <v>54</v>
      </c>
    </row>
    <row r="573" spans="1:36" x14ac:dyDescent="0.3">
      <c r="A573" s="102" t="str">
        <f t="shared" si="137"/>
        <v>BSR130</v>
      </c>
      <c r="B573" s="93" t="str">
        <f t="shared" si="133"/>
        <v>DX02</v>
      </c>
      <c r="C573" s="93" t="str">
        <f t="shared" si="134"/>
        <v>DIO1</v>
      </c>
      <c r="D573" s="94">
        <f t="shared" si="132"/>
        <v>130</v>
      </c>
      <c r="E573" s="94">
        <v>2</v>
      </c>
      <c r="F573" s="94">
        <f t="shared" si="135"/>
        <v>2</v>
      </c>
      <c r="G573" s="94">
        <v>0</v>
      </c>
      <c r="H573" s="171">
        <f t="shared" si="140"/>
        <v>4</v>
      </c>
      <c r="I573" s="163">
        <f t="shared" si="138"/>
        <v>27</v>
      </c>
      <c r="J573" s="172"/>
      <c r="K573" s="124"/>
      <c r="L573" s="92" t="s">
        <v>21</v>
      </c>
      <c r="M573" s="92"/>
      <c r="N573" s="92">
        <v>4</v>
      </c>
      <c r="O573" s="92" t="s">
        <v>87</v>
      </c>
      <c r="P573" s="92" t="s">
        <v>320</v>
      </c>
      <c r="R573" s="92" t="s">
        <v>319</v>
      </c>
      <c r="S573" s="92" t="s">
        <v>18</v>
      </c>
      <c r="T573" s="92" t="s">
        <v>318</v>
      </c>
      <c r="U573" s="92" t="s">
        <v>87</v>
      </c>
      <c r="W573" s="92" t="str">
        <f t="shared" si="136"/>
        <v>2.2\0.4:27</v>
      </c>
      <c r="X573" s="92" t="s">
        <v>86</v>
      </c>
      <c r="Y573" s="94" t="s">
        <v>4</v>
      </c>
      <c r="Z573" s="93"/>
      <c r="AA573" s="9"/>
      <c r="AH573" s="94" t="s">
        <v>317</v>
      </c>
      <c r="AI573" s="168">
        <v>55</v>
      </c>
      <c r="AJ573" s="168">
        <v>56</v>
      </c>
    </row>
    <row r="574" spans="1:36" x14ac:dyDescent="0.3">
      <c r="A574" s="102" t="str">
        <f t="shared" si="137"/>
        <v>BSR130</v>
      </c>
      <c r="B574" s="93" t="str">
        <f t="shared" si="133"/>
        <v>DX02</v>
      </c>
      <c r="C574" s="93" t="str">
        <f t="shared" si="134"/>
        <v>DIO1</v>
      </c>
      <c r="D574" s="94">
        <f t="shared" si="132"/>
        <v>130</v>
      </c>
      <c r="E574" s="94">
        <v>2</v>
      </c>
      <c r="F574" s="94">
        <f t="shared" si="135"/>
        <v>2</v>
      </c>
      <c r="G574" s="94">
        <v>0</v>
      </c>
      <c r="H574" s="171">
        <f t="shared" si="140"/>
        <v>4</v>
      </c>
      <c r="I574" s="163">
        <f t="shared" si="138"/>
        <v>28</v>
      </c>
      <c r="J574" s="172"/>
      <c r="K574" s="124"/>
      <c r="L574" s="92" t="s">
        <v>21</v>
      </c>
      <c r="M574" s="92"/>
      <c r="N574" s="92">
        <v>4</v>
      </c>
      <c r="O574" s="92" t="s">
        <v>85</v>
      </c>
      <c r="P574" s="92" t="s">
        <v>320</v>
      </c>
      <c r="R574" s="92" t="s">
        <v>319</v>
      </c>
      <c r="S574" s="92" t="s">
        <v>18</v>
      </c>
      <c r="T574" s="92" t="s">
        <v>318</v>
      </c>
      <c r="U574" s="92" t="s">
        <v>85</v>
      </c>
      <c r="W574" s="92" t="str">
        <f t="shared" si="136"/>
        <v>2.2\0.4:28</v>
      </c>
      <c r="X574" s="92" t="s">
        <v>84</v>
      </c>
      <c r="Y574" s="94" t="s">
        <v>4</v>
      </c>
      <c r="Z574" s="93"/>
      <c r="AA574" s="9"/>
      <c r="AH574" s="94" t="s">
        <v>317</v>
      </c>
      <c r="AI574" s="168">
        <v>57</v>
      </c>
      <c r="AJ574" s="168">
        <v>58</v>
      </c>
    </row>
    <row r="575" spans="1:36" x14ac:dyDescent="0.3">
      <c r="A575" s="102" t="str">
        <f t="shared" si="137"/>
        <v>BSR130</v>
      </c>
      <c r="B575" s="93" t="str">
        <f t="shared" si="133"/>
        <v>DX02</v>
      </c>
      <c r="C575" s="93" t="str">
        <f t="shared" si="134"/>
        <v>DIO1</v>
      </c>
      <c r="D575" s="94">
        <f t="shared" ref="D575:D606" si="141">$D$5</f>
        <v>130</v>
      </c>
      <c r="E575" s="94">
        <v>2</v>
      </c>
      <c r="F575" s="94">
        <f t="shared" si="135"/>
        <v>2</v>
      </c>
      <c r="G575" s="94">
        <v>0</v>
      </c>
      <c r="H575" s="171">
        <f t="shared" si="140"/>
        <v>4</v>
      </c>
      <c r="I575" s="163">
        <f t="shared" si="138"/>
        <v>29</v>
      </c>
      <c r="J575" s="172"/>
      <c r="K575" s="124"/>
      <c r="L575" s="92" t="s">
        <v>21</v>
      </c>
      <c r="M575" s="92"/>
      <c r="N575" s="92">
        <v>4</v>
      </c>
      <c r="O575" s="92" t="s">
        <v>99</v>
      </c>
      <c r="P575" s="92" t="s">
        <v>320</v>
      </c>
      <c r="R575" s="92" t="s">
        <v>319</v>
      </c>
      <c r="S575" s="92" t="s">
        <v>18</v>
      </c>
      <c r="T575" s="92" t="s">
        <v>318</v>
      </c>
      <c r="U575" s="92" t="s">
        <v>99</v>
      </c>
      <c r="W575" s="92" t="str">
        <f t="shared" si="136"/>
        <v>2.2\0.4:29</v>
      </c>
      <c r="X575" s="92" t="s">
        <v>98</v>
      </c>
      <c r="Y575" s="94" t="s">
        <v>4</v>
      </c>
      <c r="Z575" s="93"/>
      <c r="AA575" s="9"/>
      <c r="AH575" s="94" t="s">
        <v>317</v>
      </c>
      <c r="AI575" s="168">
        <v>59</v>
      </c>
      <c r="AJ575" s="168">
        <v>60</v>
      </c>
    </row>
    <row r="576" spans="1:36" x14ac:dyDescent="0.3">
      <c r="A576" s="102" t="str">
        <f t="shared" si="137"/>
        <v>BSR130</v>
      </c>
      <c r="B576" s="93" t="str">
        <f t="shared" si="133"/>
        <v>DX02</v>
      </c>
      <c r="C576" s="93" t="str">
        <f t="shared" si="134"/>
        <v>DIO1</v>
      </c>
      <c r="D576" s="94">
        <f t="shared" si="141"/>
        <v>130</v>
      </c>
      <c r="E576" s="94">
        <v>2</v>
      </c>
      <c r="F576" s="94">
        <f t="shared" ref="F576:F607" si="142">+F575</f>
        <v>2</v>
      </c>
      <c r="G576" s="94">
        <v>0</v>
      </c>
      <c r="H576" s="171">
        <f t="shared" si="140"/>
        <v>4</v>
      </c>
      <c r="I576" s="163">
        <f t="shared" si="138"/>
        <v>30</v>
      </c>
      <c r="J576" s="172"/>
      <c r="K576" s="124"/>
      <c r="L576" s="92" t="s">
        <v>21</v>
      </c>
      <c r="M576" s="92"/>
      <c r="N576" s="92"/>
      <c r="O576" s="139"/>
      <c r="R576" s="92" t="s">
        <v>302</v>
      </c>
      <c r="S576" s="92" t="s">
        <v>302</v>
      </c>
      <c r="W576" s="92" t="str">
        <f t="shared" si="136"/>
        <v>2.2\0.4:30</v>
      </c>
      <c r="X576" s="93"/>
      <c r="Y576" s="113"/>
      <c r="Z576" s="93"/>
      <c r="AA576" s="9"/>
      <c r="AH576" s="94" t="s">
        <v>317</v>
      </c>
      <c r="AI576" s="168">
        <v>61</v>
      </c>
      <c r="AJ576" s="168">
        <v>62</v>
      </c>
    </row>
    <row r="577" spans="1:36" ht="13.5" thickBot="1" x14ac:dyDescent="0.35">
      <c r="A577" s="102" t="str">
        <f t="shared" si="137"/>
        <v>BSR130</v>
      </c>
      <c r="B577" s="93" t="str">
        <f t="shared" si="133"/>
        <v>DX02</v>
      </c>
      <c r="C577" s="93" t="str">
        <f t="shared" si="134"/>
        <v>DIO1</v>
      </c>
      <c r="D577" s="94">
        <f t="shared" si="141"/>
        <v>130</v>
      </c>
      <c r="E577" s="94">
        <v>2</v>
      </c>
      <c r="F577" s="94">
        <f t="shared" si="142"/>
        <v>2</v>
      </c>
      <c r="G577" s="94">
        <v>0</v>
      </c>
      <c r="H577" s="171">
        <f t="shared" si="140"/>
        <v>4</v>
      </c>
      <c r="I577" s="170">
        <f t="shared" si="138"/>
        <v>31</v>
      </c>
      <c r="J577" s="169"/>
      <c r="K577" s="124"/>
      <c r="L577" s="92" t="s">
        <v>21</v>
      </c>
      <c r="M577" s="92"/>
      <c r="N577" s="92"/>
      <c r="O577" s="92"/>
      <c r="R577" s="92" t="s">
        <v>302</v>
      </c>
      <c r="S577" s="92" t="s">
        <v>302</v>
      </c>
      <c r="W577" s="92" t="str">
        <f t="shared" ref="W577:W608" si="143">+CONCATENATE(E577,".",F577,"\",G577,".",H577,":",I577)</f>
        <v>2.2\0.4:31</v>
      </c>
      <c r="X577" s="93"/>
      <c r="Y577" s="113"/>
      <c r="Z577" s="93"/>
      <c r="AA577" s="9"/>
      <c r="AH577" s="94" t="s">
        <v>317</v>
      </c>
      <c r="AI577" s="168">
        <v>63</v>
      </c>
      <c r="AJ577" s="168">
        <v>64</v>
      </c>
    </row>
    <row r="578" spans="1:36" x14ac:dyDescent="0.3">
      <c r="A578" s="158" t="s">
        <v>291</v>
      </c>
      <c r="B578" s="93" t="str">
        <f t="shared" ref="B578:B583" si="144">+B561</f>
        <v>DX02</v>
      </c>
      <c r="C578" s="93" t="str">
        <f t="shared" ref="C578:C609" si="145">+C577</f>
        <v>DIO1</v>
      </c>
      <c r="D578" s="94">
        <f t="shared" si="141"/>
        <v>130</v>
      </c>
      <c r="E578" s="94">
        <v>2</v>
      </c>
      <c r="F578" s="94">
        <f t="shared" si="142"/>
        <v>2</v>
      </c>
      <c r="G578" s="94">
        <v>0</v>
      </c>
      <c r="H578" s="173">
        <f>+H577+1</f>
        <v>5</v>
      </c>
      <c r="I578" s="165">
        <v>0</v>
      </c>
      <c r="J578" s="172" t="s">
        <v>316</v>
      </c>
      <c r="K578" s="93" t="s">
        <v>315</v>
      </c>
      <c r="L578" s="92" t="s">
        <v>21</v>
      </c>
      <c r="M578" s="92"/>
      <c r="N578" s="92">
        <v>4</v>
      </c>
      <c r="O578" s="92" t="s">
        <v>217</v>
      </c>
      <c r="P578" s="12" t="s">
        <v>314</v>
      </c>
      <c r="Q578" s="12"/>
      <c r="R578" s="12" t="s">
        <v>313</v>
      </c>
      <c r="S578" s="12" t="s">
        <v>18</v>
      </c>
      <c r="T578" s="92" t="s">
        <v>312</v>
      </c>
      <c r="U578" s="12" t="s">
        <v>217</v>
      </c>
      <c r="W578" s="92" t="str">
        <f t="shared" si="143"/>
        <v>2.2\0.5:0</v>
      </c>
      <c r="X578" s="93"/>
      <c r="Y578" s="113"/>
      <c r="Z578" s="93"/>
      <c r="AA578" s="9"/>
      <c r="AH578" s="94" t="s">
        <v>301</v>
      </c>
      <c r="AI578" s="168">
        <v>1</v>
      </c>
      <c r="AJ578" s="168">
        <v>2</v>
      </c>
    </row>
    <row r="579" spans="1:36" x14ac:dyDescent="0.3">
      <c r="A579" s="102" t="str">
        <f t="shared" ref="A579:A609" si="146">A578</f>
        <v>BSR130</v>
      </c>
      <c r="B579" s="93" t="str">
        <f t="shared" si="144"/>
        <v>DX02</v>
      </c>
      <c r="C579" s="93" t="str">
        <f t="shared" si="145"/>
        <v>DIO1</v>
      </c>
      <c r="D579" s="94">
        <f t="shared" si="141"/>
        <v>130</v>
      </c>
      <c r="E579" s="94">
        <v>2</v>
      </c>
      <c r="F579" s="94">
        <f t="shared" si="142"/>
        <v>2</v>
      </c>
      <c r="G579" s="94">
        <v>0</v>
      </c>
      <c r="H579" s="171">
        <f>H578</f>
        <v>5</v>
      </c>
      <c r="I579" s="163">
        <f t="shared" ref="I579:I609" si="147">+I578+1</f>
        <v>1</v>
      </c>
      <c r="J579" s="172"/>
      <c r="K579" s="92"/>
      <c r="L579" s="92" t="s">
        <v>21</v>
      </c>
      <c r="M579" s="92"/>
      <c r="N579" s="92">
        <v>4</v>
      </c>
      <c r="O579" s="92" t="s">
        <v>217</v>
      </c>
      <c r="P579" s="12" t="s">
        <v>61</v>
      </c>
      <c r="Q579" s="12"/>
      <c r="R579" s="12" t="s">
        <v>60</v>
      </c>
      <c r="S579" s="12" t="s">
        <v>18</v>
      </c>
      <c r="T579" s="92" t="s">
        <v>221</v>
      </c>
      <c r="U579" s="12" t="s">
        <v>217</v>
      </c>
      <c r="V579" s="93"/>
      <c r="W579" s="92" t="str">
        <f t="shared" si="143"/>
        <v>2.2\0.5:1</v>
      </c>
      <c r="X579" s="93"/>
      <c r="Y579" s="113"/>
      <c r="Z579" s="93"/>
      <c r="AA579" s="9"/>
      <c r="AH579" s="94" t="s">
        <v>301</v>
      </c>
      <c r="AI579" s="168">
        <v>3</v>
      </c>
      <c r="AJ579" s="168">
        <v>4</v>
      </c>
    </row>
    <row r="580" spans="1:36" x14ac:dyDescent="0.3">
      <c r="A580" s="102" t="str">
        <f t="shared" si="146"/>
        <v>BSR130</v>
      </c>
      <c r="B580" s="93" t="str">
        <f t="shared" si="144"/>
        <v>DX02</v>
      </c>
      <c r="C580" s="93" t="str">
        <f t="shared" si="145"/>
        <v>DIO1</v>
      </c>
      <c r="D580" s="94">
        <f t="shared" si="141"/>
        <v>130</v>
      </c>
      <c r="E580" s="94">
        <v>2</v>
      </c>
      <c r="F580" s="94">
        <f t="shared" si="142"/>
        <v>2</v>
      </c>
      <c r="G580" s="94">
        <v>0</v>
      </c>
      <c r="H580" s="171">
        <f t="shared" ref="H580:H609" si="148">+H579</f>
        <v>5</v>
      </c>
      <c r="I580" s="163">
        <f t="shared" si="147"/>
        <v>2</v>
      </c>
      <c r="J580" s="172"/>
      <c r="K580" s="124"/>
      <c r="L580" s="92" t="s">
        <v>21</v>
      </c>
      <c r="M580" s="92"/>
      <c r="N580" s="92">
        <v>4</v>
      </c>
      <c r="O580" s="92" t="s">
        <v>217</v>
      </c>
      <c r="P580" s="12" t="s">
        <v>311</v>
      </c>
      <c r="Q580" s="12"/>
      <c r="R580" s="12" t="s">
        <v>310</v>
      </c>
      <c r="S580" s="12" t="s">
        <v>18</v>
      </c>
      <c r="T580" s="92" t="s">
        <v>309</v>
      </c>
      <c r="U580" s="12" t="s">
        <v>217</v>
      </c>
      <c r="V580" s="93"/>
      <c r="W580" s="92" t="str">
        <f t="shared" si="143"/>
        <v>2.2\0.5:2</v>
      </c>
      <c r="X580" s="92"/>
      <c r="Y580" s="113"/>
      <c r="Z580" s="93"/>
      <c r="AA580" s="9"/>
      <c r="AH580" s="94" t="s">
        <v>301</v>
      </c>
      <c r="AI580" s="168">
        <v>5</v>
      </c>
      <c r="AJ580" s="168">
        <v>6</v>
      </c>
    </row>
    <row r="581" spans="1:36" x14ac:dyDescent="0.3">
      <c r="A581" s="102" t="str">
        <f t="shared" si="146"/>
        <v>BSR130</v>
      </c>
      <c r="B581" s="93" t="str">
        <f t="shared" si="144"/>
        <v>DX02</v>
      </c>
      <c r="C581" s="93" t="str">
        <f t="shared" si="145"/>
        <v>DIO1</v>
      </c>
      <c r="D581" s="94">
        <f t="shared" si="141"/>
        <v>130</v>
      </c>
      <c r="E581" s="94">
        <v>2</v>
      </c>
      <c r="F581" s="94">
        <f t="shared" si="142"/>
        <v>2</v>
      </c>
      <c r="G581" s="94">
        <v>0</v>
      </c>
      <c r="H581" s="171">
        <f t="shared" si="148"/>
        <v>5</v>
      </c>
      <c r="I581" s="163">
        <f t="shared" si="147"/>
        <v>3</v>
      </c>
      <c r="J581" s="172"/>
      <c r="K581" s="124"/>
      <c r="L581" s="92" t="s">
        <v>21</v>
      </c>
      <c r="M581" s="92"/>
      <c r="N581" s="92"/>
      <c r="O581" s="139"/>
      <c r="P581" s="12"/>
      <c r="Q581" s="12"/>
      <c r="R581" s="12" t="s">
        <v>302</v>
      </c>
      <c r="S581" s="12" t="s">
        <v>302</v>
      </c>
      <c r="U581" s="12"/>
      <c r="V581" s="93"/>
      <c r="W581" s="92" t="str">
        <f t="shared" si="143"/>
        <v>2.2\0.5:3</v>
      </c>
      <c r="X581" s="93"/>
      <c r="Y581" s="113"/>
      <c r="Z581" s="93"/>
      <c r="AA581" s="9"/>
      <c r="AH581" s="94" t="s">
        <v>301</v>
      </c>
      <c r="AI581" s="168">
        <v>7</v>
      </c>
      <c r="AJ581" s="168">
        <v>8</v>
      </c>
    </row>
    <row r="582" spans="1:36" x14ac:dyDescent="0.3">
      <c r="A582" s="102" t="str">
        <f t="shared" si="146"/>
        <v>BSR130</v>
      </c>
      <c r="B582" s="93" t="str">
        <f t="shared" si="144"/>
        <v>DX02</v>
      </c>
      <c r="C582" s="93" t="str">
        <f t="shared" si="145"/>
        <v>DIO1</v>
      </c>
      <c r="D582" s="94">
        <f t="shared" si="141"/>
        <v>130</v>
      </c>
      <c r="E582" s="94">
        <v>2</v>
      </c>
      <c r="F582" s="94">
        <f t="shared" si="142"/>
        <v>2</v>
      </c>
      <c r="G582" s="94">
        <v>0</v>
      </c>
      <c r="H582" s="171">
        <f t="shared" si="148"/>
        <v>5</v>
      </c>
      <c r="I582" s="163">
        <f t="shared" si="147"/>
        <v>4</v>
      </c>
      <c r="J582" s="172"/>
      <c r="K582" s="124"/>
      <c r="L582" s="92" t="s">
        <v>21</v>
      </c>
      <c r="M582" s="92"/>
      <c r="N582" s="92"/>
      <c r="O582" s="139"/>
      <c r="P582" s="12"/>
      <c r="Q582" s="12"/>
      <c r="R582" s="12" t="s">
        <v>302</v>
      </c>
      <c r="S582" s="12" t="s">
        <v>302</v>
      </c>
      <c r="U582" s="12"/>
      <c r="V582" s="93"/>
      <c r="W582" s="92" t="str">
        <f t="shared" si="143"/>
        <v>2.2\0.5:4</v>
      </c>
      <c r="X582" s="93"/>
      <c r="Y582" s="113"/>
      <c r="Z582" s="93"/>
      <c r="AA582" s="9"/>
      <c r="AH582" s="94" t="s">
        <v>301</v>
      </c>
      <c r="AI582" s="168">
        <v>9</v>
      </c>
      <c r="AJ582" s="168">
        <v>10</v>
      </c>
    </row>
    <row r="583" spans="1:36" x14ac:dyDescent="0.3">
      <c r="A583" s="102" t="str">
        <f t="shared" si="146"/>
        <v>BSR130</v>
      </c>
      <c r="B583" s="93" t="str">
        <f t="shared" si="144"/>
        <v>DX02</v>
      </c>
      <c r="C583" s="93" t="str">
        <f t="shared" si="145"/>
        <v>DIO1</v>
      </c>
      <c r="D583" s="94">
        <f t="shared" si="141"/>
        <v>130</v>
      </c>
      <c r="E583" s="94">
        <v>2</v>
      </c>
      <c r="F583" s="94">
        <f t="shared" si="142"/>
        <v>2</v>
      </c>
      <c r="G583" s="94">
        <v>0</v>
      </c>
      <c r="H583" s="171">
        <f t="shared" si="148"/>
        <v>5</v>
      </c>
      <c r="I583" s="163">
        <f t="shared" si="147"/>
        <v>5</v>
      </c>
      <c r="J583" s="172"/>
      <c r="K583" s="124"/>
      <c r="L583" s="92" t="s">
        <v>21</v>
      </c>
      <c r="M583" s="92"/>
      <c r="N583" s="92">
        <v>4</v>
      </c>
      <c r="O583" s="92" t="s">
        <v>17</v>
      </c>
      <c r="P583" s="12" t="s">
        <v>61</v>
      </c>
      <c r="Q583" s="12"/>
      <c r="R583" s="12" t="s">
        <v>60</v>
      </c>
      <c r="S583" s="12" t="s">
        <v>18</v>
      </c>
      <c r="T583" s="92" t="s">
        <v>188</v>
      </c>
      <c r="U583" s="12" t="s">
        <v>17</v>
      </c>
      <c r="V583" s="93"/>
      <c r="W583" s="92" t="str">
        <f t="shared" si="143"/>
        <v>2.2\0.5:5</v>
      </c>
      <c r="X583" s="93"/>
      <c r="Y583" s="113"/>
      <c r="Z583" s="93"/>
      <c r="AA583" s="9"/>
      <c r="AH583" s="94" t="s">
        <v>301</v>
      </c>
      <c r="AI583" s="168">
        <v>11</v>
      </c>
      <c r="AJ583" s="168">
        <v>12</v>
      </c>
    </row>
    <row r="584" spans="1:36" x14ac:dyDescent="0.3">
      <c r="A584" s="102" t="str">
        <f t="shared" si="146"/>
        <v>BSR130</v>
      </c>
      <c r="B584" s="93" t="str">
        <f t="shared" ref="B584:B615" si="149">+B583</f>
        <v>DX02</v>
      </c>
      <c r="C584" s="93" t="str">
        <f t="shared" si="145"/>
        <v>DIO1</v>
      </c>
      <c r="D584" s="94">
        <f t="shared" si="141"/>
        <v>130</v>
      </c>
      <c r="E584" s="94">
        <v>2</v>
      </c>
      <c r="F584" s="94">
        <f t="shared" si="142"/>
        <v>2</v>
      </c>
      <c r="G584" s="94">
        <v>0</v>
      </c>
      <c r="H584" s="171">
        <f t="shared" si="148"/>
        <v>5</v>
      </c>
      <c r="I584" s="163">
        <f t="shared" si="147"/>
        <v>6</v>
      </c>
      <c r="J584" s="172"/>
      <c r="K584" s="124"/>
      <c r="L584" s="92" t="s">
        <v>21</v>
      </c>
      <c r="M584" s="92"/>
      <c r="N584" s="92">
        <v>4</v>
      </c>
      <c r="O584" s="92" t="s">
        <v>308</v>
      </c>
      <c r="P584" s="12" t="s">
        <v>61</v>
      </c>
      <c r="Q584" s="12"/>
      <c r="R584" s="12" t="s">
        <v>60</v>
      </c>
      <c r="S584" s="12" t="s">
        <v>18</v>
      </c>
      <c r="T584" s="92" t="s">
        <v>176</v>
      </c>
      <c r="U584" s="12" t="s">
        <v>308</v>
      </c>
      <c r="V584" s="93"/>
      <c r="W584" s="92" t="str">
        <f t="shared" si="143"/>
        <v>2.2\0.5:6</v>
      </c>
      <c r="X584" s="93"/>
      <c r="Y584" s="113"/>
      <c r="Z584" s="93"/>
      <c r="AA584" s="9"/>
      <c r="AH584" s="94" t="s">
        <v>301</v>
      </c>
      <c r="AI584" s="168">
        <v>13</v>
      </c>
      <c r="AJ584" s="168">
        <v>14</v>
      </c>
    </row>
    <row r="585" spans="1:36" x14ac:dyDescent="0.3">
      <c r="A585" s="102" t="str">
        <f t="shared" si="146"/>
        <v>BSR130</v>
      </c>
      <c r="B585" s="93" t="str">
        <f t="shared" si="149"/>
        <v>DX02</v>
      </c>
      <c r="C585" s="93" t="str">
        <f t="shared" si="145"/>
        <v>DIO1</v>
      </c>
      <c r="D585" s="94">
        <f t="shared" si="141"/>
        <v>130</v>
      </c>
      <c r="E585" s="94">
        <v>2</v>
      </c>
      <c r="F585" s="94">
        <f t="shared" si="142"/>
        <v>2</v>
      </c>
      <c r="G585" s="94">
        <v>0</v>
      </c>
      <c r="H585" s="171">
        <f t="shared" si="148"/>
        <v>5</v>
      </c>
      <c r="I585" s="163">
        <f t="shared" si="147"/>
        <v>7</v>
      </c>
      <c r="J585" s="172"/>
      <c r="K585" s="124"/>
      <c r="L585" s="92" t="s">
        <v>21</v>
      </c>
      <c r="M585" s="92"/>
      <c r="N585" s="92">
        <v>4</v>
      </c>
      <c r="O585" s="92" t="s">
        <v>307</v>
      </c>
      <c r="P585" s="12" t="s">
        <v>61</v>
      </c>
      <c r="Q585" s="12"/>
      <c r="R585" s="12" t="s">
        <v>60</v>
      </c>
      <c r="S585" s="12" t="s">
        <v>18</v>
      </c>
      <c r="T585" s="92" t="s">
        <v>160</v>
      </c>
      <c r="U585" s="12" t="s">
        <v>307</v>
      </c>
      <c r="V585" s="93"/>
      <c r="W585" s="92" t="str">
        <f t="shared" si="143"/>
        <v>2.2\0.5:7</v>
      </c>
      <c r="X585" s="93"/>
      <c r="Y585" s="113"/>
      <c r="Z585" s="93"/>
      <c r="AA585" s="9"/>
      <c r="AH585" s="94" t="s">
        <v>301</v>
      </c>
      <c r="AI585" s="168">
        <v>15</v>
      </c>
      <c r="AJ585" s="168">
        <v>16</v>
      </c>
    </row>
    <row r="586" spans="1:36" x14ac:dyDescent="0.3">
      <c r="A586" s="102" t="str">
        <f t="shared" si="146"/>
        <v>BSR130</v>
      </c>
      <c r="B586" s="93" t="str">
        <f t="shared" si="149"/>
        <v>DX02</v>
      </c>
      <c r="C586" s="93" t="str">
        <f t="shared" si="145"/>
        <v>DIO1</v>
      </c>
      <c r="D586" s="94">
        <f t="shared" si="141"/>
        <v>130</v>
      </c>
      <c r="E586" s="94">
        <v>2</v>
      </c>
      <c r="F586" s="94">
        <f t="shared" si="142"/>
        <v>2</v>
      </c>
      <c r="G586" s="94">
        <v>0</v>
      </c>
      <c r="H586" s="171">
        <f t="shared" si="148"/>
        <v>5</v>
      </c>
      <c r="I586" s="163">
        <f t="shared" si="147"/>
        <v>8</v>
      </c>
      <c r="J586" s="172"/>
      <c r="K586" s="124"/>
      <c r="L586" s="92" t="s">
        <v>21</v>
      </c>
      <c r="M586" s="92"/>
      <c r="N586" s="92">
        <v>4</v>
      </c>
      <c r="O586" s="92" t="s">
        <v>306</v>
      </c>
      <c r="P586" s="12" t="s">
        <v>61</v>
      </c>
      <c r="Q586" s="12"/>
      <c r="R586" s="12" t="s">
        <v>60</v>
      </c>
      <c r="S586" s="12" t="s">
        <v>18</v>
      </c>
      <c r="T586" s="92" t="s">
        <v>115</v>
      </c>
      <c r="U586" s="12" t="s">
        <v>306</v>
      </c>
      <c r="V586" s="93"/>
      <c r="W586" s="92" t="str">
        <f t="shared" si="143"/>
        <v>2.2\0.5:8</v>
      </c>
      <c r="X586" s="93"/>
      <c r="Y586" s="113"/>
      <c r="Z586" s="93"/>
      <c r="AA586" s="9"/>
      <c r="AH586" s="94" t="s">
        <v>301</v>
      </c>
      <c r="AI586" s="168">
        <v>17</v>
      </c>
      <c r="AJ586" s="168">
        <v>18</v>
      </c>
    </row>
    <row r="587" spans="1:36" x14ac:dyDescent="0.3">
      <c r="A587" s="102" t="str">
        <f t="shared" si="146"/>
        <v>BSR130</v>
      </c>
      <c r="B587" s="93" t="str">
        <f t="shared" si="149"/>
        <v>DX02</v>
      </c>
      <c r="C587" s="93" t="str">
        <f t="shared" si="145"/>
        <v>DIO1</v>
      </c>
      <c r="D587" s="94">
        <f t="shared" si="141"/>
        <v>130</v>
      </c>
      <c r="E587" s="94">
        <v>2</v>
      </c>
      <c r="F587" s="94">
        <f t="shared" si="142"/>
        <v>2</v>
      </c>
      <c r="G587" s="94">
        <v>0</v>
      </c>
      <c r="H587" s="171">
        <f t="shared" si="148"/>
        <v>5</v>
      </c>
      <c r="I587" s="163">
        <f t="shared" si="147"/>
        <v>9</v>
      </c>
      <c r="J587" s="172"/>
      <c r="K587" s="124"/>
      <c r="L587" s="92" t="s">
        <v>21</v>
      </c>
      <c r="M587" s="92"/>
      <c r="N587" s="92">
        <v>4</v>
      </c>
      <c r="O587" s="92" t="s">
        <v>122</v>
      </c>
      <c r="P587" s="12" t="s">
        <v>61</v>
      </c>
      <c r="Q587" s="12"/>
      <c r="R587" s="12" t="s">
        <v>60</v>
      </c>
      <c r="S587" s="12" t="s">
        <v>18</v>
      </c>
      <c r="T587" s="92" t="s">
        <v>149</v>
      </c>
      <c r="U587" s="13" t="s">
        <v>122</v>
      </c>
      <c r="V587" s="93"/>
      <c r="W587" s="92" t="str">
        <f t="shared" si="143"/>
        <v>2.2\0.5:9</v>
      </c>
      <c r="X587" s="93"/>
      <c r="Y587" s="113"/>
      <c r="Z587" s="93"/>
      <c r="AA587" s="9"/>
      <c r="AH587" s="94" t="s">
        <v>301</v>
      </c>
      <c r="AI587" s="168">
        <v>19</v>
      </c>
      <c r="AJ587" s="168">
        <v>20</v>
      </c>
    </row>
    <row r="588" spans="1:36" x14ac:dyDescent="0.3">
      <c r="A588" s="102" t="str">
        <f t="shared" si="146"/>
        <v>BSR130</v>
      </c>
      <c r="B588" s="93" t="str">
        <f t="shared" si="149"/>
        <v>DX02</v>
      </c>
      <c r="C588" s="93" t="str">
        <f t="shared" si="145"/>
        <v>DIO1</v>
      </c>
      <c r="D588" s="94">
        <f t="shared" si="141"/>
        <v>130</v>
      </c>
      <c r="E588" s="94">
        <v>2</v>
      </c>
      <c r="F588" s="94">
        <f t="shared" si="142"/>
        <v>2</v>
      </c>
      <c r="G588" s="94">
        <v>0</v>
      </c>
      <c r="H588" s="171">
        <f t="shared" si="148"/>
        <v>5</v>
      </c>
      <c r="I588" s="163">
        <f t="shared" si="147"/>
        <v>10</v>
      </c>
      <c r="J588" s="172"/>
      <c r="K588" s="124"/>
      <c r="L588" s="92" t="s">
        <v>21</v>
      </c>
      <c r="M588" s="92"/>
      <c r="N588" s="92">
        <v>4</v>
      </c>
      <c r="O588" s="92" t="s">
        <v>122</v>
      </c>
      <c r="P588" s="92" t="s">
        <v>305</v>
      </c>
      <c r="R588" s="12" t="s">
        <v>60</v>
      </c>
      <c r="S588" s="92" t="s">
        <v>18</v>
      </c>
      <c r="T588" s="92" t="s">
        <v>130</v>
      </c>
      <c r="U588" s="92" t="s">
        <v>122</v>
      </c>
      <c r="V588" s="93"/>
      <c r="W588" s="92" t="str">
        <f t="shared" si="143"/>
        <v>2.2\0.5:10</v>
      </c>
      <c r="X588" s="93"/>
      <c r="Y588" s="113"/>
      <c r="Z588" s="93"/>
      <c r="AA588" s="9"/>
      <c r="AH588" s="94" t="s">
        <v>301</v>
      </c>
      <c r="AI588" s="168">
        <v>21</v>
      </c>
      <c r="AJ588" s="168">
        <v>22</v>
      </c>
    </row>
    <row r="589" spans="1:36" x14ac:dyDescent="0.3">
      <c r="A589" s="102" t="str">
        <f t="shared" si="146"/>
        <v>BSR130</v>
      </c>
      <c r="B589" s="93" t="str">
        <f t="shared" si="149"/>
        <v>DX02</v>
      </c>
      <c r="C589" s="93" t="str">
        <f t="shared" si="145"/>
        <v>DIO1</v>
      </c>
      <c r="D589" s="94">
        <f t="shared" si="141"/>
        <v>130</v>
      </c>
      <c r="E589" s="94">
        <v>2</v>
      </c>
      <c r="F589" s="94">
        <f t="shared" si="142"/>
        <v>2</v>
      </c>
      <c r="G589" s="94">
        <v>0</v>
      </c>
      <c r="H589" s="171">
        <f t="shared" si="148"/>
        <v>5</v>
      </c>
      <c r="I589" s="163">
        <f t="shared" si="147"/>
        <v>11</v>
      </c>
      <c r="J589" s="172"/>
      <c r="K589" s="124"/>
      <c r="L589" s="92" t="s">
        <v>21</v>
      </c>
      <c r="M589" s="92"/>
      <c r="N589" s="104">
        <v>5</v>
      </c>
      <c r="O589" s="104" t="s">
        <v>200</v>
      </c>
      <c r="P589" s="37" t="s">
        <v>61</v>
      </c>
      <c r="Q589" s="37"/>
      <c r="R589" s="12" t="s">
        <v>60</v>
      </c>
      <c r="S589" s="104" t="s">
        <v>18</v>
      </c>
      <c r="T589" s="104" t="s">
        <v>304</v>
      </c>
      <c r="U589" s="104" t="s">
        <v>200</v>
      </c>
      <c r="V589" s="104"/>
      <c r="W589" s="104" t="str">
        <f t="shared" si="143"/>
        <v>2.2\0.5:11</v>
      </c>
      <c r="X589" s="104" t="s">
        <v>303</v>
      </c>
      <c r="Y589" s="160">
        <v>0</v>
      </c>
      <c r="Z589" s="93"/>
      <c r="AA589" s="9"/>
      <c r="AH589" s="94" t="s">
        <v>301</v>
      </c>
      <c r="AI589" s="168">
        <v>23</v>
      </c>
      <c r="AJ589" s="168">
        <v>24</v>
      </c>
    </row>
    <row r="590" spans="1:36" x14ac:dyDescent="0.3">
      <c r="A590" s="102" t="str">
        <f t="shared" si="146"/>
        <v>BSR130</v>
      </c>
      <c r="B590" s="93" t="str">
        <f t="shared" si="149"/>
        <v>DX02</v>
      </c>
      <c r="C590" s="93" t="str">
        <f t="shared" si="145"/>
        <v>DIO1</v>
      </c>
      <c r="D590" s="94">
        <f t="shared" si="141"/>
        <v>130</v>
      </c>
      <c r="E590" s="94">
        <v>2</v>
      </c>
      <c r="F590" s="94">
        <f t="shared" si="142"/>
        <v>2</v>
      </c>
      <c r="G590" s="94">
        <v>0</v>
      </c>
      <c r="H590" s="171">
        <f t="shared" si="148"/>
        <v>5</v>
      </c>
      <c r="I590" s="163">
        <f t="shared" si="147"/>
        <v>12</v>
      </c>
      <c r="J590" s="172"/>
      <c r="K590" s="124"/>
      <c r="L590" s="92" t="s">
        <v>21</v>
      </c>
      <c r="M590" s="92"/>
      <c r="N590" s="92"/>
      <c r="O590" s="92"/>
      <c r="P590" s="12"/>
      <c r="Q590" s="12"/>
      <c r="R590" s="12" t="s">
        <v>302</v>
      </c>
      <c r="S590" s="12" t="s">
        <v>302</v>
      </c>
      <c r="T590" s="13"/>
      <c r="V590" s="93"/>
      <c r="W590" s="92" t="str">
        <f t="shared" si="143"/>
        <v>2.2\0.5:12</v>
      </c>
      <c r="X590" s="92"/>
      <c r="Y590" s="94"/>
      <c r="Z590" s="93"/>
      <c r="AA590" s="9"/>
      <c r="AH590" s="94" t="s">
        <v>301</v>
      </c>
      <c r="AI590" s="168">
        <v>25</v>
      </c>
      <c r="AJ590" s="168">
        <v>26</v>
      </c>
    </row>
    <row r="591" spans="1:36" x14ac:dyDescent="0.3">
      <c r="A591" s="102" t="str">
        <f t="shared" si="146"/>
        <v>BSR130</v>
      </c>
      <c r="B591" s="93" t="str">
        <f t="shared" si="149"/>
        <v>DX02</v>
      </c>
      <c r="C591" s="93" t="str">
        <f t="shared" si="145"/>
        <v>DIO1</v>
      </c>
      <c r="D591" s="94">
        <f t="shared" si="141"/>
        <v>130</v>
      </c>
      <c r="E591" s="94">
        <v>2</v>
      </c>
      <c r="F591" s="94">
        <f t="shared" si="142"/>
        <v>2</v>
      </c>
      <c r="G591" s="94">
        <v>0</v>
      </c>
      <c r="H591" s="171">
        <f t="shared" si="148"/>
        <v>5</v>
      </c>
      <c r="I591" s="163">
        <f t="shared" si="147"/>
        <v>13</v>
      </c>
      <c r="J591" s="172"/>
      <c r="K591" s="124"/>
      <c r="L591" s="92" t="s">
        <v>21</v>
      </c>
      <c r="M591" s="92"/>
      <c r="N591" s="92"/>
      <c r="O591" s="92"/>
      <c r="P591" s="12"/>
      <c r="Q591" s="12"/>
      <c r="R591" s="12" t="s">
        <v>302</v>
      </c>
      <c r="S591" s="12" t="s">
        <v>302</v>
      </c>
      <c r="T591" s="12"/>
      <c r="V591" s="93"/>
      <c r="W591" s="92" t="str">
        <f t="shared" si="143"/>
        <v>2.2\0.5:13</v>
      </c>
      <c r="X591" s="92"/>
      <c r="Y591" s="94"/>
      <c r="Z591" s="93"/>
      <c r="AA591" s="9"/>
      <c r="AH591" s="94" t="s">
        <v>301</v>
      </c>
      <c r="AI591" s="168">
        <v>27</v>
      </c>
      <c r="AJ591" s="168">
        <v>28</v>
      </c>
    </row>
    <row r="592" spans="1:36" x14ac:dyDescent="0.3">
      <c r="A592" s="102" t="str">
        <f t="shared" si="146"/>
        <v>BSR130</v>
      </c>
      <c r="B592" s="93" t="str">
        <f t="shared" si="149"/>
        <v>DX02</v>
      </c>
      <c r="C592" s="93" t="str">
        <f t="shared" si="145"/>
        <v>DIO1</v>
      </c>
      <c r="D592" s="94">
        <f t="shared" si="141"/>
        <v>130</v>
      </c>
      <c r="E592" s="94">
        <v>2</v>
      </c>
      <c r="F592" s="94">
        <f t="shared" si="142"/>
        <v>2</v>
      </c>
      <c r="G592" s="94">
        <v>0</v>
      </c>
      <c r="H592" s="171">
        <f t="shared" si="148"/>
        <v>5</v>
      </c>
      <c r="I592" s="163">
        <f t="shared" si="147"/>
        <v>14</v>
      </c>
      <c r="J592" s="172"/>
      <c r="K592" s="124"/>
      <c r="L592" s="92" t="s">
        <v>21</v>
      </c>
      <c r="M592" s="92"/>
      <c r="N592" s="92"/>
      <c r="O592" s="92"/>
      <c r="P592" s="12"/>
      <c r="Q592" s="12"/>
      <c r="R592" s="12" t="s">
        <v>302</v>
      </c>
      <c r="S592" s="12" t="s">
        <v>302</v>
      </c>
      <c r="T592" s="12"/>
      <c r="V592" s="93"/>
      <c r="W592" s="92" t="str">
        <f t="shared" si="143"/>
        <v>2.2\0.5:14</v>
      </c>
      <c r="X592" s="92"/>
      <c r="Y592" s="94"/>
      <c r="Z592" s="93"/>
      <c r="AA592" s="9"/>
      <c r="AH592" s="94" t="s">
        <v>301</v>
      </c>
      <c r="AI592" s="168">
        <v>29</v>
      </c>
      <c r="AJ592" s="168">
        <v>30</v>
      </c>
    </row>
    <row r="593" spans="1:36" x14ac:dyDescent="0.3">
      <c r="A593" s="102" t="str">
        <f t="shared" si="146"/>
        <v>BSR130</v>
      </c>
      <c r="B593" s="93" t="str">
        <f t="shared" si="149"/>
        <v>DX02</v>
      </c>
      <c r="C593" s="93" t="str">
        <f t="shared" si="145"/>
        <v>DIO1</v>
      </c>
      <c r="D593" s="94">
        <f t="shared" si="141"/>
        <v>130</v>
      </c>
      <c r="E593" s="94">
        <v>2</v>
      </c>
      <c r="F593" s="94">
        <f t="shared" si="142"/>
        <v>2</v>
      </c>
      <c r="G593" s="94">
        <v>0</v>
      </c>
      <c r="H593" s="171">
        <f t="shared" si="148"/>
        <v>5</v>
      </c>
      <c r="I593" s="163">
        <f t="shared" si="147"/>
        <v>15</v>
      </c>
      <c r="J593" s="172"/>
      <c r="K593" s="124"/>
      <c r="L593" s="92" t="s">
        <v>21</v>
      </c>
      <c r="M593" s="92"/>
      <c r="N593" s="92"/>
      <c r="O593" s="92"/>
      <c r="R593" s="92" t="s">
        <v>302</v>
      </c>
      <c r="S593" s="92" t="s">
        <v>302</v>
      </c>
      <c r="T593" s="13"/>
      <c r="V593" s="93"/>
      <c r="W593" s="92" t="str">
        <f t="shared" si="143"/>
        <v>2.2\0.5:15</v>
      </c>
      <c r="X593" s="92"/>
      <c r="Y593" s="94"/>
      <c r="Z593" s="93"/>
      <c r="AA593" s="9"/>
      <c r="AH593" s="94" t="s">
        <v>301</v>
      </c>
      <c r="AI593" s="168">
        <v>31</v>
      </c>
      <c r="AJ593" s="168">
        <v>32</v>
      </c>
    </row>
    <row r="594" spans="1:36" x14ac:dyDescent="0.3">
      <c r="A594" s="102" t="str">
        <f t="shared" si="146"/>
        <v>BSR130</v>
      </c>
      <c r="B594" s="93" t="str">
        <f t="shared" si="149"/>
        <v>DX02</v>
      </c>
      <c r="C594" s="93" t="str">
        <f t="shared" si="145"/>
        <v>DIO1</v>
      </c>
      <c r="D594" s="94">
        <f t="shared" si="141"/>
        <v>130</v>
      </c>
      <c r="E594" s="94">
        <v>2</v>
      </c>
      <c r="F594" s="94">
        <f t="shared" si="142"/>
        <v>2</v>
      </c>
      <c r="G594" s="94">
        <v>0</v>
      </c>
      <c r="H594" s="171">
        <f t="shared" si="148"/>
        <v>5</v>
      </c>
      <c r="I594" s="163">
        <f t="shared" si="147"/>
        <v>16</v>
      </c>
      <c r="J594" s="172"/>
      <c r="K594" s="93"/>
      <c r="L594" s="92" t="s">
        <v>21</v>
      </c>
      <c r="M594" s="92"/>
      <c r="N594" s="92"/>
      <c r="O594" s="92"/>
      <c r="R594" s="92" t="s">
        <v>302</v>
      </c>
      <c r="S594" s="92" t="s">
        <v>302</v>
      </c>
      <c r="T594" s="12"/>
      <c r="V594" s="93"/>
      <c r="W594" s="92" t="str">
        <f t="shared" si="143"/>
        <v>2.2\0.5:16</v>
      </c>
      <c r="X594" s="92"/>
      <c r="Y594" s="94"/>
      <c r="Z594" s="93"/>
      <c r="AA594" s="9"/>
      <c r="AH594" s="94" t="s">
        <v>301</v>
      </c>
      <c r="AI594" s="168">
        <v>33</v>
      </c>
      <c r="AJ594" s="168">
        <v>34</v>
      </c>
    </row>
    <row r="595" spans="1:36" x14ac:dyDescent="0.3">
      <c r="A595" s="102" t="str">
        <f t="shared" si="146"/>
        <v>BSR130</v>
      </c>
      <c r="B595" s="93" t="str">
        <f t="shared" si="149"/>
        <v>DX02</v>
      </c>
      <c r="C595" s="93" t="str">
        <f t="shared" si="145"/>
        <v>DIO1</v>
      </c>
      <c r="D595" s="94">
        <f t="shared" si="141"/>
        <v>130</v>
      </c>
      <c r="E595" s="94">
        <v>2</v>
      </c>
      <c r="F595" s="94">
        <f t="shared" si="142"/>
        <v>2</v>
      </c>
      <c r="G595" s="94">
        <v>0</v>
      </c>
      <c r="H595" s="171">
        <f t="shared" si="148"/>
        <v>5</v>
      </c>
      <c r="I595" s="163">
        <f t="shared" si="147"/>
        <v>17</v>
      </c>
      <c r="J595" s="172"/>
      <c r="K595" s="124"/>
      <c r="L595" s="92" t="s">
        <v>21</v>
      </c>
      <c r="M595" s="92"/>
      <c r="N595" s="92"/>
      <c r="O595" s="92"/>
      <c r="R595" s="92" t="s">
        <v>302</v>
      </c>
      <c r="S595" s="92" t="s">
        <v>302</v>
      </c>
      <c r="T595" s="12"/>
      <c r="V595" s="93"/>
      <c r="W595" s="92" t="str">
        <f t="shared" si="143"/>
        <v>2.2\0.5:17</v>
      </c>
      <c r="X595" s="92"/>
      <c r="Y595" s="94"/>
      <c r="Z595" s="93"/>
      <c r="AA595" s="9"/>
      <c r="AH595" s="94" t="s">
        <v>301</v>
      </c>
      <c r="AI595" s="168">
        <v>35</v>
      </c>
      <c r="AJ595" s="168">
        <v>36</v>
      </c>
    </row>
    <row r="596" spans="1:36" x14ac:dyDescent="0.3">
      <c r="A596" s="102" t="str">
        <f t="shared" si="146"/>
        <v>BSR130</v>
      </c>
      <c r="B596" s="93" t="str">
        <f t="shared" si="149"/>
        <v>DX02</v>
      </c>
      <c r="C596" s="93" t="str">
        <f t="shared" si="145"/>
        <v>DIO1</v>
      </c>
      <c r="D596" s="94">
        <f t="shared" si="141"/>
        <v>130</v>
      </c>
      <c r="E596" s="94">
        <v>2</v>
      </c>
      <c r="F596" s="94">
        <f t="shared" si="142"/>
        <v>2</v>
      </c>
      <c r="G596" s="94">
        <v>0</v>
      </c>
      <c r="H596" s="171">
        <f t="shared" si="148"/>
        <v>5</v>
      </c>
      <c r="I596" s="163">
        <f t="shared" si="147"/>
        <v>18</v>
      </c>
      <c r="J596" s="172"/>
      <c r="K596" s="124"/>
      <c r="L596" s="92" t="s">
        <v>21</v>
      </c>
      <c r="M596" s="92"/>
      <c r="N596" s="92"/>
      <c r="O596" s="92"/>
      <c r="R596" s="92" t="s">
        <v>302</v>
      </c>
      <c r="S596" s="92" t="s">
        <v>302</v>
      </c>
      <c r="T596" s="13"/>
      <c r="V596" s="93"/>
      <c r="W596" s="92" t="str">
        <f t="shared" si="143"/>
        <v>2.2\0.5:18</v>
      </c>
      <c r="X596" s="92"/>
      <c r="Y596" s="94"/>
      <c r="Z596" s="93"/>
      <c r="AA596" s="9"/>
      <c r="AH596" s="94" t="s">
        <v>301</v>
      </c>
      <c r="AI596" s="168">
        <v>37</v>
      </c>
      <c r="AJ596" s="168">
        <v>38</v>
      </c>
    </row>
    <row r="597" spans="1:36" x14ac:dyDescent="0.3">
      <c r="A597" s="102" t="str">
        <f t="shared" si="146"/>
        <v>BSR130</v>
      </c>
      <c r="B597" s="93" t="str">
        <f t="shared" si="149"/>
        <v>DX02</v>
      </c>
      <c r="C597" s="93" t="str">
        <f t="shared" si="145"/>
        <v>DIO1</v>
      </c>
      <c r="D597" s="94">
        <f t="shared" si="141"/>
        <v>130</v>
      </c>
      <c r="E597" s="94">
        <v>2</v>
      </c>
      <c r="F597" s="94">
        <f t="shared" si="142"/>
        <v>2</v>
      </c>
      <c r="G597" s="94">
        <v>0</v>
      </c>
      <c r="H597" s="171">
        <f t="shared" si="148"/>
        <v>5</v>
      </c>
      <c r="I597" s="163">
        <f t="shared" si="147"/>
        <v>19</v>
      </c>
      <c r="J597" s="172"/>
      <c r="K597" s="124"/>
      <c r="L597" s="92" t="s">
        <v>21</v>
      </c>
      <c r="M597" s="92"/>
      <c r="N597" s="92"/>
      <c r="O597" s="92"/>
      <c r="R597" s="92" t="s">
        <v>302</v>
      </c>
      <c r="S597" s="92" t="s">
        <v>302</v>
      </c>
      <c r="T597" s="12"/>
      <c r="V597" s="168"/>
      <c r="W597" s="92" t="str">
        <f t="shared" si="143"/>
        <v>2.2\0.5:19</v>
      </c>
      <c r="X597" s="92"/>
      <c r="Y597" s="94"/>
      <c r="Z597" s="93"/>
      <c r="AA597" s="9"/>
      <c r="AH597" s="94" t="s">
        <v>301</v>
      </c>
      <c r="AI597" s="168">
        <v>39</v>
      </c>
      <c r="AJ597" s="168">
        <v>40</v>
      </c>
    </row>
    <row r="598" spans="1:36" x14ac:dyDescent="0.3">
      <c r="A598" s="102" t="str">
        <f t="shared" si="146"/>
        <v>BSR130</v>
      </c>
      <c r="B598" s="93" t="str">
        <f t="shared" si="149"/>
        <v>DX02</v>
      </c>
      <c r="C598" s="93" t="str">
        <f t="shared" si="145"/>
        <v>DIO1</v>
      </c>
      <c r="D598" s="94">
        <f t="shared" si="141"/>
        <v>130</v>
      </c>
      <c r="E598" s="94">
        <v>2</v>
      </c>
      <c r="F598" s="94">
        <f t="shared" si="142"/>
        <v>2</v>
      </c>
      <c r="G598" s="94">
        <v>0</v>
      </c>
      <c r="H598" s="171">
        <f t="shared" si="148"/>
        <v>5</v>
      </c>
      <c r="I598" s="163">
        <f t="shared" si="147"/>
        <v>20</v>
      </c>
      <c r="J598" s="172"/>
      <c r="K598" s="124"/>
      <c r="L598" s="92" t="s">
        <v>21</v>
      </c>
      <c r="M598" s="92"/>
      <c r="N598" s="92"/>
      <c r="O598" s="92"/>
      <c r="P598" s="12"/>
      <c r="Q598" s="12"/>
      <c r="R598" s="12" t="s">
        <v>302</v>
      </c>
      <c r="S598" s="12" t="s">
        <v>302</v>
      </c>
      <c r="T598" s="12"/>
      <c r="U598" s="13"/>
      <c r="V598" s="12"/>
      <c r="W598" s="92" t="str">
        <f t="shared" si="143"/>
        <v>2.2\0.5:20</v>
      </c>
      <c r="X598" s="92"/>
      <c r="Y598" s="94"/>
      <c r="Z598" s="93"/>
      <c r="AA598" s="9"/>
      <c r="AH598" s="94" t="s">
        <v>301</v>
      </c>
      <c r="AI598" s="168">
        <v>41</v>
      </c>
      <c r="AJ598" s="168">
        <v>42</v>
      </c>
    </row>
    <row r="599" spans="1:36" x14ac:dyDescent="0.3">
      <c r="A599" s="102" t="str">
        <f t="shared" si="146"/>
        <v>BSR130</v>
      </c>
      <c r="B599" s="93" t="str">
        <f t="shared" si="149"/>
        <v>DX02</v>
      </c>
      <c r="C599" s="93" t="str">
        <f t="shared" si="145"/>
        <v>DIO1</v>
      </c>
      <c r="D599" s="94">
        <f t="shared" si="141"/>
        <v>130</v>
      </c>
      <c r="E599" s="94">
        <v>2</v>
      </c>
      <c r="F599" s="94">
        <f t="shared" si="142"/>
        <v>2</v>
      </c>
      <c r="G599" s="94">
        <v>0</v>
      </c>
      <c r="H599" s="171">
        <f t="shared" si="148"/>
        <v>5</v>
      </c>
      <c r="I599" s="163">
        <f t="shared" si="147"/>
        <v>21</v>
      </c>
      <c r="J599" s="172"/>
      <c r="K599" s="124"/>
      <c r="L599" s="92" t="s">
        <v>21</v>
      </c>
      <c r="M599" s="92"/>
      <c r="N599" s="92"/>
      <c r="O599" s="92"/>
      <c r="P599" s="12"/>
      <c r="Q599" s="12"/>
      <c r="R599" s="12" t="s">
        <v>302</v>
      </c>
      <c r="S599" s="12" t="s">
        <v>302</v>
      </c>
      <c r="T599" s="13"/>
      <c r="U599" s="13"/>
      <c r="V599" s="12"/>
      <c r="W599" s="92" t="str">
        <f t="shared" si="143"/>
        <v>2.2\0.5:21</v>
      </c>
      <c r="X599" s="92"/>
      <c r="Y599" s="94"/>
      <c r="Z599" s="93"/>
      <c r="AA599" s="9"/>
      <c r="AH599" s="94" t="s">
        <v>301</v>
      </c>
      <c r="AI599" s="168">
        <v>43</v>
      </c>
      <c r="AJ599" s="168">
        <v>44</v>
      </c>
    </row>
    <row r="600" spans="1:36" x14ac:dyDescent="0.3">
      <c r="A600" s="102" t="str">
        <f t="shared" si="146"/>
        <v>BSR130</v>
      </c>
      <c r="B600" s="93" t="str">
        <f t="shared" si="149"/>
        <v>DX02</v>
      </c>
      <c r="C600" s="93" t="str">
        <f t="shared" si="145"/>
        <v>DIO1</v>
      </c>
      <c r="D600" s="94">
        <f t="shared" si="141"/>
        <v>130</v>
      </c>
      <c r="E600" s="94">
        <v>2</v>
      </c>
      <c r="F600" s="94">
        <f t="shared" si="142"/>
        <v>2</v>
      </c>
      <c r="G600" s="94">
        <v>0</v>
      </c>
      <c r="H600" s="171">
        <f t="shared" si="148"/>
        <v>5</v>
      </c>
      <c r="I600" s="163">
        <f t="shared" si="147"/>
        <v>22</v>
      </c>
      <c r="J600" s="172"/>
      <c r="K600" s="124"/>
      <c r="L600" s="92" t="s">
        <v>21</v>
      </c>
      <c r="M600" s="92"/>
      <c r="N600" s="92"/>
      <c r="O600" s="92"/>
      <c r="R600" s="92" t="s">
        <v>302</v>
      </c>
      <c r="S600" s="92" t="s">
        <v>302</v>
      </c>
      <c r="T600" s="12"/>
      <c r="V600" s="12"/>
      <c r="W600" s="92" t="str">
        <f t="shared" si="143"/>
        <v>2.2\0.5:22</v>
      </c>
      <c r="X600" s="92"/>
      <c r="Y600" s="94"/>
      <c r="Z600" s="93"/>
      <c r="AA600" s="9"/>
      <c r="AH600" s="94" t="s">
        <v>301</v>
      </c>
      <c r="AI600" s="168">
        <v>45</v>
      </c>
      <c r="AJ600" s="168">
        <v>46</v>
      </c>
    </row>
    <row r="601" spans="1:36" x14ac:dyDescent="0.3">
      <c r="A601" s="102" t="str">
        <f t="shared" si="146"/>
        <v>BSR130</v>
      </c>
      <c r="B601" s="93" t="str">
        <f t="shared" si="149"/>
        <v>DX02</v>
      </c>
      <c r="C601" s="93" t="str">
        <f t="shared" si="145"/>
        <v>DIO1</v>
      </c>
      <c r="D601" s="94">
        <f t="shared" si="141"/>
        <v>130</v>
      </c>
      <c r="E601" s="94">
        <v>2</v>
      </c>
      <c r="F601" s="94">
        <f t="shared" si="142"/>
        <v>2</v>
      </c>
      <c r="G601" s="94">
        <v>0</v>
      </c>
      <c r="H601" s="171">
        <f t="shared" si="148"/>
        <v>5</v>
      </c>
      <c r="I601" s="163">
        <f t="shared" si="147"/>
        <v>23</v>
      </c>
      <c r="J601" s="172"/>
      <c r="K601" s="124"/>
      <c r="L601" s="92" t="s">
        <v>21</v>
      </c>
      <c r="M601" s="92"/>
      <c r="N601" s="92"/>
      <c r="O601" s="92"/>
      <c r="R601" s="92" t="s">
        <v>302</v>
      </c>
      <c r="S601" s="92" t="s">
        <v>302</v>
      </c>
      <c r="T601" s="12"/>
      <c r="V601" s="12"/>
      <c r="W601" s="92" t="str">
        <f t="shared" si="143"/>
        <v>2.2\0.5:23</v>
      </c>
      <c r="X601" s="92"/>
      <c r="Y601" s="94"/>
      <c r="Z601" s="93"/>
      <c r="AA601" s="9"/>
      <c r="AH601" s="94" t="s">
        <v>301</v>
      </c>
      <c r="AI601" s="168">
        <v>47</v>
      </c>
      <c r="AJ601" s="168">
        <v>48</v>
      </c>
    </row>
    <row r="602" spans="1:36" x14ac:dyDescent="0.3">
      <c r="A602" s="102" t="str">
        <f t="shared" si="146"/>
        <v>BSR130</v>
      </c>
      <c r="B602" s="93" t="str">
        <f t="shared" si="149"/>
        <v>DX02</v>
      </c>
      <c r="C602" s="93" t="str">
        <f t="shared" si="145"/>
        <v>DIO1</v>
      </c>
      <c r="D602" s="94">
        <f t="shared" si="141"/>
        <v>130</v>
      </c>
      <c r="E602" s="94">
        <v>2</v>
      </c>
      <c r="F602" s="94">
        <f t="shared" si="142"/>
        <v>2</v>
      </c>
      <c r="G602" s="94">
        <v>0</v>
      </c>
      <c r="H602" s="171">
        <f t="shared" si="148"/>
        <v>5</v>
      </c>
      <c r="I602" s="163">
        <f t="shared" si="147"/>
        <v>24</v>
      </c>
      <c r="J602" s="172"/>
      <c r="K602" s="124"/>
      <c r="L602" s="92" t="s">
        <v>21</v>
      </c>
      <c r="M602" s="92"/>
      <c r="N602" s="92"/>
      <c r="O602" s="92"/>
      <c r="R602" s="92" t="s">
        <v>302</v>
      </c>
      <c r="S602" s="92" t="s">
        <v>302</v>
      </c>
      <c r="T602" s="13"/>
      <c r="V602" s="12"/>
      <c r="W602" s="92" t="str">
        <f t="shared" si="143"/>
        <v>2.2\0.5:24</v>
      </c>
      <c r="X602" s="92"/>
      <c r="Y602" s="94"/>
      <c r="Z602" s="93"/>
      <c r="AA602" s="9"/>
      <c r="AH602" s="94" t="s">
        <v>301</v>
      </c>
      <c r="AI602" s="168">
        <v>49</v>
      </c>
      <c r="AJ602" s="168">
        <v>50</v>
      </c>
    </row>
    <row r="603" spans="1:36" x14ac:dyDescent="0.3">
      <c r="A603" s="102" t="str">
        <f t="shared" si="146"/>
        <v>BSR130</v>
      </c>
      <c r="B603" s="93" t="str">
        <f t="shared" si="149"/>
        <v>DX02</v>
      </c>
      <c r="C603" s="93" t="str">
        <f t="shared" si="145"/>
        <v>DIO1</v>
      </c>
      <c r="D603" s="94">
        <f t="shared" si="141"/>
        <v>130</v>
      </c>
      <c r="E603" s="94">
        <v>2</v>
      </c>
      <c r="F603" s="94">
        <f t="shared" si="142"/>
        <v>2</v>
      </c>
      <c r="G603" s="94">
        <v>0</v>
      </c>
      <c r="H603" s="171">
        <f t="shared" si="148"/>
        <v>5</v>
      </c>
      <c r="I603" s="163">
        <f t="shared" si="147"/>
        <v>25</v>
      </c>
      <c r="J603" s="172"/>
      <c r="K603" s="124"/>
      <c r="L603" s="92" t="s">
        <v>21</v>
      </c>
      <c r="M603" s="92"/>
      <c r="N603" s="92"/>
      <c r="O603" s="92"/>
      <c r="R603" s="92" t="s">
        <v>302</v>
      </c>
      <c r="S603" s="92" t="s">
        <v>302</v>
      </c>
      <c r="T603" s="12"/>
      <c r="V603" s="37"/>
      <c r="W603" s="92" t="str">
        <f t="shared" si="143"/>
        <v>2.2\0.5:25</v>
      </c>
      <c r="X603" s="92"/>
      <c r="Y603" s="94"/>
      <c r="Z603" s="93"/>
      <c r="AA603" s="9"/>
      <c r="AH603" s="94" t="s">
        <v>301</v>
      </c>
      <c r="AI603" s="168">
        <v>51</v>
      </c>
      <c r="AJ603" s="168">
        <v>52</v>
      </c>
    </row>
    <row r="604" spans="1:36" x14ac:dyDescent="0.3">
      <c r="A604" s="102" t="str">
        <f t="shared" si="146"/>
        <v>BSR130</v>
      </c>
      <c r="B604" s="93" t="str">
        <f t="shared" si="149"/>
        <v>DX02</v>
      </c>
      <c r="C604" s="93" t="str">
        <f t="shared" si="145"/>
        <v>DIO1</v>
      </c>
      <c r="D604" s="94">
        <f t="shared" si="141"/>
        <v>130</v>
      </c>
      <c r="E604" s="94">
        <v>2</v>
      </c>
      <c r="F604" s="94">
        <f t="shared" si="142"/>
        <v>2</v>
      </c>
      <c r="G604" s="94">
        <v>0</v>
      </c>
      <c r="H604" s="171">
        <f t="shared" si="148"/>
        <v>5</v>
      </c>
      <c r="I604" s="163">
        <f t="shared" si="147"/>
        <v>26</v>
      </c>
      <c r="J604" s="172"/>
      <c r="K604" s="124"/>
      <c r="L604" s="92" t="s">
        <v>21</v>
      </c>
      <c r="M604" s="92"/>
      <c r="N604" s="92"/>
      <c r="O604" s="92"/>
      <c r="R604" s="92" t="s">
        <v>302</v>
      </c>
      <c r="S604" s="92" t="s">
        <v>302</v>
      </c>
      <c r="T604" s="12"/>
      <c r="W604" s="92" t="str">
        <f t="shared" si="143"/>
        <v>2.2\0.5:26</v>
      </c>
      <c r="X604" s="92"/>
      <c r="Y604" s="94"/>
      <c r="Z604" s="93"/>
      <c r="AA604" s="9"/>
      <c r="AH604" s="94" t="s">
        <v>301</v>
      </c>
      <c r="AI604" s="168">
        <v>53</v>
      </c>
      <c r="AJ604" s="168">
        <v>54</v>
      </c>
    </row>
    <row r="605" spans="1:36" x14ac:dyDescent="0.3">
      <c r="A605" s="102" t="str">
        <f t="shared" si="146"/>
        <v>BSR130</v>
      </c>
      <c r="B605" s="93" t="str">
        <f t="shared" si="149"/>
        <v>DX02</v>
      </c>
      <c r="C605" s="93" t="str">
        <f t="shared" si="145"/>
        <v>DIO1</v>
      </c>
      <c r="D605" s="94">
        <f t="shared" si="141"/>
        <v>130</v>
      </c>
      <c r="E605" s="94">
        <v>2</v>
      </c>
      <c r="F605" s="94">
        <f t="shared" si="142"/>
        <v>2</v>
      </c>
      <c r="G605" s="94">
        <v>0</v>
      </c>
      <c r="H605" s="171">
        <f t="shared" si="148"/>
        <v>5</v>
      </c>
      <c r="I605" s="163">
        <f t="shared" si="147"/>
        <v>27</v>
      </c>
      <c r="J605" s="172"/>
      <c r="K605" s="124"/>
      <c r="L605" s="92" t="s">
        <v>21</v>
      </c>
      <c r="M605" s="92"/>
      <c r="N605" s="92"/>
      <c r="O605" s="92"/>
      <c r="R605" s="92" t="s">
        <v>302</v>
      </c>
      <c r="S605" s="92" t="s">
        <v>302</v>
      </c>
      <c r="T605" s="13"/>
      <c r="W605" s="92" t="str">
        <f t="shared" si="143"/>
        <v>2.2\0.5:27</v>
      </c>
      <c r="X605" s="92"/>
      <c r="Y605" s="94"/>
      <c r="Z605" s="93"/>
      <c r="AA605" s="9"/>
      <c r="AH605" s="94" t="s">
        <v>301</v>
      </c>
      <c r="AI605" s="168">
        <v>55</v>
      </c>
      <c r="AJ605" s="168">
        <v>56</v>
      </c>
    </row>
    <row r="606" spans="1:36" x14ac:dyDescent="0.3">
      <c r="A606" s="102" t="str">
        <f t="shared" si="146"/>
        <v>BSR130</v>
      </c>
      <c r="B606" s="93" t="str">
        <f t="shared" si="149"/>
        <v>DX02</v>
      </c>
      <c r="C606" s="93" t="str">
        <f t="shared" si="145"/>
        <v>DIO1</v>
      </c>
      <c r="D606" s="94">
        <f t="shared" si="141"/>
        <v>130</v>
      </c>
      <c r="E606" s="94">
        <v>2</v>
      </c>
      <c r="F606" s="94">
        <f t="shared" si="142"/>
        <v>2</v>
      </c>
      <c r="G606" s="94">
        <v>0</v>
      </c>
      <c r="H606" s="171">
        <f t="shared" si="148"/>
        <v>5</v>
      </c>
      <c r="I606" s="163">
        <f t="shared" si="147"/>
        <v>28</v>
      </c>
      <c r="J606" s="172"/>
      <c r="K606" s="124"/>
      <c r="L606" s="92" t="s">
        <v>21</v>
      </c>
      <c r="M606" s="92"/>
      <c r="N606" s="92"/>
      <c r="O606" s="92"/>
      <c r="R606" s="92" t="s">
        <v>302</v>
      </c>
      <c r="S606" s="92" t="s">
        <v>302</v>
      </c>
      <c r="T606" s="12"/>
      <c r="W606" s="92" t="str">
        <f t="shared" si="143"/>
        <v>2.2\0.5:28</v>
      </c>
      <c r="X606" s="92"/>
      <c r="Y606" s="94"/>
      <c r="Z606" s="93"/>
      <c r="AA606" s="9"/>
      <c r="AH606" s="94" t="s">
        <v>301</v>
      </c>
      <c r="AI606" s="168">
        <v>57</v>
      </c>
      <c r="AJ606" s="168">
        <v>58</v>
      </c>
    </row>
    <row r="607" spans="1:36" x14ac:dyDescent="0.3">
      <c r="A607" s="102" t="str">
        <f t="shared" si="146"/>
        <v>BSR130</v>
      </c>
      <c r="B607" s="93" t="str">
        <f t="shared" si="149"/>
        <v>DX02</v>
      </c>
      <c r="C607" s="93" t="str">
        <f t="shared" si="145"/>
        <v>DIO1</v>
      </c>
      <c r="D607" s="94">
        <f t="shared" ref="D607:D633" si="150">$D$5</f>
        <v>130</v>
      </c>
      <c r="E607" s="94">
        <v>2</v>
      </c>
      <c r="F607" s="94">
        <f t="shared" si="142"/>
        <v>2</v>
      </c>
      <c r="G607" s="94">
        <v>0</v>
      </c>
      <c r="H607" s="171">
        <f t="shared" si="148"/>
        <v>5</v>
      </c>
      <c r="I607" s="163">
        <f t="shared" si="147"/>
        <v>29</v>
      </c>
      <c r="J607" s="172"/>
      <c r="K607" s="124"/>
      <c r="L607" s="92" t="s">
        <v>21</v>
      </c>
      <c r="M607" s="92"/>
      <c r="N607" s="92"/>
      <c r="O607" s="92"/>
      <c r="R607" s="92" t="s">
        <v>302</v>
      </c>
      <c r="S607" s="92" t="s">
        <v>302</v>
      </c>
      <c r="T607" s="12"/>
      <c r="V607" s="93"/>
      <c r="W607" s="92" t="str">
        <f t="shared" si="143"/>
        <v>2.2\0.5:29</v>
      </c>
      <c r="X607" s="92"/>
      <c r="Y607" s="94"/>
      <c r="Z607" s="93"/>
      <c r="AA607" s="9"/>
      <c r="AH607" s="94" t="s">
        <v>301</v>
      </c>
      <c r="AI607" s="168">
        <v>59</v>
      </c>
      <c r="AJ607" s="168">
        <v>60</v>
      </c>
    </row>
    <row r="608" spans="1:36" x14ac:dyDescent="0.3">
      <c r="A608" s="102" t="str">
        <f t="shared" si="146"/>
        <v>BSR130</v>
      </c>
      <c r="B608" s="93" t="str">
        <f t="shared" si="149"/>
        <v>DX02</v>
      </c>
      <c r="C608" s="93" t="str">
        <f t="shared" si="145"/>
        <v>DIO1</v>
      </c>
      <c r="D608" s="94">
        <f t="shared" si="150"/>
        <v>130</v>
      </c>
      <c r="E608" s="94">
        <v>2</v>
      </c>
      <c r="F608" s="94">
        <f t="shared" ref="F608:F633" si="151">+F607</f>
        <v>2</v>
      </c>
      <c r="G608" s="94">
        <v>0</v>
      </c>
      <c r="H608" s="171">
        <f t="shared" si="148"/>
        <v>5</v>
      </c>
      <c r="I608" s="163">
        <f t="shared" si="147"/>
        <v>30</v>
      </c>
      <c r="J608" s="172"/>
      <c r="K608" s="124"/>
      <c r="L608" s="92" t="s">
        <v>21</v>
      </c>
      <c r="M608" s="92"/>
      <c r="N608" s="92"/>
      <c r="O608" s="92"/>
      <c r="R608" s="92" t="s">
        <v>302</v>
      </c>
      <c r="S608" s="92" t="s">
        <v>302</v>
      </c>
      <c r="V608" s="93"/>
      <c r="W608" s="92" t="str">
        <f t="shared" si="143"/>
        <v>2.2\0.5:30</v>
      </c>
      <c r="X608" s="92"/>
      <c r="Y608" s="94"/>
      <c r="Z608" s="93"/>
      <c r="AA608" s="9"/>
      <c r="AH608" s="94" t="s">
        <v>301</v>
      </c>
      <c r="AI608" s="168">
        <v>61</v>
      </c>
      <c r="AJ608" s="168">
        <v>62</v>
      </c>
    </row>
    <row r="609" spans="1:36" ht="13.5" thickBot="1" x14ac:dyDescent="0.35">
      <c r="A609" s="102" t="str">
        <f t="shared" si="146"/>
        <v>BSR130</v>
      </c>
      <c r="B609" s="93" t="str">
        <f t="shared" si="149"/>
        <v>DX02</v>
      </c>
      <c r="C609" s="93" t="str">
        <f t="shared" si="145"/>
        <v>DIO1</v>
      </c>
      <c r="D609" s="94">
        <f t="shared" si="150"/>
        <v>130</v>
      </c>
      <c r="E609" s="94">
        <v>2</v>
      </c>
      <c r="F609" s="94">
        <f t="shared" si="151"/>
        <v>2</v>
      </c>
      <c r="G609" s="94">
        <v>0</v>
      </c>
      <c r="H609" s="171">
        <f t="shared" si="148"/>
        <v>5</v>
      </c>
      <c r="I609" s="170">
        <f t="shared" si="147"/>
        <v>31</v>
      </c>
      <c r="J609" s="169"/>
      <c r="K609" s="124"/>
      <c r="L609" s="92" t="s">
        <v>21</v>
      </c>
      <c r="M609" s="92"/>
      <c r="N609" s="92"/>
      <c r="O609" s="92"/>
      <c r="R609" s="92" t="s">
        <v>302</v>
      </c>
      <c r="S609" s="92" t="s">
        <v>302</v>
      </c>
      <c r="V609" s="93"/>
      <c r="W609" s="92" t="str">
        <f t="shared" ref="W609:W633" si="152">+CONCATENATE(E609,".",F609,"\",G609,".",H609,":",I609)</f>
        <v>2.2\0.5:31</v>
      </c>
      <c r="X609" s="92"/>
      <c r="Y609" s="94"/>
      <c r="Z609" s="93"/>
      <c r="AA609" s="9"/>
      <c r="AH609" s="94" t="s">
        <v>301</v>
      </c>
      <c r="AI609" s="168">
        <v>63</v>
      </c>
      <c r="AJ609" s="168">
        <v>64</v>
      </c>
    </row>
    <row r="610" spans="1:36" x14ac:dyDescent="0.3">
      <c r="A610" s="158" t="s">
        <v>291</v>
      </c>
      <c r="B610" s="93" t="str">
        <f t="shared" si="149"/>
        <v>DX02</v>
      </c>
      <c r="C610" s="93" t="str">
        <f t="shared" ref="C610:C633" si="153">+C609</f>
        <v>DIO1</v>
      </c>
      <c r="D610" s="94">
        <f t="shared" si="150"/>
        <v>130</v>
      </c>
      <c r="E610" s="94">
        <v>2</v>
      </c>
      <c r="F610" s="94">
        <f t="shared" si="151"/>
        <v>2</v>
      </c>
      <c r="G610" s="94">
        <v>0</v>
      </c>
      <c r="H610" s="167">
        <f>H594+1</f>
        <v>6</v>
      </c>
      <c r="I610" s="165">
        <v>0</v>
      </c>
      <c r="J610" s="92"/>
      <c r="K610" s="41" t="s">
        <v>300</v>
      </c>
      <c r="L610" s="105"/>
      <c r="M610" s="105"/>
      <c r="N610" s="92"/>
      <c r="O610" s="92"/>
      <c r="P610" s="103"/>
      <c r="Q610" s="103"/>
      <c r="R610" s="103"/>
      <c r="S610" s="103"/>
      <c r="U610" s="103"/>
      <c r="W610" s="92" t="str">
        <f t="shared" si="152"/>
        <v>2.2\0.6:0</v>
      </c>
      <c r="Z610" s="93"/>
      <c r="AA610" s="104"/>
      <c r="AB610" s="104"/>
    </row>
    <row r="611" spans="1:36" x14ac:dyDescent="0.3">
      <c r="A611" s="102" t="str">
        <f>A610</f>
        <v>BSR130</v>
      </c>
      <c r="B611" s="93" t="str">
        <f t="shared" si="149"/>
        <v>DX02</v>
      </c>
      <c r="C611" s="93" t="str">
        <f t="shared" si="153"/>
        <v>DIO1</v>
      </c>
      <c r="D611" s="94">
        <f t="shared" si="150"/>
        <v>130</v>
      </c>
      <c r="E611" s="94">
        <v>2</v>
      </c>
      <c r="F611" s="94">
        <f t="shared" si="151"/>
        <v>2</v>
      </c>
      <c r="G611" s="94">
        <v>0</v>
      </c>
      <c r="H611" s="164">
        <f>+H610</f>
        <v>6</v>
      </c>
      <c r="I611" s="163">
        <f>+I610+1</f>
        <v>1</v>
      </c>
      <c r="J611" s="92"/>
      <c r="K611" s="94"/>
      <c r="L611" s="105"/>
      <c r="M611" s="105"/>
      <c r="N611" s="92"/>
      <c r="O611" s="92"/>
      <c r="P611" s="103"/>
      <c r="Q611" s="103"/>
      <c r="R611" s="103"/>
      <c r="S611" s="103"/>
      <c r="U611" s="103"/>
      <c r="W611" s="92" t="str">
        <f t="shared" si="152"/>
        <v>2.2\0.6:1</v>
      </c>
      <c r="Z611" s="93"/>
      <c r="AA611" s="104"/>
      <c r="AB611" s="104"/>
    </row>
    <row r="612" spans="1:36" x14ac:dyDescent="0.3">
      <c r="A612" s="102" t="str">
        <f>A611</f>
        <v>BSR130</v>
      </c>
      <c r="B612" s="93" t="str">
        <f t="shared" si="149"/>
        <v>DX02</v>
      </c>
      <c r="C612" s="93" t="str">
        <f t="shared" si="153"/>
        <v>DIO1</v>
      </c>
      <c r="D612" s="94">
        <f t="shared" si="150"/>
        <v>130</v>
      </c>
      <c r="E612" s="94">
        <v>2</v>
      </c>
      <c r="F612" s="94">
        <f t="shared" si="151"/>
        <v>2</v>
      </c>
      <c r="G612" s="94">
        <v>0</v>
      </c>
      <c r="H612" s="164">
        <f>+H611</f>
        <v>6</v>
      </c>
      <c r="I612" s="163">
        <f>+I611+1</f>
        <v>2</v>
      </c>
      <c r="J612" s="92"/>
      <c r="K612" s="94"/>
      <c r="L612" s="105"/>
      <c r="M612" s="105"/>
      <c r="N612" s="92"/>
      <c r="O612" s="92"/>
      <c r="P612" s="103"/>
      <c r="Q612" s="103"/>
      <c r="R612" s="103"/>
      <c r="S612" s="103"/>
      <c r="U612" s="103"/>
      <c r="W612" s="92" t="str">
        <f t="shared" si="152"/>
        <v>2.2\0.6:2</v>
      </c>
      <c r="Z612" s="93"/>
      <c r="AA612" s="104"/>
      <c r="AB612" s="104"/>
    </row>
    <row r="613" spans="1:36" ht="13.5" thickBot="1" x14ac:dyDescent="0.35">
      <c r="A613" s="102" t="str">
        <f>A612</f>
        <v>BSR130</v>
      </c>
      <c r="B613" s="93" t="str">
        <f t="shared" si="149"/>
        <v>DX02</v>
      </c>
      <c r="C613" s="93" t="str">
        <f t="shared" si="153"/>
        <v>DIO1</v>
      </c>
      <c r="D613" s="94">
        <f t="shared" si="150"/>
        <v>130</v>
      </c>
      <c r="E613" s="94">
        <v>2</v>
      </c>
      <c r="F613" s="94">
        <f t="shared" si="151"/>
        <v>2</v>
      </c>
      <c r="G613" s="94">
        <v>0</v>
      </c>
      <c r="H613" s="164">
        <f>+H612</f>
        <v>6</v>
      </c>
      <c r="I613" s="163">
        <f>+I612+1</f>
        <v>3</v>
      </c>
      <c r="J613" s="92"/>
      <c r="K613" s="94"/>
      <c r="L613" s="105"/>
      <c r="M613" s="105"/>
      <c r="N613" s="92"/>
      <c r="O613" s="92"/>
      <c r="P613" s="103"/>
      <c r="Q613" s="103"/>
      <c r="R613" s="103"/>
      <c r="S613" s="103"/>
      <c r="U613" s="103"/>
      <c r="W613" s="92" t="str">
        <f t="shared" si="152"/>
        <v>2.2\0.6:3</v>
      </c>
      <c r="Z613" s="93"/>
      <c r="AA613" s="104"/>
      <c r="AB613" s="104"/>
    </row>
    <row r="614" spans="1:36" x14ac:dyDescent="0.3">
      <c r="A614" s="158" t="s">
        <v>291</v>
      </c>
      <c r="B614" s="93" t="str">
        <f t="shared" si="149"/>
        <v>DX02</v>
      </c>
      <c r="C614" s="93" t="str">
        <f t="shared" si="153"/>
        <v>DIO1</v>
      </c>
      <c r="D614" s="94">
        <f t="shared" si="150"/>
        <v>130</v>
      </c>
      <c r="E614" s="94">
        <v>2</v>
      </c>
      <c r="F614" s="94">
        <f t="shared" si="151"/>
        <v>2</v>
      </c>
      <c r="G614" s="94">
        <v>0</v>
      </c>
      <c r="H614" s="167">
        <v>7</v>
      </c>
      <c r="I614" s="165">
        <v>0</v>
      </c>
      <c r="J614" s="92"/>
      <c r="K614" s="41" t="s">
        <v>300</v>
      </c>
      <c r="L614" s="105"/>
      <c r="M614" s="105"/>
      <c r="N614" s="92"/>
      <c r="O614" s="92"/>
      <c r="P614" s="103"/>
      <c r="Q614" s="103"/>
      <c r="R614" s="103"/>
      <c r="S614" s="103"/>
      <c r="U614" s="103"/>
      <c r="W614" s="92" t="str">
        <f t="shared" si="152"/>
        <v>2.2\0.7:0</v>
      </c>
      <c r="Z614" s="93"/>
      <c r="AA614" s="104"/>
      <c r="AB614" s="104"/>
    </row>
    <row r="615" spans="1:36" x14ac:dyDescent="0.3">
      <c r="A615" s="102" t="str">
        <f>A614</f>
        <v>BSR130</v>
      </c>
      <c r="B615" s="93" t="str">
        <f t="shared" si="149"/>
        <v>DX02</v>
      </c>
      <c r="C615" s="93" t="str">
        <f t="shared" si="153"/>
        <v>DIO1</v>
      </c>
      <c r="D615" s="94">
        <f t="shared" si="150"/>
        <v>130</v>
      </c>
      <c r="E615" s="94">
        <v>2</v>
      </c>
      <c r="F615" s="94">
        <f t="shared" si="151"/>
        <v>2</v>
      </c>
      <c r="G615" s="94">
        <v>0</v>
      </c>
      <c r="H615" s="164">
        <f>+H614</f>
        <v>7</v>
      </c>
      <c r="I615" s="163">
        <f>+I614+1</f>
        <v>1</v>
      </c>
      <c r="J615" s="92"/>
      <c r="K615" s="94"/>
      <c r="L615" s="105"/>
      <c r="M615" s="105"/>
      <c r="N615" s="92"/>
      <c r="O615" s="92"/>
      <c r="P615" s="103"/>
      <c r="Q615" s="103"/>
      <c r="R615" s="103"/>
      <c r="S615" s="103"/>
      <c r="U615" s="103"/>
      <c r="W615" s="92" t="str">
        <f t="shared" si="152"/>
        <v>2.2\0.7:1</v>
      </c>
      <c r="Z615" s="93"/>
      <c r="AA615" s="104"/>
      <c r="AB615" s="104"/>
    </row>
    <row r="616" spans="1:36" x14ac:dyDescent="0.3">
      <c r="A616" s="102" t="str">
        <f>A615</f>
        <v>BSR130</v>
      </c>
      <c r="B616" s="93" t="str">
        <f t="shared" ref="B616:B633" si="154">+B615</f>
        <v>DX02</v>
      </c>
      <c r="C616" s="93" t="str">
        <f t="shared" si="153"/>
        <v>DIO1</v>
      </c>
      <c r="D616" s="94">
        <f t="shared" si="150"/>
        <v>130</v>
      </c>
      <c r="E616" s="94">
        <v>2</v>
      </c>
      <c r="F616" s="94">
        <f t="shared" si="151"/>
        <v>2</v>
      </c>
      <c r="G616" s="94">
        <v>0</v>
      </c>
      <c r="H616" s="164">
        <f>+H615</f>
        <v>7</v>
      </c>
      <c r="I616" s="163">
        <f>+I615+1</f>
        <v>2</v>
      </c>
      <c r="J616" s="92"/>
      <c r="K616" s="94"/>
      <c r="L616" s="105"/>
      <c r="M616" s="105"/>
      <c r="N616" s="92"/>
      <c r="O616" s="92"/>
      <c r="P616" s="103"/>
      <c r="Q616" s="103"/>
      <c r="R616" s="103"/>
      <c r="S616" s="103"/>
      <c r="U616" s="103"/>
      <c r="W616" s="92" t="str">
        <f t="shared" si="152"/>
        <v>2.2\0.7:2</v>
      </c>
      <c r="Z616" s="93"/>
      <c r="AA616" s="104"/>
      <c r="AB616" s="104"/>
    </row>
    <row r="617" spans="1:36" ht="13.5" thickBot="1" x14ac:dyDescent="0.35">
      <c r="A617" s="102" t="str">
        <f>A616</f>
        <v>BSR130</v>
      </c>
      <c r="B617" s="93" t="str">
        <f t="shared" si="154"/>
        <v>DX02</v>
      </c>
      <c r="C617" s="93" t="str">
        <f t="shared" si="153"/>
        <v>DIO1</v>
      </c>
      <c r="D617" s="94">
        <f t="shared" si="150"/>
        <v>130</v>
      </c>
      <c r="E617" s="94">
        <v>2</v>
      </c>
      <c r="F617" s="94">
        <f t="shared" si="151"/>
        <v>2</v>
      </c>
      <c r="G617" s="94">
        <v>0</v>
      </c>
      <c r="H617" s="164">
        <f>+H616</f>
        <v>7</v>
      </c>
      <c r="I617" s="163">
        <f>+I616+1</f>
        <v>3</v>
      </c>
      <c r="J617" s="92"/>
      <c r="K617" s="94"/>
      <c r="L617" s="105"/>
      <c r="M617" s="105"/>
      <c r="N617" s="92"/>
      <c r="O617" s="92"/>
      <c r="P617" s="103"/>
      <c r="Q617" s="103"/>
      <c r="R617" s="103"/>
      <c r="S617" s="103"/>
      <c r="U617" s="103"/>
      <c r="W617" s="92" t="str">
        <f t="shared" si="152"/>
        <v>2.2\0.7:3</v>
      </c>
      <c r="Z617" s="93"/>
      <c r="AA617" s="104"/>
      <c r="AB617" s="104"/>
    </row>
    <row r="618" spans="1:36" x14ac:dyDescent="0.3">
      <c r="A618" s="158" t="s">
        <v>291</v>
      </c>
      <c r="B618" s="93" t="str">
        <f t="shared" si="154"/>
        <v>DX02</v>
      </c>
      <c r="C618" s="93" t="str">
        <f t="shared" si="153"/>
        <v>DIO1</v>
      </c>
      <c r="D618" s="94">
        <f t="shared" si="150"/>
        <v>130</v>
      </c>
      <c r="E618" s="94">
        <v>2</v>
      </c>
      <c r="F618" s="94">
        <f t="shared" si="151"/>
        <v>2</v>
      </c>
      <c r="G618" s="94">
        <v>0</v>
      </c>
      <c r="H618" s="166">
        <v>8</v>
      </c>
      <c r="I618" s="165">
        <v>0</v>
      </c>
      <c r="J618" s="92"/>
      <c r="K618" s="41" t="s">
        <v>300</v>
      </c>
      <c r="L618" s="105"/>
      <c r="M618" s="105"/>
      <c r="N618" s="92"/>
      <c r="O618" s="92"/>
      <c r="P618" s="103"/>
      <c r="Q618" s="103"/>
      <c r="R618" s="103"/>
      <c r="S618" s="103"/>
      <c r="U618" s="103"/>
      <c r="W618" s="92" t="str">
        <f t="shared" si="152"/>
        <v>2.2\0.8:0</v>
      </c>
      <c r="Z618" s="93"/>
      <c r="AA618" s="104"/>
      <c r="AB618" s="104"/>
    </row>
    <row r="619" spans="1:36" x14ac:dyDescent="0.3">
      <c r="A619" s="102" t="str">
        <f>A618</f>
        <v>BSR130</v>
      </c>
      <c r="B619" s="93" t="str">
        <f t="shared" si="154"/>
        <v>DX02</v>
      </c>
      <c r="C619" s="93" t="str">
        <f t="shared" si="153"/>
        <v>DIO1</v>
      </c>
      <c r="D619" s="94">
        <f t="shared" si="150"/>
        <v>130</v>
      </c>
      <c r="E619" s="94">
        <v>2</v>
      </c>
      <c r="F619" s="94">
        <f t="shared" si="151"/>
        <v>2</v>
      </c>
      <c r="G619" s="94">
        <v>0</v>
      </c>
      <c r="H619" s="164">
        <f>+H618</f>
        <v>8</v>
      </c>
      <c r="I619" s="163">
        <f>+I618+1</f>
        <v>1</v>
      </c>
      <c r="J619" s="92"/>
      <c r="K619" s="94"/>
      <c r="L619" s="105"/>
      <c r="M619" s="105"/>
      <c r="N619" s="92"/>
      <c r="O619" s="92"/>
      <c r="P619" s="103"/>
      <c r="Q619" s="103"/>
      <c r="R619" s="103"/>
      <c r="S619" s="103"/>
      <c r="U619" s="103"/>
      <c r="W619" s="92" t="str">
        <f t="shared" si="152"/>
        <v>2.2\0.8:1</v>
      </c>
      <c r="Z619" s="93"/>
      <c r="AA619" s="104"/>
      <c r="AB619" s="104"/>
    </row>
    <row r="620" spans="1:36" x14ac:dyDescent="0.3">
      <c r="A620" s="102" t="str">
        <f>A619</f>
        <v>BSR130</v>
      </c>
      <c r="B620" s="93" t="str">
        <f t="shared" si="154"/>
        <v>DX02</v>
      </c>
      <c r="C620" s="93" t="str">
        <f t="shared" si="153"/>
        <v>DIO1</v>
      </c>
      <c r="D620" s="94">
        <f t="shared" si="150"/>
        <v>130</v>
      </c>
      <c r="E620" s="94">
        <v>2</v>
      </c>
      <c r="F620" s="94">
        <f t="shared" si="151"/>
        <v>2</v>
      </c>
      <c r="G620" s="94">
        <v>0</v>
      </c>
      <c r="H620" s="164">
        <f>+H619</f>
        <v>8</v>
      </c>
      <c r="I620" s="163">
        <f>+I619+1</f>
        <v>2</v>
      </c>
      <c r="J620" s="92"/>
      <c r="K620" s="94"/>
      <c r="L620" s="105"/>
      <c r="M620" s="105"/>
      <c r="N620" s="92"/>
      <c r="O620" s="92"/>
      <c r="P620" s="103"/>
      <c r="Q620" s="103"/>
      <c r="R620" s="103"/>
      <c r="S620" s="103"/>
      <c r="U620" s="103"/>
      <c r="W620" s="92" t="str">
        <f t="shared" si="152"/>
        <v>2.2\0.8:2</v>
      </c>
      <c r="Z620" s="93"/>
      <c r="AA620" s="104"/>
      <c r="AB620" s="104"/>
    </row>
    <row r="621" spans="1:36" ht="13.5" thickBot="1" x14ac:dyDescent="0.35">
      <c r="A621" s="102" t="str">
        <f>A620</f>
        <v>BSR130</v>
      </c>
      <c r="B621" s="93" t="str">
        <f t="shared" si="154"/>
        <v>DX02</v>
      </c>
      <c r="C621" s="93" t="str">
        <f t="shared" si="153"/>
        <v>DIO1</v>
      </c>
      <c r="D621" s="94">
        <f t="shared" si="150"/>
        <v>130</v>
      </c>
      <c r="E621" s="94">
        <v>2</v>
      </c>
      <c r="F621" s="94">
        <f t="shared" si="151"/>
        <v>2</v>
      </c>
      <c r="G621" s="94">
        <v>0</v>
      </c>
      <c r="H621" s="164">
        <f>+H620</f>
        <v>8</v>
      </c>
      <c r="I621" s="163">
        <f>+I620+1</f>
        <v>3</v>
      </c>
      <c r="J621" s="92"/>
      <c r="K621" s="94"/>
      <c r="L621" s="105"/>
      <c r="M621" s="105"/>
      <c r="N621" s="92"/>
      <c r="O621" s="92"/>
      <c r="P621" s="103"/>
      <c r="Q621" s="103"/>
      <c r="R621" s="103"/>
      <c r="S621" s="103"/>
      <c r="U621" s="103"/>
      <c r="W621" s="92" t="str">
        <f t="shared" si="152"/>
        <v>2.2\0.8:3</v>
      </c>
      <c r="Z621" s="93"/>
      <c r="AA621" s="104"/>
      <c r="AB621" s="104"/>
    </row>
    <row r="622" spans="1:36" x14ac:dyDescent="0.3">
      <c r="A622" s="158" t="s">
        <v>291</v>
      </c>
      <c r="B622" s="93" t="str">
        <f t="shared" si="154"/>
        <v>DX02</v>
      </c>
      <c r="C622" s="93" t="str">
        <f t="shared" si="153"/>
        <v>DIO1</v>
      </c>
      <c r="D622" s="94">
        <f t="shared" si="150"/>
        <v>130</v>
      </c>
      <c r="E622" s="94">
        <v>2</v>
      </c>
      <c r="F622" s="94">
        <f t="shared" si="151"/>
        <v>2</v>
      </c>
      <c r="G622" s="94">
        <v>0</v>
      </c>
      <c r="H622" s="167">
        <v>9</v>
      </c>
      <c r="I622" s="165">
        <v>0</v>
      </c>
      <c r="J622" s="92"/>
      <c r="K622" s="41" t="s">
        <v>300</v>
      </c>
      <c r="L622" s="105"/>
      <c r="M622" s="105"/>
      <c r="N622" s="92"/>
      <c r="O622" s="92"/>
      <c r="P622" s="103"/>
      <c r="Q622" s="103"/>
      <c r="R622" s="103"/>
      <c r="S622" s="103"/>
      <c r="U622" s="103"/>
      <c r="W622" s="92" t="str">
        <f t="shared" si="152"/>
        <v>2.2\0.9:0</v>
      </c>
      <c r="Z622" s="93"/>
      <c r="AA622" s="104"/>
      <c r="AB622" s="104"/>
    </row>
    <row r="623" spans="1:36" x14ac:dyDescent="0.3">
      <c r="A623" s="102" t="str">
        <f>A622</f>
        <v>BSR130</v>
      </c>
      <c r="B623" s="93" t="str">
        <f t="shared" si="154"/>
        <v>DX02</v>
      </c>
      <c r="C623" s="93" t="str">
        <f t="shared" si="153"/>
        <v>DIO1</v>
      </c>
      <c r="D623" s="94">
        <f t="shared" si="150"/>
        <v>130</v>
      </c>
      <c r="E623" s="94">
        <v>2</v>
      </c>
      <c r="F623" s="94">
        <f t="shared" si="151"/>
        <v>2</v>
      </c>
      <c r="G623" s="94">
        <v>0</v>
      </c>
      <c r="H623" s="164">
        <f>+H622</f>
        <v>9</v>
      </c>
      <c r="I623" s="163">
        <f>+I622+1</f>
        <v>1</v>
      </c>
      <c r="J623" s="92"/>
      <c r="K623" s="94"/>
      <c r="L623" s="105"/>
      <c r="M623" s="105"/>
      <c r="N623" s="92"/>
      <c r="O623" s="92"/>
      <c r="P623" s="103"/>
      <c r="Q623" s="103"/>
      <c r="R623" s="103"/>
      <c r="S623" s="103"/>
      <c r="U623" s="103"/>
      <c r="W623" s="92" t="str">
        <f t="shared" si="152"/>
        <v>2.2\0.9:1</v>
      </c>
      <c r="Z623" s="93"/>
      <c r="AA623" s="104"/>
      <c r="AB623" s="104"/>
    </row>
    <row r="624" spans="1:36" x14ac:dyDescent="0.3">
      <c r="A624" s="102" t="str">
        <f>A623</f>
        <v>BSR130</v>
      </c>
      <c r="B624" s="93" t="str">
        <f t="shared" si="154"/>
        <v>DX02</v>
      </c>
      <c r="C624" s="93" t="str">
        <f t="shared" si="153"/>
        <v>DIO1</v>
      </c>
      <c r="D624" s="94">
        <f t="shared" si="150"/>
        <v>130</v>
      </c>
      <c r="E624" s="94">
        <v>2</v>
      </c>
      <c r="F624" s="94">
        <f t="shared" si="151"/>
        <v>2</v>
      </c>
      <c r="G624" s="94">
        <v>0</v>
      </c>
      <c r="H624" s="164">
        <f>+H623</f>
        <v>9</v>
      </c>
      <c r="I624" s="163">
        <f>+I623+1</f>
        <v>2</v>
      </c>
      <c r="J624" s="92"/>
      <c r="K624" s="94"/>
      <c r="L624" s="105"/>
      <c r="M624" s="105"/>
      <c r="N624" s="92"/>
      <c r="O624" s="92"/>
      <c r="P624" s="103"/>
      <c r="Q624" s="103"/>
      <c r="R624" s="103"/>
      <c r="S624" s="103"/>
      <c r="U624" s="103"/>
      <c r="W624" s="92" t="str">
        <f t="shared" si="152"/>
        <v>2.2\0.9:2</v>
      </c>
      <c r="Z624" s="93"/>
      <c r="AA624" s="104"/>
      <c r="AB624" s="104"/>
    </row>
    <row r="625" spans="1:35" ht="13.5" thickBot="1" x14ac:dyDescent="0.35">
      <c r="A625" s="102" t="str">
        <f>A624</f>
        <v>BSR130</v>
      </c>
      <c r="B625" s="93" t="str">
        <f t="shared" si="154"/>
        <v>DX02</v>
      </c>
      <c r="C625" s="93" t="str">
        <f t="shared" si="153"/>
        <v>DIO1</v>
      </c>
      <c r="D625" s="94">
        <f t="shared" si="150"/>
        <v>130</v>
      </c>
      <c r="E625" s="94">
        <v>2</v>
      </c>
      <c r="F625" s="94">
        <f t="shared" si="151"/>
        <v>2</v>
      </c>
      <c r="G625" s="94">
        <v>0</v>
      </c>
      <c r="H625" s="164">
        <f>+H624</f>
        <v>9</v>
      </c>
      <c r="I625" s="163">
        <f>+I624+1</f>
        <v>3</v>
      </c>
      <c r="J625" s="92"/>
      <c r="K625" s="94"/>
      <c r="L625" s="105"/>
      <c r="M625" s="105"/>
      <c r="N625" s="92"/>
      <c r="O625" s="92"/>
      <c r="P625" s="103"/>
      <c r="Q625" s="103"/>
      <c r="R625" s="103"/>
      <c r="S625" s="103"/>
      <c r="U625" s="103"/>
      <c r="W625" s="92" t="str">
        <f t="shared" si="152"/>
        <v>2.2\0.9:3</v>
      </c>
      <c r="Z625" s="93"/>
      <c r="AA625" s="104"/>
      <c r="AB625" s="104"/>
    </row>
    <row r="626" spans="1:35" x14ac:dyDescent="0.3">
      <c r="A626" s="158" t="s">
        <v>291</v>
      </c>
      <c r="B626" s="93" t="str">
        <f t="shared" si="154"/>
        <v>DX02</v>
      </c>
      <c r="C626" s="93" t="str">
        <f t="shared" si="153"/>
        <v>DIO1</v>
      </c>
      <c r="D626" s="94">
        <f t="shared" si="150"/>
        <v>130</v>
      </c>
      <c r="E626" s="94">
        <v>2</v>
      </c>
      <c r="F626" s="94">
        <f t="shared" si="151"/>
        <v>2</v>
      </c>
      <c r="G626" s="94">
        <v>0</v>
      </c>
      <c r="H626" s="166">
        <v>10</v>
      </c>
      <c r="I626" s="165">
        <v>0</v>
      </c>
      <c r="J626" s="92"/>
      <c r="K626" s="41" t="s">
        <v>300</v>
      </c>
      <c r="L626" s="105"/>
      <c r="M626" s="105"/>
      <c r="N626" s="92"/>
      <c r="O626" s="92"/>
      <c r="P626" s="103"/>
      <c r="Q626" s="103"/>
      <c r="R626" s="103"/>
      <c r="S626" s="103"/>
      <c r="U626" s="103"/>
      <c r="W626" s="92" t="str">
        <f t="shared" si="152"/>
        <v>2.2\0.10:0</v>
      </c>
      <c r="Z626" s="93"/>
      <c r="AA626" s="104"/>
      <c r="AB626" s="104"/>
    </row>
    <row r="627" spans="1:35" x14ac:dyDescent="0.3">
      <c r="A627" s="102" t="str">
        <f>A626</f>
        <v>BSR130</v>
      </c>
      <c r="B627" s="93" t="str">
        <f t="shared" si="154"/>
        <v>DX02</v>
      </c>
      <c r="C627" s="93" t="str">
        <f t="shared" si="153"/>
        <v>DIO1</v>
      </c>
      <c r="D627" s="94">
        <f t="shared" si="150"/>
        <v>130</v>
      </c>
      <c r="E627" s="94">
        <v>2</v>
      </c>
      <c r="F627" s="94">
        <f t="shared" si="151"/>
        <v>2</v>
      </c>
      <c r="G627" s="94">
        <v>0</v>
      </c>
      <c r="H627" s="164">
        <f>+H626</f>
        <v>10</v>
      </c>
      <c r="I627" s="163">
        <f>+I626+1</f>
        <v>1</v>
      </c>
      <c r="J627" s="92"/>
      <c r="K627" s="94"/>
      <c r="L627" s="105"/>
      <c r="M627" s="105"/>
      <c r="N627" s="92"/>
      <c r="O627" s="92"/>
      <c r="P627" s="103"/>
      <c r="Q627" s="103"/>
      <c r="R627" s="103"/>
      <c r="S627" s="103"/>
      <c r="U627" s="103"/>
      <c r="W627" s="92" t="str">
        <f t="shared" si="152"/>
        <v>2.2\0.10:1</v>
      </c>
      <c r="Z627" s="93"/>
      <c r="AA627" s="104"/>
      <c r="AB627" s="104"/>
    </row>
    <row r="628" spans="1:35" x14ac:dyDescent="0.3">
      <c r="A628" s="102" t="str">
        <f>A627</f>
        <v>BSR130</v>
      </c>
      <c r="B628" s="93" t="str">
        <f t="shared" si="154"/>
        <v>DX02</v>
      </c>
      <c r="C628" s="93" t="str">
        <f t="shared" si="153"/>
        <v>DIO1</v>
      </c>
      <c r="D628" s="94">
        <f t="shared" si="150"/>
        <v>130</v>
      </c>
      <c r="E628" s="94">
        <v>2</v>
      </c>
      <c r="F628" s="94">
        <f t="shared" si="151"/>
        <v>2</v>
      </c>
      <c r="G628" s="94">
        <v>0</v>
      </c>
      <c r="H628" s="164">
        <f>+H627</f>
        <v>10</v>
      </c>
      <c r="I628" s="163">
        <f>+I627+1</f>
        <v>2</v>
      </c>
      <c r="J628" s="92"/>
      <c r="K628" s="94"/>
      <c r="L628" s="105"/>
      <c r="M628" s="105"/>
      <c r="N628" s="92"/>
      <c r="O628" s="92"/>
      <c r="P628" s="103"/>
      <c r="Q628" s="103"/>
      <c r="R628" s="103"/>
      <c r="S628" s="103"/>
      <c r="U628" s="103"/>
      <c r="W628" s="92" t="str">
        <f t="shared" si="152"/>
        <v>2.2\0.10:2</v>
      </c>
      <c r="Z628" s="93"/>
      <c r="AA628" s="104"/>
      <c r="AB628" s="104"/>
    </row>
    <row r="629" spans="1:35" ht="13.5" thickBot="1" x14ac:dyDescent="0.35">
      <c r="A629" s="102" t="str">
        <f>A628</f>
        <v>BSR130</v>
      </c>
      <c r="B629" s="93" t="str">
        <f t="shared" si="154"/>
        <v>DX02</v>
      </c>
      <c r="C629" s="93" t="str">
        <f t="shared" si="153"/>
        <v>DIO1</v>
      </c>
      <c r="D629" s="94">
        <f t="shared" si="150"/>
        <v>130</v>
      </c>
      <c r="E629" s="94">
        <v>2</v>
      </c>
      <c r="F629" s="94">
        <f t="shared" si="151"/>
        <v>2</v>
      </c>
      <c r="G629" s="94">
        <v>0</v>
      </c>
      <c r="H629" s="164">
        <f>+H628</f>
        <v>10</v>
      </c>
      <c r="I629" s="163">
        <f>+I628+1</f>
        <v>3</v>
      </c>
      <c r="J629" s="92"/>
      <c r="K629" s="94"/>
      <c r="L629" s="105"/>
      <c r="M629" s="105"/>
      <c r="N629" s="92"/>
      <c r="O629" s="92"/>
      <c r="P629" s="103"/>
      <c r="Q629" s="103"/>
      <c r="R629" s="103"/>
      <c r="S629" s="103"/>
      <c r="U629" s="103"/>
      <c r="W629" s="92" t="str">
        <f t="shared" si="152"/>
        <v>2.2\0.10:3</v>
      </c>
      <c r="Z629" s="93"/>
      <c r="AA629" s="104"/>
      <c r="AB629" s="104"/>
    </row>
    <row r="630" spans="1:35" x14ac:dyDescent="0.3">
      <c r="A630" s="158" t="s">
        <v>291</v>
      </c>
      <c r="B630" s="93" t="str">
        <f t="shared" si="154"/>
        <v>DX02</v>
      </c>
      <c r="C630" s="93" t="str">
        <f t="shared" si="153"/>
        <v>DIO1</v>
      </c>
      <c r="D630" s="94">
        <f t="shared" si="150"/>
        <v>130</v>
      </c>
      <c r="E630" s="94">
        <v>2</v>
      </c>
      <c r="F630" s="94">
        <f t="shared" si="151"/>
        <v>2</v>
      </c>
      <c r="G630" s="94">
        <v>0</v>
      </c>
      <c r="H630" s="166">
        <v>11</v>
      </c>
      <c r="I630" s="165">
        <v>0</v>
      </c>
      <c r="J630" s="92"/>
      <c r="K630" s="41" t="s">
        <v>300</v>
      </c>
      <c r="L630" s="105"/>
      <c r="M630" s="105"/>
      <c r="N630" s="92"/>
      <c r="O630" s="92"/>
      <c r="P630" s="103"/>
      <c r="Q630" s="103"/>
      <c r="R630" s="103"/>
      <c r="S630" s="103"/>
      <c r="U630" s="103"/>
      <c r="W630" s="92" t="str">
        <f t="shared" si="152"/>
        <v>2.2\0.11:0</v>
      </c>
      <c r="Z630" s="93"/>
      <c r="AA630" s="104"/>
      <c r="AB630" s="104"/>
    </row>
    <row r="631" spans="1:35" x14ac:dyDescent="0.3">
      <c r="A631" s="102" t="str">
        <f>A630</f>
        <v>BSR130</v>
      </c>
      <c r="B631" s="93" t="str">
        <f t="shared" si="154"/>
        <v>DX02</v>
      </c>
      <c r="C631" s="93" t="str">
        <f t="shared" si="153"/>
        <v>DIO1</v>
      </c>
      <c r="D631" s="94">
        <f t="shared" si="150"/>
        <v>130</v>
      </c>
      <c r="E631" s="94">
        <v>2</v>
      </c>
      <c r="F631" s="94">
        <f t="shared" si="151"/>
        <v>2</v>
      </c>
      <c r="G631" s="94">
        <v>0</v>
      </c>
      <c r="H631" s="164">
        <f>+H630</f>
        <v>11</v>
      </c>
      <c r="I631" s="163">
        <f>+I630+1</f>
        <v>1</v>
      </c>
      <c r="J631" s="92"/>
      <c r="K631" s="94"/>
      <c r="L631" s="105"/>
      <c r="M631" s="105"/>
      <c r="N631" s="92"/>
      <c r="O631" s="92"/>
      <c r="P631" s="103"/>
      <c r="Q631" s="103"/>
      <c r="R631" s="103"/>
      <c r="S631" s="103"/>
      <c r="U631" s="103"/>
      <c r="W631" s="92" t="str">
        <f t="shared" si="152"/>
        <v>2.2\0.11:1</v>
      </c>
      <c r="Z631" s="93"/>
      <c r="AA631" s="104"/>
      <c r="AB631" s="104"/>
    </row>
    <row r="632" spans="1:35" x14ac:dyDescent="0.3">
      <c r="A632" s="102" t="str">
        <f>A631</f>
        <v>BSR130</v>
      </c>
      <c r="B632" s="93" t="str">
        <f t="shared" si="154"/>
        <v>DX02</v>
      </c>
      <c r="C632" s="93" t="str">
        <f t="shared" si="153"/>
        <v>DIO1</v>
      </c>
      <c r="D632" s="94">
        <f t="shared" si="150"/>
        <v>130</v>
      </c>
      <c r="E632" s="94">
        <v>2</v>
      </c>
      <c r="F632" s="94">
        <f t="shared" si="151"/>
        <v>2</v>
      </c>
      <c r="G632" s="94">
        <v>0</v>
      </c>
      <c r="H632" s="164">
        <f>+H631</f>
        <v>11</v>
      </c>
      <c r="I632" s="163">
        <f>+I631+1</f>
        <v>2</v>
      </c>
      <c r="J632" s="92"/>
      <c r="K632" s="94"/>
      <c r="L632" s="105"/>
      <c r="M632" s="105"/>
      <c r="N632" s="92"/>
      <c r="O632" s="92"/>
      <c r="P632" s="103"/>
      <c r="Q632" s="103"/>
      <c r="R632" s="103"/>
      <c r="S632" s="103"/>
      <c r="U632" s="103"/>
      <c r="W632" s="92" t="str">
        <f t="shared" si="152"/>
        <v>2.2\0.11:2</v>
      </c>
      <c r="Z632" s="93"/>
      <c r="AA632" s="104"/>
      <c r="AB632" s="104"/>
    </row>
    <row r="633" spans="1:35" x14ac:dyDescent="0.3">
      <c r="A633" s="102" t="str">
        <f>A632</f>
        <v>BSR130</v>
      </c>
      <c r="B633" s="93" t="str">
        <f t="shared" si="154"/>
        <v>DX02</v>
      </c>
      <c r="C633" s="93" t="str">
        <f t="shared" si="153"/>
        <v>DIO1</v>
      </c>
      <c r="D633" s="94">
        <f t="shared" si="150"/>
        <v>130</v>
      </c>
      <c r="E633" s="94">
        <v>2</v>
      </c>
      <c r="F633" s="94">
        <f t="shared" si="151"/>
        <v>2</v>
      </c>
      <c r="G633" s="94">
        <v>0</v>
      </c>
      <c r="H633" s="164">
        <f>+H632</f>
        <v>11</v>
      </c>
      <c r="I633" s="163">
        <f>+I632+1</f>
        <v>3</v>
      </c>
      <c r="J633" s="92"/>
      <c r="K633" s="94"/>
      <c r="L633" s="105"/>
      <c r="M633" s="105"/>
      <c r="N633" s="92"/>
      <c r="O633" s="92"/>
      <c r="P633" s="103"/>
      <c r="Q633" s="103"/>
      <c r="R633" s="103"/>
      <c r="S633" s="103"/>
      <c r="U633" s="103"/>
      <c r="W633" s="92" t="str">
        <f t="shared" si="152"/>
        <v>2.2\0.11:3</v>
      </c>
      <c r="Z633" s="93"/>
      <c r="AA633" s="104"/>
      <c r="AB633" s="104"/>
    </row>
    <row r="637" spans="1:35" ht="15.5" x14ac:dyDescent="0.35">
      <c r="A637" s="162" t="s">
        <v>299</v>
      </c>
      <c r="B637" s="46"/>
      <c r="C637" s="102"/>
      <c r="D637" s="102"/>
      <c r="E637" s="102"/>
      <c r="F637" s="102"/>
      <c r="G637" s="102"/>
      <c r="H637" s="102"/>
      <c r="I637" s="102"/>
      <c r="J637" s="102"/>
      <c r="K637" s="92"/>
      <c r="L637" s="92"/>
      <c r="M637" s="92"/>
      <c r="N637" s="92"/>
      <c r="O637" s="92"/>
      <c r="P637" s="41"/>
      <c r="Q637" s="41"/>
      <c r="R637" s="41"/>
      <c r="S637" s="41"/>
      <c r="T637" s="41"/>
      <c r="U637" s="41"/>
      <c r="V637" s="41"/>
      <c r="W637" s="41"/>
      <c r="X637" s="44"/>
      <c r="Y637" s="52"/>
      <c r="Z637" s="44"/>
      <c r="AC637" s="44"/>
      <c r="AD637" s="93"/>
      <c r="AE637" s="93"/>
      <c r="AF637" s="93"/>
      <c r="AG637" s="93"/>
      <c r="AH637" s="113"/>
      <c r="AI637" s="113"/>
    </row>
    <row r="638" spans="1:35" ht="13.5" thickBot="1" x14ac:dyDescent="0.35">
      <c r="A638" s="48"/>
      <c r="B638" s="48"/>
      <c r="C638" s="48"/>
      <c r="D638" s="160"/>
      <c r="E638" s="161"/>
      <c r="F638" s="160"/>
      <c r="G638" s="160"/>
      <c r="H638" s="48"/>
      <c r="I638" s="48"/>
      <c r="J638" s="48"/>
      <c r="K638" s="107" t="s">
        <v>298</v>
      </c>
      <c r="L638" s="49"/>
      <c r="M638" s="49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104"/>
      <c r="Y638" s="94"/>
      <c r="Z638" s="121"/>
      <c r="AC638" s="93"/>
      <c r="AD638" s="93"/>
      <c r="AE638" s="93"/>
      <c r="AF638" s="93"/>
      <c r="AG638" s="93"/>
      <c r="AH638" s="113"/>
      <c r="AI638" s="113"/>
    </row>
    <row r="639" spans="1:35" ht="13.5" thickBot="1" x14ac:dyDescent="0.35">
      <c r="B639" s="102"/>
      <c r="C639" s="102"/>
      <c r="D639" s="102"/>
      <c r="E639" s="102">
        <v>1</v>
      </c>
      <c r="F639" s="102">
        <v>18</v>
      </c>
      <c r="G639" s="102">
        <v>0</v>
      </c>
      <c r="H639" s="47">
        <v>0</v>
      </c>
      <c r="I639" s="275" t="s">
        <v>295</v>
      </c>
      <c r="J639" s="271"/>
      <c r="K639" s="94">
        <v>1059305</v>
      </c>
      <c r="L639" s="159" t="s">
        <v>294</v>
      </c>
      <c r="M639" s="92"/>
      <c r="N639" s="92"/>
      <c r="O639" s="92"/>
      <c r="P639" s="48" t="s">
        <v>293</v>
      </c>
      <c r="Q639" s="48"/>
      <c r="R639" s="41"/>
      <c r="S639" s="41"/>
      <c r="T639" s="41"/>
      <c r="U639" s="41"/>
      <c r="V639" s="41"/>
      <c r="W639" s="92" t="str">
        <f t="shared" ref="W639:W660" si="155">+CONCATENATE(E639,".",F639,"\",G639,".",H639,":",I639)</f>
        <v>1.18\0.0:CPU SLC1</v>
      </c>
      <c r="X639" s="92" t="s">
        <v>216</v>
      </c>
      <c r="Y639" s="94">
        <v>0</v>
      </c>
      <c r="Z639" s="44"/>
      <c r="AC639" s="93"/>
      <c r="AD639" s="93"/>
      <c r="AE639" s="93"/>
      <c r="AF639" s="93"/>
      <c r="AG639" s="93"/>
      <c r="AH639" s="113"/>
      <c r="AI639" s="113"/>
    </row>
    <row r="640" spans="1:35" ht="13.5" thickBot="1" x14ac:dyDescent="0.35">
      <c r="B640" s="102"/>
      <c r="C640" s="102"/>
      <c r="D640" s="102"/>
      <c r="E640" s="102">
        <f>+E639</f>
        <v>1</v>
      </c>
      <c r="F640" s="102">
        <f>+F639</f>
        <v>18</v>
      </c>
      <c r="G640" s="102">
        <v>0</v>
      </c>
      <c r="H640" s="47"/>
      <c r="I640" s="275" t="s">
        <v>292</v>
      </c>
      <c r="J640" s="271"/>
      <c r="K640" s="113">
        <v>1044073</v>
      </c>
      <c r="L640" s="92"/>
      <c r="M640" s="92"/>
      <c r="N640" s="93"/>
      <c r="O640" s="93"/>
      <c r="P640" s="41"/>
      <c r="Q640" s="41"/>
      <c r="R640" s="41"/>
      <c r="S640" s="41"/>
      <c r="T640" s="41"/>
      <c r="U640" s="41"/>
      <c r="V640" s="41"/>
      <c r="W640" s="92" t="str">
        <f t="shared" si="155"/>
        <v>1.18\0.:not used</v>
      </c>
      <c r="X640" s="92" t="s">
        <v>216</v>
      </c>
      <c r="Y640" s="94">
        <v>0</v>
      </c>
      <c r="Z640" s="44"/>
      <c r="AC640" s="93"/>
      <c r="AD640" s="93"/>
      <c r="AE640" s="93"/>
      <c r="AF640" s="93"/>
      <c r="AG640" s="93"/>
      <c r="AH640" s="113"/>
      <c r="AI640" s="113"/>
    </row>
    <row r="641" spans="1:35" x14ac:dyDescent="0.3">
      <c r="A641" s="158" t="s">
        <v>291</v>
      </c>
      <c r="B641" s="102" t="s">
        <v>290</v>
      </c>
      <c r="C641" s="41" t="s">
        <v>289</v>
      </c>
      <c r="D641" s="102" t="s">
        <v>297</v>
      </c>
      <c r="E641" s="102">
        <f t="shared" ref="E641:E660" si="156">+E640</f>
        <v>1</v>
      </c>
      <c r="F641" s="102">
        <v>18</v>
      </c>
      <c r="G641" s="102">
        <f t="shared" ref="G641:G660" si="157">+G640</f>
        <v>0</v>
      </c>
      <c r="H641" s="45">
        <v>1</v>
      </c>
      <c r="I641" s="154">
        <v>1</v>
      </c>
      <c r="J641" s="153" t="s">
        <v>287</v>
      </c>
      <c r="K641" s="157" t="s">
        <v>286</v>
      </c>
      <c r="L641" s="124" t="s">
        <v>270</v>
      </c>
      <c r="M641" s="124"/>
      <c r="N641" s="93">
        <v>4</v>
      </c>
      <c r="O641" s="93"/>
      <c r="P641" s="92" t="s">
        <v>285</v>
      </c>
      <c r="R641" s="92" t="s">
        <v>284</v>
      </c>
      <c r="S641" s="92" t="s">
        <v>280</v>
      </c>
      <c r="U641" s="41" t="s">
        <v>217</v>
      </c>
      <c r="V641" s="41"/>
      <c r="W641" s="92" t="str">
        <f t="shared" si="155"/>
        <v>1.18\0.1:1</v>
      </c>
      <c r="X641" s="92" t="s">
        <v>216</v>
      </c>
      <c r="Y641" s="94">
        <v>0</v>
      </c>
      <c r="Z641" s="44"/>
      <c r="AC641" s="93"/>
      <c r="AD641" s="93"/>
      <c r="AE641" s="93"/>
      <c r="AF641" s="93"/>
      <c r="AG641" s="93"/>
      <c r="AH641" s="113"/>
      <c r="AI641" s="113"/>
    </row>
    <row r="642" spans="1:35" x14ac:dyDescent="0.3">
      <c r="A642" s="10" t="str">
        <f t="shared" ref="A642:A660" si="158">+A641</f>
        <v>BSR130</v>
      </c>
      <c r="B642" s="10" t="str">
        <f t="shared" ref="B642:B660" si="159">+B641</f>
        <v>DX02</v>
      </c>
      <c r="C642" s="93"/>
      <c r="D642" s="102"/>
      <c r="E642" s="102">
        <f t="shared" si="156"/>
        <v>1</v>
      </c>
      <c r="F642" s="102">
        <f t="shared" ref="F642:F660" si="160">+F641</f>
        <v>18</v>
      </c>
      <c r="G642" s="102">
        <f t="shared" si="157"/>
        <v>0</v>
      </c>
      <c r="H642" s="45">
        <f t="shared" ref="H642:H652" si="161">+H641</f>
        <v>1</v>
      </c>
      <c r="I642" s="152">
        <v>2</v>
      </c>
      <c r="J642" s="151" t="s">
        <v>283</v>
      </c>
      <c r="L642" s="124" t="s">
        <v>270</v>
      </c>
      <c r="M642" s="124"/>
      <c r="N642" s="93">
        <v>4</v>
      </c>
      <c r="O642" s="93"/>
      <c r="P642" s="92" t="s">
        <v>282</v>
      </c>
      <c r="R642" s="92" t="s">
        <v>281</v>
      </c>
      <c r="S642" s="92" t="s">
        <v>280</v>
      </c>
      <c r="U642" s="41" t="str">
        <f>+U641</f>
        <v>BCV131</v>
      </c>
      <c r="V642" s="41"/>
      <c r="W642" s="92" t="str">
        <f t="shared" si="155"/>
        <v>1.18\0.1:2</v>
      </c>
      <c r="X642" s="92" t="s">
        <v>216</v>
      </c>
      <c r="Y642" s="94">
        <v>0</v>
      </c>
      <c r="Z642" s="44"/>
      <c r="AC642" s="93"/>
      <c r="AD642" s="93"/>
      <c r="AE642" s="93"/>
      <c r="AF642" s="93"/>
      <c r="AG642" s="93"/>
      <c r="AH642" s="113"/>
      <c r="AI642" s="113"/>
    </row>
    <row r="643" spans="1:35" x14ac:dyDescent="0.3">
      <c r="A643" s="10" t="str">
        <f t="shared" si="158"/>
        <v>BSR130</v>
      </c>
      <c r="B643" s="10" t="str">
        <f t="shared" si="159"/>
        <v>DX02</v>
      </c>
      <c r="C643" s="93"/>
      <c r="D643" s="102"/>
      <c r="E643" s="102">
        <f t="shared" si="156"/>
        <v>1</v>
      </c>
      <c r="F643" s="102">
        <f t="shared" si="160"/>
        <v>18</v>
      </c>
      <c r="G643" s="102">
        <f t="shared" si="157"/>
        <v>0</v>
      </c>
      <c r="H643" s="45">
        <f t="shared" si="161"/>
        <v>1</v>
      </c>
      <c r="I643" s="152">
        <v>3</v>
      </c>
      <c r="J643" s="151" t="s">
        <v>279</v>
      </c>
      <c r="K643" s="113">
        <v>1044125</v>
      </c>
      <c r="L643" s="124" t="s">
        <v>270</v>
      </c>
      <c r="M643" s="124"/>
      <c r="N643" s="93">
        <v>4</v>
      </c>
      <c r="O643" s="93"/>
      <c r="P643" s="104"/>
      <c r="Q643" s="104"/>
      <c r="R643" s="104"/>
      <c r="S643" s="104"/>
      <c r="T643" s="104"/>
      <c r="U643" s="41" t="s">
        <v>217</v>
      </c>
      <c r="V643" s="41"/>
      <c r="W643" s="92" t="str">
        <f t="shared" si="155"/>
        <v>1.18\0.1:3</v>
      </c>
      <c r="X643" s="92" t="s">
        <v>216</v>
      </c>
      <c r="Y643" s="94">
        <v>0</v>
      </c>
      <c r="Z643" s="44"/>
      <c r="AC643" s="93"/>
      <c r="AD643" s="93"/>
      <c r="AE643" s="93"/>
      <c r="AF643" s="93"/>
      <c r="AG643" s="93"/>
      <c r="AH643" s="113"/>
      <c r="AI643" s="113"/>
    </row>
    <row r="644" spans="1:35" x14ac:dyDescent="0.3">
      <c r="A644" s="10" t="str">
        <f t="shared" si="158"/>
        <v>BSR130</v>
      </c>
      <c r="B644" s="10" t="str">
        <f t="shared" si="159"/>
        <v>DX02</v>
      </c>
      <c r="C644" s="93"/>
      <c r="D644" s="102"/>
      <c r="E644" s="102">
        <f t="shared" si="156"/>
        <v>1</v>
      </c>
      <c r="F644" s="102">
        <f t="shared" si="160"/>
        <v>18</v>
      </c>
      <c r="G644" s="102">
        <f t="shared" si="157"/>
        <v>0</v>
      </c>
      <c r="H644" s="45">
        <f t="shared" si="161"/>
        <v>1</v>
      </c>
      <c r="I644" s="152">
        <v>4</v>
      </c>
      <c r="J644" s="151" t="s">
        <v>278</v>
      </c>
      <c r="K644" s="94">
        <v>1047162</v>
      </c>
      <c r="L644" s="124" t="s">
        <v>270</v>
      </c>
      <c r="M644" s="124"/>
      <c r="N644" s="93">
        <v>4</v>
      </c>
      <c r="O644" s="93"/>
      <c r="P644" s="104"/>
      <c r="Q644" s="104"/>
      <c r="R644" s="104"/>
      <c r="S644" s="104"/>
      <c r="T644" s="104"/>
      <c r="U644" s="41" t="str">
        <f>+U643</f>
        <v>BCV131</v>
      </c>
      <c r="V644" s="41"/>
      <c r="W644" s="92" t="str">
        <f t="shared" si="155"/>
        <v>1.18\0.1:4</v>
      </c>
      <c r="X644" s="92" t="s">
        <v>216</v>
      </c>
      <c r="Y644" s="94">
        <v>0</v>
      </c>
      <c r="Z644" s="44"/>
      <c r="AC644" s="93"/>
      <c r="AD644" s="93"/>
      <c r="AE644" s="93"/>
      <c r="AF644" s="93"/>
      <c r="AG644" s="93"/>
      <c r="AH644" s="113"/>
      <c r="AI644" s="113"/>
    </row>
    <row r="645" spans="1:35" x14ac:dyDescent="0.3">
      <c r="A645" s="10" t="str">
        <f t="shared" si="158"/>
        <v>BSR130</v>
      </c>
      <c r="B645" s="10" t="str">
        <f t="shared" si="159"/>
        <v>DX02</v>
      </c>
      <c r="C645" s="93"/>
      <c r="D645" s="102"/>
      <c r="E645" s="102">
        <f t="shared" si="156"/>
        <v>1</v>
      </c>
      <c r="F645" s="102">
        <f t="shared" si="160"/>
        <v>18</v>
      </c>
      <c r="G645" s="102">
        <f t="shared" si="157"/>
        <v>0</v>
      </c>
      <c r="H645" s="45">
        <f t="shared" si="161"/>
        <v>1</v>
      </c>
      <c r="I645" s="152">
        <v>5</v>
      </c>
      <c r="J645" s="151" t="s">
        <v>277</v>
      </c>
      <c r="K645" s="156" t="s">
        <v>276</v>
      </c>
      <c r="L645" s="124" t="s">
        <v>270</v>
      </c>
      <c r="M645" s="124"/>
      <c r="N645" s="93">
        <v>4</v>
      </c>
      <c r="O645" s="93"/>
      <c r="P645" s="92" t="s">
        <v>65</v>
      </c>
      <c r="R645" s="92" t="s">
        <v>275</v>
      </c>
      <c r="S645" s="92" t="s">
        <v>24</v>
      </c>
      <c r="U645" s="41" t="str">
        <f>+U642</f>
        <v>BCV131</v>
      </c>
      <c r="V645" s="41"/>
      <c r="W645" s="92" t="str">
        <f t="shared" si="155"/>
        <v>1.18\0.1:5</v>
      </c>
      <c r="X645" s="92" t="s">
        <v>216</v>
      </c>
      <c r="Y645" s="94">
        <v>0</v>
      </c>
      <c r="Z645" s="44"/>
      <c r="AC645" s="93"/>
      <c r="AD645" s="93"/>
      <c r="AE645" s="93"/>
      <c r="AF645" s="93"/>
      <c r="AG645" s="93"/>
      <c r="AH645" s="113"/>
      <c r="AI645" s="113"/>
    </row>
    <row r="646" spans="1:35" x14ac:dyDescent="0.3">
      <c r="A646" s="10" t="str">
        <f t="shared" si="158"/>
        <v>BSR130</v>
      </c>
      <c r="B646" s="10" t="str">
        <f t="shared" si="159"/>
        <v>DX02</v>
      </c>
      <c r="C646" s="93"/>
      <c r="D646" s="102"/>
      <c r="E646" s="102">
        <f t="shared" si="156"/>
        <v>1</v>
      </c>
      <c r="F646" s="102">
        <f t="shared" si="160"/>
        <v>18</v>
      </c>
      <c r="G646" s="102">
        <f t="shared" si="157"/>
        <v>0</v>
      </c>
      <c r="H646" s="45">
        <f t="shared" si="161"/>
        <v>1</v>
      </c>
      <c r="I646" s="152">
        <v>6</v>
      </c>
      <c r="J646" s="151" t="s">
        <v>274</v>
      </c>
      <c r="K646" s="97"/>
      <c r="L646" s="124" t="s">
        <v>270</v>
      </c>
      <c r="M646" s="124"/>
      <c r="N646" s="93">
        <v>4</v>
      </c>
      <c r="O646" s="93"/>
      <c r="P646" s="92" t="s">
        <v>79</v>
      </c>
      <c r="R646" s="92" t="s">
        <v>273</v>
      </c>
      <c r="S646" s="92" t="s">
        <v>24</v>
      </c>
      <c r="U646" s="41" t="str">
        <f t="shared" ref="U646:U660" si="162">+U645</f>
        <v>BCV131</v>
      </c>
      <c r="V646" s="41"/>
      <c r="W646" s="92" t="str">
        <f t="shared" si="155"/>
        <v>1.18\0.1:6</v>
      </c>
      <c r="X646" s="92" t="s">
        <v>216</v>
      </c>
      <c r="Y646" s="94">
        <v>0</v>
      </c>
      <c r="Z646" s="44"/>
      <c r="AC646" s="93"/>
      <c r="AD646" s="93"/>
      <c r="AE646" s="93"/>
      <c r="AF646" s="93"/>
      <c r="AG646" s="93"/>
      <c r="AH646" s="113"/>
      <c r="AI646" s="113"/>
    </row>
    <row r="647" spans="1:35" x14ac:dyDescent="0.3">
      <c r="A647" s="10" t="str">
        <f t="shared" si="158"/>
        <v>BSR130</v>
      </c>
      <c r="B647" s="10" t="str">
        <f t="shared" si="159"/>
        <v>DX02</v>
      </c>
      <c r="C647" s="93"/>
      <c r="D647" s="102"/>
      <c r="E647" s="102">
        <f t="shared" si="156"/>
        <v>1</v>
      </c>
      <c r="F647" s="102">
        <f t="shared" si="160"/>
        <v>18</v>
      </c>
      <c r="G647" s="102">
        <f t="shared" si="157"/>
        <v>0</v>
      </c>
      <c r="H647" s="45">
        <f t="shared" si="161"/>
        <v>1</v>
      </c>
      <c r="I647" s="152">
        <v>7</v>
      </c>
      <c r="J647" s="151" t="s">
        <v>272</v>
      </c>
      <c r="K647" s="113"/>
      <c r="L647" s="124" t="s">
        <v>270</v>
      </c>
      <c r="M647" s="124"/>
      <c r="N647" s="93">
        <v>4</v>
      </c>
      <c r="O647" s="93"/>
      <c r="P647" s="111"/>
      <c r="Q647" s="111"/>
      <c r="R647" s="111"/>
      <c r="S647" s="111"/>
      <c r="U647" s="41" t="str">
        <f t="shared" si="162"/>
        <v>BCV131</v>
      </c>
      <c r="V647" s="41"/>
      <c r="W647" s="92" t="str">
        <f t="shared" si="155"/>
        <v>1.18\0.1:7</v>
      </c>
      <c r="X647" s="92" t="s">
        <v>216</v>
      </c>
      <c r="Y647" s="94">
        <v>0</v>
      </c>
      <c r="Z647" s="44"/>
      <c r="AC647" s="93"/>
      <c r="AD647" s="93"/>
      <c r="AE647" s="93"/>
      <c r="AF647" s="93"/>
      <c r="AG647" s="93"/>
      <c r="AH647" s="113"/>
      <c r="AI647" s="113"/>
    </row>
    <row r="648" spans="1:35" x14ac:dyDescent="0.3">
      <c r="A648" s="10" t="str">
        <f t="shared" si="158"/>
        <v>BSR130</v>
      </c>
      <c r="B648" s="10" t="str">
        <f t="shared" si="159"/>
        <v>DX02</v>
      </c>
      <c r="C648" s="93"/>
      <c r="D648" s="102"/>
      <c r="E648" s="102">
        <f t="shared" si="156"/>
        <v>1</v>
      </c>
      <c r="F648" s="102">
        <f t="shared" si="160"/>
        <v>18</v>
      </c>
      <c r="G648" s="102">
        <f t="shared" si="157"/>
        <v>0</v>
      </c>
      <c r="H648" s="45">
        <f t="shared" si="161"/>
        <v>1</v>
      </c>
      <c r="I648" s="152">
        <v>8</v>
      </c>
      <c r="J648" s="151" t="s">
        <v>271</v>
      </c>
      <c r="K648" s="113"/>
      <c r="L648" s="124" t="s">
        <v>270</v>
      </c>
      <c r="M648" s="124"/>
      <c r="N648" s="93">
        <v>4</v>
      </c>
      <c r="O648" s="93"/>
      <c r="P648" s="111"/>
      <c r="Q648" s="111"/>
      <c r="R648" s="111"/>
      <c r="S648" s="111"/>
      <c r="U648" s="41" t="str">
        <f t="shared" si="162"/>
        <v>BCV131</v>
      </c>
      <c r="V648" s="41"/>
      <c r="W648" s="92" t="str">
        <f t="shared" si="155"/>
        <v>1.18\0.1:8</v>
      </c>
      <c r="X648" s="92" t="s">
        <v>216</v>
      </c>
      <c r="Y648" s="94">
        <v>0</v>
      </c>
      <c r="Z648" s="44"/>
      <c r="AC648" s="93"/>
      <c r="AD648" s="93"/>
      <c r="AE648" s="93"/>
      <c r="AF648" s="93"/>
      <c r="AG648" s="93"/>
      <c r="AH648" s="113"/>
      <c r="AI648" s="113"/>
    </row>
    <row r="649" spans="1:35" x14ac:dyDescent="0.3">
      <c r="A649" s="10" t="str">
        <f t="shared" si="158"/>
        <v>BSR130</v>
      </c>
      <c r="B649" s="10" t="str">
        <f t="shared" si="159"/>
        <v>DX02</v>
      </c>
      <c r="C649" s="46"/>
      <c r="D649" s="102"/>
      <c r="E649" s="102">
        <f t="shared" si="156"/>
        <v>1</v>
      </c>
      <c r="F649" s="102">
        <f t="shared" si="160"/>
        <v>18</v>
      </c>
      <c r="G649" s="102">
        <f t="shared" si="157"/>
        <v>0</v>
      </c>
      <c r="H649" s="45">
        <f t="shared" si="161"/>
        <v>1</v>
      </c>
      <c r="I649" s="152">
        <v>1</v>
      </c>
      <c r="J649" s="155" t="s">
        <v>269</v>
      </c>
      <c r="K649" s="113"/>
      <c r="L649" s="124" t="s">
        <v>261</v>
      </c>
      <c r="M649" s="124"/>
      <c r="N649" s="93">
        <v>4</v>
      </c>
      <c r="O649" s="93"/>
      <c r="P649" s="92" t="s">
        <v>268</v>
      </c>
      <c r="R649" s="92" t="s">
        <v>267</v>
      </c>
      <c r="S649" s="92" t="s">
        <v>234</v>
      </c>
      <c r="U649" s="41" t="str">
        <f t="shared" si="162"/>
        <v>BCV131</v>
      </c>
      <c r="V649" s="41"/>
      <c r="W649" s="92" t="str">
        <f t="shared" si="155"/>
        <v>1.18\0.1:1</v>
      </c>
      <c r="X649" s="92" t="s">
        <v>216</v>
      </c>
      <c r="Y649" s="94">
        <v>0</v>
      </c>
      <c r="Z649" s="44"/>
      <c r="AA649" s="96"/>
      <c r="AB649" s="96"/>
      <c r="AC649" s="93"/>
      <c r="AD649" s="93"/>
      <c r="AE649" s="93"/>
      <c r="AF649" s="93"/>
      <c r="AG649" s="93"/>
      <c r="AH649" s="113"/>
      <c r="AI649" s="113"/>
    </row>
    <row r="650" spans="1:35" x14ac:dyDescent="0.3">
      <c r="A650" s="10" t="str">
        <f t="shared" si="158"/>
        <v>BSR130</v>
      </c>
      <c r="B650" s="10" t="str">
        <f t="shared" si="159"/>
        <v>DX02</v>
      </c>
      <c r="C650" s="46"/>
      <c r="D650" s="102"/>
      <c r="E650" s="102">
        <f t="shared" si="156"/>
        <v>1</v>
      </c>
      <c r="F650" s="102">
        <f t="shared" si="160"/>
        <v>18</v>
      </c>
      <c r="G650" s="102">
        <f t="shared" si="157"/>
        <v>0</v>
      </c>
      <c r="H650" s="45">
        <f t="shared" si="161"/>
        <v>1</v>
      </c>
      <c r="I650" s="152">
        <v>2</v>
      </c>
      <c r="J650" s="151" t="s">
        <v>266</v>
      </c>
      <c r="K650" s="113"/>
      <c r="L650" s="124" t="s">
        <v>261</v>
      </c>
      <c r="M650" s="124"/>
      <c r="N650" s="93">
        <v>4</v>
      </c>
      <c r="O650" s="93"/>
      <c r="P650" s="92" t="s">
        <v>265</v>
      </c>
      <c r="R650" s="92" t="s">
        <v>264</v>
      </c>
      <c r="S650" s="92" t="s">
        <v>234</v>
      </c>
      <c r="U650" s="41" t="str">
        <f t="shared" si="162"/>
        <v>BCV131</v>
      </c>
      <c r="V650" s="41"/>
      <c r="W650" s="92" t="str">
        <f t="shared" si="155"/>
        <v>1.18\0.1:2</v>
      </c>
      <c r="X650" s="92" t="s">
        <v>216</v>
      </c>
      <c r="Y650" s="94">
        <v>0</v>
      </c>
      <c r="Z650" s="44"/>
      <c r="AC650" s="93"/>
      <c r="AD650" s="93"/>
      <c r="AE650" s="93"/>
      <c r="AF650" s="93"/>
      <c r="AG650" s="93"/>
      <c r="AH650" s="113"/>
      <c r="AI650" s="113"/>
    </row>
    <row r="651" spans="1:35" x14ac:dyDescent="0.3">
      <c r="A651" s="10" t="str">
        <f t="shared" si="158"/>
        <v>BSR130</v>
      </c>
      <c r="B651" s="10" t="str">
        <f t="shared" si="159"/>
        <v>DX02</v>
      </c>
      <c r="C651" s="46"/>
      <c r="D651" s="102"/>
      <c r="E651" s="102">
        <f t="shared" si="156"/>
        <v>1</v>
      </c>
      <c r="F651" s="102">
        <f t="shared" si="160"/>
        <v>18</v>
      </c>
      <c r="G651" s="102">
        <f t="shared" si="157"/>
        <v>0</v>
      </c>
      <c r="H651" s="45">
        <f t="shared" si="161"/>
        <v>1</v>
      </c>
      <c r="I651" s="152">
        <v>3</v>
      </c>
      <c r="J651" s="151" t="s">
        <v>263</v>
      </c>
      <c r="K651" s="113"/>
      <c r="L651" s="124" t="s">
        <v>261</v>
      </c>
      <c r="M651" s="124"/>
      <c r="N651" s="93">
        <v>4</v>
      </c>
      <c r="O651" s="93"/>
      <c r="P651" s="111"/>
      <c r="Q651" s="111"/>
      <c r="R651" s="111"/>
      <c r="S651" s="111"/>
      <c r="T651" s="41"/>
      <c r="U651" s="41" t="str">
        <f t="shared" si="162"/>
        <v>BCV131</v>
      </c>
      <c r="V651" s="41"/>
      <c r="W651" s="92" t="str">
        <f t="shared" si="155"/>
        <v>1.18\0.1:3</v>
      </c>
      <c r="X651" s="92" t="s">
        <v>216</v>
      </c>
      <c r="Y651" s="94">
        <v>0</v>
      </c>
      <c r="Z651" s="44"/>
      <c r="AC651" s="93"/>
      <c r="AD651" s="93"/>
      <c r="AE651" s="93"/>
      <c r="AF651" s="93"/>
      <c r="AG651" s="93"/>
      <c r="AH651" s="113"/>
      <c r="AI651" s="113"/>
    </row>
    <row r="652" spans="1:35" ht="13.5" thickBot="1" x14ac:dyDescent="0.35">
      <c r="A652" s="10" t="str">
        <f t="shared" si="158"/>
        <v>BSR130</v>
      </c>
      <c r="B652" s="10" t="str">
        <f t="shared" si="159"/>
        <v>DX02</v>
      </c>
      <c r="C652" s="46"/>
      <c r="D652" s="102"/>
      <c r="E652" s="102">
        <f t="shared" si="156"/>
        <v>1</v>
      </c>
      <c r="F652" s="102">
        <f t="shared" si="160"/>
        <v>18</v>
      </c>
      <c r="G652" s="102">
        <f t="shared" si="157"/>
        <v>0</v>
      </c>
      <c r="H652" s="45">
        <f t="shared" si="161"/>
        <v>1</v>
      </c>
      <c r="I652" s="150">
        <v>4</v>
      </c>
      <c r="J652" s="151" t="s">
        <v>262</v>
      </c>
      <c r="K652" s="113"/>
      <c r="L652" s="124" t="s">
        <v>261</v>
      </c>
      <c r="M652" s="124"/>
      <c r="N652" s="93">
        <v>4</v>
      </c>
      <c r="O652" s="93"/>
      <c r="P652" s="111"/>
      <c r="Q652" s="111"/>
      <c r="R652" s="111"/>
      <c r="S652" s="111"/>
      <c r="T652" s="41"/>
      <c r="U652" s="41" t="str">
        <f t="shared" si="162"/>
        <v>BCV131</v>
      </c>
      <c r="V652" s="41"/>
      <c r="W652" s="92" t="str">
        <f t="shared" si="155"/>
        <v>1.18\0.1:4</v>
      </c>
      <c r="X652" s="92" t="s">
        <v>216</v>
      </c>
      <c r="Y652" s="94">
        <v>0</v>
      </c>
      <c r="Z652" s="44"/>
      <c r="AC652" s="93"/>
      <c r="AD652" s="93"/>
      <c r="AE652" s="93"/>
      <c r="AF652" s="93"/>
      <c r="AG652" s="93"/>
      <c r="AH652" s="113"/>
      <c r="AI652" s="113"/>
    </row>
    <row r="653" spans="1:35" x14ac:dyDescent="0.3">
      <c r="A653" s="10" t="str">
        <f t="shared" si="158"/>
        <v>BSR130</v>
      </c>
      <c r="B653" s="10" t="str">
        <f t="shared" si="159"/>
        <v>DX02</v>
      </c>
      <c r="C653" s="41"/>
      <c r="D653" s="102"/>
      <c r="E653" s="102">
        <f t="shared" si="156"/>
        <v>1</v>
      </c>
      <c r="F653" s="102">
        <f t="shared" si="160"/>
        <v>18</v>
      </c>
      <c r="G653" s="102">
        <f t="shared" si="157"/>
        <v>0</v>
      </c>
      <c r="H653" s="45">
        <v>2</v>
      </c>
      <c r="I653" s="154" t="s">
        <v>260</v>
      </c>
      <c r="J653" s="153" t="s">
        <v>53</v>
      </c>
      <c r="K653" s="113" t="s">
        <v>259</v>
      </c>
      <c r="L653" s="105" t="s">
        <v>242</v>
      </c>
      <c r="M653" s="105"/>
      <c r="N653" s="93">
        <v>4</v>
      </c>
      <c r="O653" s="93"/>
      <c r="P653" s="41" t="s">
        <v>258</v>
      </c>
      <c r="Q653" s="41"/>
      <c r="R653" s="33" t="s">
        <v>252</v>
      </c>
      <c r="S653" s="92" t="s">
        <v>18</v>
      </c>
      <c r="T653" s="41"/>
      <c r="U653" s="41" t="str">
        <f t="shared" si="162"/>
        <v>BCV131</v>
      </c>
      <c r="V653" s="41"/>
      <c r="W653" s="92" t="str">
        <f t="shared" si="155"/>
        <v>1.18\0.2:1A</v>
      </c>
      <c r="X653" s="92" t="s">
        <v>216</v>
      </c>
      <c r="Y653" s="94">
        <v>0</v>
      </c>
      <c r="Z653" s="44" t="s">
        <v>245</v>
      </c>
      <c r="AC653" s="93"/>
      <c r="AD653" s="93"/>
      <c r="AE653" s="93"/>
      <c r="AF653" s="93"/>
      <c r="AG653" s="93"/>
      <c r="AH653" s="113"/>
      <c r="AI653" s="113"/>
    </row>
    <row r="654" spans="1:35" x14ac:dyDescent="0.3">
      <c r="A654" s="10" t="str">
        <f t="shared" si="158"/>
        <v>BSR130</v>
      </c>
      <c r="B654" s="10" t="str">
        <f t="shared" si="159"/>
        <v>DX02</v>
      </c>
      <c r="C654" s="93"/>
      <c r="D654" s="102"/>
      <c r="E654" s="102">
        <f t="shared" si="156"/>
        <v>1</v>
      </c>
      <c r="F654" s="102">
        <f t="shared" si="160"/>
        <v>18</v>
      </c>
      <c r="G654" s="102">
        <f t="shared" si="157"/>
        <v>0</v>
      </c>
      <c r="H654" s="45">
        <f t="shared" ref="H654:H660" si="163">+H653</f>
        <v>2</v>
      </c>
      <c r="I654" s="152" t="s">
        <v>257</v>
      </c>
      <c r="J654" s="151" t="s">
        <v>49</v>
      </c>
      <c r="K654" s="113">
        <v>6026143</v>
      </c>
      <c r="L654" s="105" t="s">
        <v>242</v>
      </c>
      <c r="M654" s="105"/>
      <c r="N654" s="93">
        <v>4</v>
      </c>
      <c r="O654" s="93"/>
      <c r="P654" s="41" t="s">
        <v>256</v>
      </c>
      <c r="Q654" s="41"/>
      <c r="R654" s="33" t="s">
        <v>252</v>
      </c>
      <c r="S654" s="92" t="s">
        <v>18</v>
      </c>
      <c r="T654" s="41"/>
      <c r="U654" s="41" t="str">
        <f t="shared" si="162"/>
        <v>BCV131</v>
      </c>
      <c r="V654" s="41"/>
      <c r="W654" s="92" t="str">
        <f t="shared" si="155"/>
        <v>1.18\0.2:1B</v>
      </c>
      <c r="X654" s="92" t="s">
        <v>216</v>
      </c>
      <c r="Y654" s="94">
        <v>0</v>
      </c>
      <c r="Z654" s="44" t="s">
        <v>240</v>
      </c>
      <c r="AC654" s="93"/>
      <c r="AD654" s="93"/>
      <c r="AE654" s="93"/>
      <c r="AF654" s="93"/>
      <c r="AG654" s="93"/>
      <c r="AH654" s="113"/>
      <c r="AI654" s="113"/>
    </row>
    <row r="655" spans="1:35" x14ac:dyDescent="0.3">
      <c r="A655" s="10" t="str">
        <f t="shared" si="158"/>
        <v>BSR130</v>
      </c>
      <c r="B655" s="10" t="str">
        <f t="shared" si="159"/>
        <v>DX02</v>
      </c>
      <c r="C655" s="93"/>
      <c r="D655" s="102"/>
      <c r="E655" s="102">
        <f t="shared" si="156"/>
        <v>1</v>
      </c>
      <c r="F655" s="102">
        <f t="shared" si="160"/>
        <v>18</v>
      </c>
      <c r="G655" s="102">
        <f t="shared" si="157"/>
        <v>0</v>
      </c>
      <c r="H655" s="45">
        <f t="shared" si="163"/>
        <v>2</v>
      </c>
      <c r="I655" s="152" t="s">
        <v>255</v>
      </c>
      <c r="J655" s="151" t="s">
        <v>254</v>
      </c>
      <c r="K655" s="113"/>
      <c r="L655" s="105" t="s">
        <v>237</v>
      </c>
      <c r="M655" s="105"/>
      <c r="N655" s="93">
        <v>4</v>
      </c>
      <c r="O655" s="93"/>
      <c r="P655" s="41" t="s">
        <v>253</v>
      </c>
      <c r="Q655" s="41"/>
      <c r="R655" s="33" t="s">
        <v>252</v>
      </c>
      <c r="S655" s="92" t="s">
        <v>234</v>
      </c>
      <c r="T655" s="41"/>
      <c r="U655" s="41" t="str">
        <f t="shared" si="162"/>
        <v>BCV131</v>
      </c>
      <c r="V655" s="41"/>
      <c r="W655" s="92" t="str">
        <f t="shared" si="155"/>
        <v>1.18\0.2:1C</v>
      </c>
      <c r="X655" s="92" t="s">
        <v>216</v>
      </c>
      <c r="Y655" s="94">
        <v>0</v>
      </c>
      <c r="Z655" s="44"/>
      <c r="AC655" s="93"/>
      <c r="AD655" s="93"/>
      <c r="AE655" s="93"/>
      <c r="AF655" s="93"/>
      <c r="AG655" s="93"/>
      <c r="AH655" s="113"/>
      <c r="AI655" s="113"/>
    </row>
    <row r="656" spans="1:35" x14ac:dyDescent="0.3">
      <c r="A656" s="10" t="str">
        <f t="shared" si="158"/>
        <v>BSR130</v>
      </c>
      <c r="B656" s="10" t="str">
        <f t="shared" si="159"/>
        <v>DX02</v>
      </c>
      <c r="C656" s="93"/>
      <c r="D656" s="102"/>
      <c r="E656" s="102">
        <f t="shared" si="156"/>
        <v>1</v>
      </c>
      <c r="F656" s="102">
        <f t="shared" si="160"/>
        <v>18</v>
      </c>
      <c r="G656" s="102">
        <f t="shared" si="157"/>
        <v>0</v>
      </c>
      <c r="H656" s="45">
        <f t="shared" si="163"/>
        <v>2</v>
      </c>
      <c r="I656" s="152" t="s">
        <v>251</v>
      </c>
      <c r="J656" s="151" t="s">
        <v>250</v>
      </c>
      <c r="K656" s="113"/>
      <c r="L656" s="105" t="s">
        <v>231</v>
      </c>
      <c r="M656" s="105"/>
      <c r="N656" s="93">
        <v>4</v>
      </c>
      <c r="O656" s="93"/>
      <c r="P656" s="41" t="s">
        <v>249</v>
      </c>
      <c r="Q656" s="41"/>
      <c r="R656" s="41" t="s">
        <v>248</v>
      </c>
      <c r="S656" s="92" t="s">
        <v>228</v>
      </c>
      <c r="T656" s="41"/>
      <c r="U656" s="41" t="str">
        <f t="shared" si="162"/>
        <v>BCV131</v>
      </c>
      <c r="V656" s="41"/>
      <c r="W656" s="92" t="str">
        <f t="shared" si="155"/>
        <v>1.18\0.2:1M</v>
      </c>
      <c r="X656" s="92" t="s">
        <v>216</v>
      </c>
      <c r="Y656" s="94">
        <v>0</v>
      </c>
      <c r="Z656" s="44"/>
      <c r="AC656" s="93"/>
      <c r="AD656" s="93"/>
      <c r="AE656" s="93"/>
      <c r="AF656" s="93"/>
      <c r="AG656" s="93"/>
      <c r="AH656" s="113"/>
      <c r="AI656" s="113"/>
    </row>
    <row r="657" spans="1:35" x14ac:dyDescent="0.3">
      <c r="A657" s="10" t="str">
        <f t="shared" si="158"/>
        <v>BSR130</v>
      </c>
      <c r="B657" s="10" t="str">
        <f t="shared" si="159"/>
        <v>DX02</v>
      </c>
      <c r="C657" s="93"/>
      <c r="D657" s="102"/>
      <c r="E657" s="102">
        <f t="shared" si="156"/>
        <v>1</v>
      </c>
      <c r="F657" s="102">
        <f t="shared" si="160"/>
        <v>18</v>
      </c>
      <c r="G657" s="102">
        <f t="shared" si="157"/>
        <v>0</v>
      </c>
      <c r="H657" s="45">
        <f t="shared" si="163"/>
        <v>2</v>
      </c>
      <c r="I657" s="152" t="s">
        <v>247</v>
      </c>
      <c r="J657" s="151" t="s">
        <v>44</v>
      </c>
      <c r="K657" s="113"/>
      <c r="L657" s="105" t="s">
        <v>242</v>
      </c>
      <c r="M657" s="105"/>
      <c r="N657" s="93">
        <v>4</v>
      </c>
      <c r="O657" s="93"/>
      <c r="P657" s="41" t="s">
        <v>246</v>
      </c>
      <c r="Q657" s="41"/>
      <c r="R657" s="33" t="s">
        <v>235</v>
      </c>
      <c r="S657" s="92" t="s">
        <v>18</v>
      </c>
      <c r="T657" s="41"/>
      <c r="U657" s="41" t="str">
        <f t="shared" si="162"/>
        <v>BCV131</v>
      </c>
      <c r="V657" s="41"/>
      <c r="W657" s="92" t="str">
        <f t="shared" si="155"/>
        <v>1.18\0.2:2A</v>
      </c>
      <c r="X657" s="92" t="s">
        <v>216</v>
      </c>
      <c r="Y657" s="94">
        <v>0</v>
      </c>
      <c r="Z657" s="44" t="s">
        <v>245</v>
      </c>
      <c r="AC657" s="93"/>
      <c r="AD657" s="93"/>
      <c r="AE657" s="93"/>
      <c r="AF657" s="93"/>
      <c r="AG657" s="93"/>
      <c r="AH657" s="113"/>
      <c r="AI657" s="113"/>
    </row>
    <row r="658" spans="1:35" x14ac:dyDescent="0.3">
      <c r="A658" s="10" t="str">
        <f t="shared" si="158"/>
        <v>BSR130</v>
      </c>
      <c r="B658" s="10" t="str">
        <f t="shared" si="159"/>
        <v>DX02</v>
      </c>
      <c r="C658" s="93"/>
      <c r="D658" s="102"/>
      <c r="E658" s="102">
        <f t="shared" si="156"/>
        <v>1</v>
      </c>
      <c r="F658" s="102">
        <f t="shared" si="160"/>
        <v>18</v>
      </c>
      <c r="G658" s="102">
        <f t="shared" si="157"/>
        <v>0</v>
      </c>
      <c r="H658" s="45">
        <f t="shared" si="163"/>
        <v>2</v>
      </c>
      <c r="I658" s="152" t="s">
        <v>244</v>
      </c>
      <c r="J658" s="151" t="s">
        <v>243</v>
      </c>
      <c r="K658" s="113"/>
      <c r="L658" s="105" t="s">
        <v>242</v>
      </c>
      <c r="M658" s="105"/>
      <c r="N658" s="93">
        <v>4</v>
      </c>
      <c r="O658" s="93"/>
      <c r="P658" s="41" t="s">
        <v>241</v>
      </c>
      <c r="Q658" s="41"/>
      <c r="R658" s="33" t="s">
        <v>235</v>
      </c>
      <c r="S658" s="92" t="s">
        <v>18</v>
      </c>
      <c r="T658" s="41"/>
      <c r="U658" s="41" t="str">
        <f t="shared" si="162"/>
        <v>BCV131</v>
      </c>
      <c r="V658" s="41"/>
      <c r="W658" s="92" t="str">
        <f t="shared" si="155"/>
        <v>1.18\0.2:2B</v>
      </c>
      <c r="X658" s="92" t="s">
        <v>216</v>
      </c>
      <c r="Y658" s="94">
        <v>0</v>
      </c>
      <c r="Z658" s="44" t="s">
        <v>240</v>
      </c>
      <c r="AC658" s="93"/>
      <c r="AD658" s="93"/>
      <c r="AE658" s="93"/>
      <c r="AF658" s="93"/>
      <c r="AG658" s="93"/>
      <c r="AH658" s="113"/>
      <c r="AI658" s="113"/>
    </row>
    <row r="659" spans="1:35" x14ac:dyDescent="0.3">
      <c r="A659" s="10" t="str">
        <f t="shared" si="158"/>
        <v>BSR130</v>
      </c>
      <c r="B659" s="10" t="str">
        <f t="shared" si="159"/>
        <v>DX02</v>
      </c>
      <c r="C659" s="93"/>
      <c r="D659" s="102"/>
      <c r="E659" s="102">
        <f t="shared" si="156"/>
        <v>1</v>
      </c>
      <c r="F659" s="102">
        <f t="shared" si="160"/>
        <v>18</v>
      </c>
      <c r="G659" s="102">
        <f t="shared" si="157"/>
        <v>0</v>
      </c>
      <c r="H659" s="45">
        <f t="shared" si="163"/>
        <v>2</v>
      </c>
      <c r="I659" s="152" t="s">
        <v>239</v>
      </c>
      <c r="J659" s="151" t="s">
        <v>238</v>
      </c>
      <c r="K659" s="44"/>
      <c r="L659" s="105" t="s">
        <v>237</v>
      </c>
      <c r="M659" s="105"/>
      <c r="N659" s="93">
        <v>4</v>
      </c>
      <c r="O659" s="93"/>
      <c r="P659" s="41" t="s">
        <v>236</v>
      </c>
      <c r="Q659" s="41"/>
      <c r="R659" s="33" t="s">
        <v>235</v>
      </c>
      <c r="S659" s="92" t="s">
        <v>234</v>
      </c>
      <c r="T659" s="41"/>
      <c r="U659" s="41" t="str">
        <f t="shared" si="162"/>
        <v>BCV131</v>
      </c>
      <c r="V659" s="41"/>
      <c r="W659" s="92" t="str">
        <f t="shared" si="155"/>
        <v>1.18\0.2:2C</v>
      </c>
      <c r="X659" s="92" t="s">
        <v>216</v>
      </c>
      <c r="Y659" s="94">
        <v>0</v>
      </c>
      <c r="Z659" s="44"/>
      <c r="AC659" s="93"/>
      <c r="AD659" s="93"/>
      <c r="AE659" s="93"/>
      <c r="AF659" s="93"/>
      <c r="AG659" s="93"/>
      <c r="AH659" s="113"/>
      <c r="AI659" s="113"/>
    </row>
    <row r="660" spans="1:35" ht="13.5" thickBot="1" x14ac:dyDescent="0.35">
      <c r="A660" s="10" t="str">
        <f t="shared" si="158"/>
        <v>BSR130</v>
      </c>
      <c r="B660" s="10" t="str">
        <f t="shared" si="159"/>
        <v>DX02</v>
      </c>
      <c r="C660" s="93"/>
      <c r="D660" s="102"/>
      <c r="E660" s="102">
        <f t="shared" si="156"/>
        <v>1</v>
      </c>
      <c r="F660" s="102">
        <f t="shared" si="160"/>
        <v>18</v>
      </c>
      <c r="G660" s="102">
        <f t="shared" si="157"/>
        <v>0</v>
      </c>
      <c r="H660" s="45">
        <f t="shared" si="163"/>
        <v>2</v>
      </c>
      <c r="I660" s="150" t="s">
        <v>233</v>
      </c>
      <c r="J660" s="149" t="s">
        <v>232</v>
      </c>
      <c r="K660" s="44"/>
      <c r="L660" s="105" t="s">
        <v>231</v>
      </c>
      <c r="M660" s="105"/>
      <c r="N660" s="93">
        <v>4</v>
      </c>
      <c r="O660" s="93"/>
      <c r="P660" s="41" t="s">
        <v>230</v>
      </c>
      <c r="Q660" s="41"/>
      <c r="R660" s="41" t="s">
        <v>229</v>
      </c>
      <c r="S660" s="92" t="s">
        <v>228</v>
      </c>
      <c r="T660" s="41"/>
      <c r="U660" s="41" t="str">
        <f t="shared" si="162"/>
        <v>BCV131</v>
      </c>
      <c r="V660" s="41"/>
      <c r="W660" s="92" t="str">
        <f t="shared" si="155"/>
        <v>1.18\0.2:2M</v>
      </c>
      <c r="X660" s="92" t="s">
        <v>216</v>
      </c>
      <c r="Y660" s="94">
        <v>0</v>
      </c>
      <c r="Z660" s="44"/>
      <c r="AC660" s="93"/>
      <c r="AD660" s="93"/>
      <c r="AE660" s="93"/>
      <c r="AF660" s="93"/>
      <c r="AG660" s="93"/>
      <c r="AH660" s="113"/>
      <c r="AI660" s="113"/>
    </row>
    <row r="661" spans="1:35" x14ac:dyDescent="0.3">
      <c r="C661" s="93"/>
      <c r="D661" s="113"/>
      <c r="E661" s="140"/>
      <c r="F661" s="113"/>
      <c r="G661" s="113"/>
      <c r="H661" s="113"/>
      <c r="I661" s="113"/>
      <c r="J661" s="113"/>
      <c r="K661" s="113"/>
      <c r="L661" s="105"/>
      <c r="M661" s="105"/>
      <c r="N661" s="92"/>
      <c r="O661" s="92"/>
      <c r="P661" s="93"/>
      <c r="Q661" s="93"/>
      <c r="S661" s="93"/>
      <c r="U661" s="102"/>
      <c r="X661" s="12"/>
      <c r="AC661" s="93"/>
      <c r="AD661" s="93"/>
      <c r="AE661" s="93"/>
      <c r="AF661" s="93"/>
      <c r="AG661" s="93"/>
      <c r="AH661" s="113"/>
      <c r="AI661" s="113"/>
    </row>
    <row r="662" spans="1:35" x14ac:dyDescent="0.3">
      <c r="C662" s="93"/>
      <c r="D662" s="113"/>
      <c r="E662" s="140"/>
      <c r="F662" s="113"/>
      <c r="G662" s="113"/>
      <c r="H662" s="113"/>
      <c r="I662" s="113"/>
      <c r="J662" s="113"/>
      <c r="K662" s="113"/>
      <c r="L662" s="105"/>
      <c r="M662" s="105"/>
      <c r="N662" s="92"/>
      <c r="O662" s="92"/>
      <c r="P662" s="93"/>
      <c r="Q662" s="93"/>
      <c r="S662" s="93"/>
      <c r="U662" s="102"/>
      <c r="X662" s="12"/>
      <c r="AC662" s="93"/>
      <c r="AD662" s="93"/>
      <c r="AE662" s="93"/>
      <c r="AF662" s="93"/>
      <c r="AG662" s="93"/>
      <c r="AH662" s="113"/>
      <c r="AI662" s="113"/>
    </row>
    <row r="663" spans="1:35" ht="15.5" x14ac:dyDescent="0.35">
      <c r="A663" s="162" t="s">
        <v>296</v>
      </c>
      <c r="B663" s="46"/>
      <c r="C663" s="102"/>
      <c r="D663" s="102"/>
      <c r="E663" s="102"/>
      <c r="F663" s="102"/>
      <c r="G663" s="102"/>
      <c r="H663" s="102"/>
      <c r="I663" s="102"/>
      <c r="J663" s="102"/>
      <c r="K663" s="92"/>
      <c r="L663" s="92"/>
      <c r="M663" s="92"/>
      <c r="N663" s="92"/>
      <c r="O663" s="92"/>
      <c r="P663" s="41"/>
      <c r="Q663" s="41"/>
      <c r="R663" s="41"/>
      <c r="S663" s="41"/>
      <c r="T663" s="41"/>
      <c r="U663" s="41"/>
      <c r="V663" s="41"/>
      <c r="W663" s="41"/>
      <c r="X663" s="44"/>
      <c r="Y663" s="52"/>
      <c r="Z663" s="44"/>
      <c r="AA663" s="96"/>
      <c r="AB663" s="96"/>
      <c r="AC663" s="93"/>
      <c r="AD663" s="93"/>
      <c r="AE663" s="93"/>
      <c r="AF663" s="93"/>
      <c r="AG663" s="93"/>
      <c r="AH663" s="113"/>
      <c r="AI663" s="113"/>
    </row>
    <row r="664" spans="1:35" ht="13.5" thickBot="1" x14ac:dyDescent="0.35">
      <c r="A664" s="48"/>
      <c r="B664" s="48"/>
      <c r="C664" s="48"/>
      <c r="D664" s="160"/>
      <c r="E664" s="161"/>
      <c r="F664" s="160"/>
      <c r="G664" s="160"/>
      <c r="H664" s="48"/>
      <c r="I664" s="48"/>
      <c r="J664" s="48"/>
      <c r="K664" s="48"/>
      <c r="L664" s="49"/>
      <c r="M664" s="49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104"/>
      <c r="Y664" s="94"/>
      <c r="Z664" s="121"/>
      <c r="AC664" s="93"/>
      <c r="AD664" s="93"/>
      <c r="AE664" s="93"/>
      <c r="AF664" s="93"/>
      <c r="AG664" s="93"/>
      <c r="AH664" s="113"/>
      <c r="AI664" s="113"/>
    </row>
    <row r="665" spans="1:35" ht="13.5" thickBot="1" x14ac:dyDescent="0.35">
      <c r="B665" s="102"/>
      <c r="C665" s="102"/>
      <c r="D665" s="102"/>
      <c r="E665" s="102">
        <v>2</v>
      </c>
      <c r="F665" s="102">
        <v>18</v>
      </c>
      <c r="G665" s="102">
        <v>0</v>
      </c>
      <c r="H665" s="47">
        <v>0</v>
      </c>
      <c r="I665" s="275" t="s">
        <v>295</v>
      </c>
      <c r="J665" s="271"/>
      <c r="K665" s="94">
        <v>1059305</v>
      </c>
      <c r="L665" s="159" t="s">
        <v>294</v>
      </c>
      <c r="M665" s="92"/>
      <c r="N665" s="92"/>
      <c r="O665" s="92"/>
      <c r="P665" s="48" t="s">
        <v>293</v>
      </c>
      <c r="Q665" s="48"/>
      <c r="R665" s="41"/>
      <c r="S665" s="41"/>
      <c r="T665" s="41"/>
      <c r="U665" s="41"/>
      <c r="V665" s="41"/>
      <c r="W665" s="92" t="str">
        <f t="shared" ref="W665:W686" si="164">+CONCATENATE(E665,".",F665,"\",G665,".",H665,":",I665)</f>
        <v>2.18\0.0:CPU SLC1</v>
      </c>
      <c r="X665" s="92" t="s">
        <v>227</v>
      </c>
      <c r="Y665" s="94">
        <v>0</v>
      </c>
      <c r="Z665" s="44"/>
      <c r="AC665" s="44"/>
      <c r="AD665" s="93"/>
      <c r="AE665" s="93"/>
      <c r="AF665" s="93"/>
      <c r="AG665" s="93"/>
      <c r="AH665" s="113"/>
      <c r="AI665" s="113"/>
    </row>
    <row r="666" spans="1:35" ht="13.5" thickBot="1" x14ac:dyDescent="0.35">
      <c r="B666" s="102"/>
      <c r="C666" s="102"/>
      <c r="D666" s="102"/>
      <c r="E666" s="102">
        <v>2</v>
      </c>
      <c r="F666" s="102">
        <f t="shared" ref="F666:F686" si="165">+F665</f>
        <v>18</v>
      </c>
      <c r="G666" s="102">
        <v>0</v>
      </c>
      <c r="H666" s="47"/>
      <c r="I666" s="275" t="s">
        <v>292</v>
      </c>
      <c r="J666" s="271"/>
      <c r="K666" s="113"/>
      <c r="L666" s="92"/>
      <c r="M666" s="92"/>
      <c r="N666" s="92"/>
      <c r="O666" s="92"/>
      <c r="P666" s="41"/>
      <c r="Q666" s="41"/>
      <c r="R666" s="41"/>
      <c r="S666" s="41"/>
      <c r="T666" s="41"/>
      <c r="U666" s="41"/>
      <c r="V666" s="41"/>
      <c r="W666" s="92" t="str">
        <f t="shared" si="164"/>
        <v>2.18\0.:not used</v>
      </c>
      <c r="X666" s="92" t="s">
        <v>227</v>
      </c>
      <c r="Y666" s="94">
        <v>0</v>
      </c>
      <c r="Z666" s="44"/>
      <c r="AC666" s="44"/>
      <c r="AD666" s="93"/>
      <c r="AE666" s="93"/>
      <c r="AF666" s="93"/>
      <c r="AG666" s="93"/>
      <c r="AH666" s="113"/>
      <c r="AI666" s="113"/>
    </row>
    <row r="667" spans="1:35" x14ac:dyDescent="0.3">
      <c r="A667" s="158" t="s">
        <v>291</v>
      </c>
      <c r="B667" s="102" t="s">
        <v>290</v>
      </c>
      <c r="C667" s="41" t="s">
        <v>289</v>
      </c>
      <c r="D667" s="102" t="s">
        <v>288</v>
      </c>
      <c r="E667" s="102">
        <f t="shared" ref="E667:E686" si="166">+E666</f>
        <v>2</v>
      </c>
      <c r="F667" s="102">
        <f t="shared" si="165"/>
        <v>18</v>
      </c>
      <c r="G667" s="102">
        <f t="shared" ref="G667:G686" si="167">+G666</f>
        <v>0</v>
      </c>
      <c r="H667" s="45">
        <v>1</v>
      </c>
      <c r="I667" s="154">
        <v>1</v>
      </c>
      <c r="J667" s="153" t="s">
        <v>287</v>
      </c>
      <c r="K667" s="157" t="s">
        <v>286</v>
      </c>
      <c r="L667" s="124" t="s">
        <v>270</v>
      </c>
      <c r="M667" s="124"/>
      <c r="N667" s="93">
        <v>4</v>
      </c>
      <c r="O667" s="93"/>
      <c r="P667" s="92" t="s">
        <v>285</v>
      </c>
      <c r="R667" s="92" t="s">
        <v>284</v>
      </c>
      <c r="S667" s="92" t="s">
        <v>280</v>
      </c>
      <c r="U667" s="41" t="s">
        <v>217</v>
      </c>
      <c r="V667" s="41"/>
      <c r="W667" s="92" t="str">
        <f t="shared" si="164"/>
        <v>2.18\0.1:1</v>
      </c>
      <c r="X667" s="92" t="s">
        <v>227</v>
      </c>
      <c r="Y667" s="94">
        <v>0</v>
      </c>
      <c r="Z667" s="44"/>
      <c r="AC667" s="44"/>
      <c r="AD667" s="93"/>
      <c r="AE667" s="93"/>
      <c r="AF667" s="93"/>
      <c r="AG667" s="93"/>
      <c r="AH667" s="113"/>
      <c r="AI667" s="113"/>
    </row>
    <row r="668" spans="1:35" x14ac:dyDescent="0.3">
      <c r="A668" s="10" t="str">
        <f t="shared" ref="A668:A686" si="168">+A667</f>
        <v>BSR130</v>
      </c>
      <c r="B668" s="10" t="str">
        <f t="shared" ref="B668:B686" si="169">+B667</f>
        <v>DX02</v>
      </c>
      <c r="C668" s="93"/>
      <c r="D668" s="102"/>
      <c r="E668" s="102">
        <f t="shared" si="166"/>
        <v>2</v>
      </c>
      <c r="F668" s="102">
        <f t="shared" si="165"/>
        <v>18</v>
      </c>
      <c r="G668" s="102">
        <f t="shared" si="167"/>
        <v>0</v>
      </c>
      <c r="H668" s="45">
        <f t="shared" ref="H668:H678" si="170">+H667</f>
        <v>1</v>
      </c>
      <c r="I668" s="152">
        <v>2</v>
      </c>
      <c r="J668" s="151" t="s">
        <v>283</v>
      </c>
      <c r="L668" s="124" t="s">
        <v>270</v>
      </c>
      <c r="M668" s="124"/>
      <c r="N668" s="93">
        <v>4</v>
      </c>
      <c r="O668" s="93"/>
      <c r="P668" s="92" t="s">
        <v>282</v>
      </c>
      <c r="R668" s="92" t="s">
        <v>281</v>
      </c>
      <c r="S668" s="92" t="s">
        <v>280</v>
      </c>
      <c r="U668" s="41" t="str">
        <f>+U667</f>
        <v>BCV131</v>
      </c>
      <c r="V668" s="41"/>
      <c r="W668" s="92" t="str">
        <f t="shared" si="164"/>
        <v>2.18\0.1:2</v>
      </c>
      <c r="X668" s="92" t="s">
        <v>227</v>
      </c>
      <c r="Y668" s="94">
        <v>0</v>
      </c>
      <c r="Z668" s="44"/>
      <c r="AC668" s="44"/>
      <c r="AD668" s="93"/>
      <c r="AE668" s="93"/>
      <c r="AF668" s="93"/>
      <c r="AG668" s="93"/>
      <c r="AH668" s="113"/>
      <c r="AI668" s="113"/>
    </row>
    <row r="669" spans="1:35" x14ac:dyDescent="0.3">
      <c r="A669" s="10" t="str">
        <f t="shared" si="168"/>
        <v>BSR130</v>
      </c>
      <c r="B669" s="10" t="str">
        <f t="shared" si="169"/>
        <v>DX02</v>
      </c>
      <c r="C669" s="93"/>
      <c r="D669" s="102"/>
      <c r="E669" s="102">
        <f t="shared" si="166"/>
        <v>2</v>
      </c>
      <c r="F669" s="102">
        <f t="shared" si="165"/>
        <v>18</v>
      </c>
      <c r="G669" s="102">
        <f t="shared" si="167"/>
        <v>0</v>
      </c>
      <c r="H669" s="45">
        <f t="shared" si="170"/>
        <v>1</v>
      </c>
      <c r="I669" s="152">
        <v>3</v>
      </c>
      <c r="J669" s="151" t="s">
        <v>279</v>
      </c>
      <c r="K669" s="113">
        <v>1044125</v>
      </c>
      <c r="L669" s="124" t="s">
        <v>270</v>
      </c>
      <c r="M669" s="124"/>
      <c r="N669" s="93">
        <v>4</v>
      </c>
      <c r="O669" s="93"/>
      <c r="R669" s="104"/>
      <c r="S669" s="104"/>
      <c r="U669" s="41" t="s">
        <v>217</v>
      </c>
      <c r="V669" s="41"/>
      <c r="W669" s="92" t="str">
        <f t="shared" si="164"/>
        <v>2.18\0.1:3</v>
      </c>
      <c r="X669" s="92" t="s">
        <v>227</v>
      </c>
      <c r="Y669" s="94">
        <v>0</v>
      </c>
      <c r="Z669" s="44"/>
      <c r="AC669" s="44"/>
      <c r="AD669" s="93"/>
      <c r="AE669" s="93"/>
      <c r="AF669" s="93"/>
      <c r="AG669" s="93"/>
      <c r="AH669" s="113"/>
      <c r="AI669" s="113"/>
    </row>
    <row r="670" spans="1:35" x14ac:dyDescent="0.3">
      <c r="A670" s="10" t="str">
        <f t="shared" si="168"/>
        <v>BSR130</v>
      </c>
      <c r="B670" s="10" t="str">
        <f t="shared" si="169"/>
        <v>DX02</v>
      </c>
      <c r="C670" s="93"/>
      <c r="D670" s="102"/>
      <c r="E670" s="102">
        <f t="shared" si="166"/>
        <v>2</v>
      </c>
      <c r="F670" s="102">
        <f t="shared" si="165"/>
        <v>18</v>
      </c>
      <c r="G670" s="102">
        <f t="shared" si="167"/>
        <v>0</v>
      </c>
      <c r="H670" s="45">
        <f t="shared" si="170"/>
        <v>1</v>
      </c>
      <c r="I670" s="152">
        <v>4</v>
      </c>
      <c r="J670" s="151" t="s">
        <v>278</v>
      </c>
      <c r="K670" s="94">
        <v>1047162</v>
      </c>
      <c r="L670" s="124" t="s">
        <v>270</v>
      </c>
      <c r="M670" s="124"/>
      <c r="N670" s="93">
        <v>4</v>
      </c>
      <c r="O670" s="93"/>
      <c r="R670" s="104"/>
      <c r="S670" s="104"/>
      <c r="U670" s="41" t="str">
        <f>+U669</f>
        <v>BCV131</v>
      </c>
      <c r="V670" s="41"/>
      <c r="W670" s="92" t="str">
        <f t="shared" si="164"/>
        <v>2.18\0.1:4</v>
      </c>
      <c r="X670" s="92" t="s">
        <v>227</v>
      </c>
      <c r="Y670" s="94">
        <v>0</v>
      </c>
      <c r="Z670" s="44"/>
      <c r="AC670" s="44"/>
      <c r="AD670" s="44"/>
      <c r="AE670" s="41"/>
      <c r="AF670" s="41"/>
      <c r="AG670" s="41"/>
      <c r="AH670" s="43"/>
    </row>
    <row r="671" spans="1:35" x14ac:dyDescent="0.3">
      <c r="A671" s="10" t="str">
        <f t="shared" si="168"/>
        <v>BSR130</v>
      </c>
      <c r="B671" s="10" t="str">
        <f t="shared" si="169"/>
        <v>DX02</v>
      </c>
      <c r="C671" s="93"/>
      <c r="D671" s="102"/>
      <c r="E671" s="102">
        <f t="shared" si="166"/>
        <v>2</v>
      </c>
      <c r="F671" s="102">
        <f t="shared" si="165"/>
        <v>18</v>
      </c>
      <c r="G671" s="102">
        <f t="shared" si="167"/>
        <v>0</v>
      </c>
      <c r="H671" s="45">
        <f t="shared" si="170"/>
        <v>1</v>
      </c>
      <c r="I671" s="152">
        <v>5</v>
      </c>
      <c r="J671" s="151" t="s">
        <v>277</v>
      </c>
      <c r="K671" s="156" t="s">
        <v>276</v>
      </c>
      <c r="L671" s="124" t="s">
        <v>270</v>
      </c>
      <c r="M671" s="124"/>
      <c r="N671" s="93">
        <v>4</v>
      </c>
      <c r="O671" s="93"/>
      <c r="P671" s="92" t="s">
        <v>65</v>
      </c>
      <c r="R671" s="92" t="s">
        <v>275</v>
      </c>
      <c r="S671" s="92" t="s">
        <v>24</v>
      </c>
      <c r="U671" s="41" t="str">
        <f>+U668</f>
        <v>BCV131</v>
      </c>
      <c r="V671" s="41"/>
      <c r="W671" s="92" t="str">
        <f t="shared" si="164"/>
        <v>2.18\0.1:5</v>
      </c>
      <c r="X671" s="92" t="s">
        <v>227</v>
      </c>
      <c r="Y671" s="94">
        <v>0</v>
      </c>
      <c r="Z671" s="44"/>
      <c r="AC671" s="44"/>
      <c r="AD671" s="44"/>
      <c r="AE671" s="41"/>
      <c r="AF671" s="41"/>
      <c r="AG671" s="41"/>
      <c r="AH671" s="43"/>
    </row>
    <row r="672" spans="1:35" x14ac:dyDescent="0.3">
      <c r="A672" s="10" t="str">
        <f t="shared" si="168"/>
        <v>BSR130</v>
      </c>
      <c r="B672" s="10" t="str">
        <f t="shared" si="169"/>
        <v>DX02</v>
      </c>
      <c r="C672" s="93"/>
      <c r="D672" s="102"/>
      <c r="E672" s="102">
        <f t="shared" si="166"/>
        <v>2</v>
      </c>
      <c r="F672" s="102">
        <f t="shared" si="165"/>
        <v>18</v>
      </c>
      <c r="G672" s="102">
        <f t="shared" si="167"/>
        <v>0</v>
      </c>
      <c r="H672" s="45">
        <f t="shared" si="170"/>
        <v>1</v>
      </c>
      <c r="I672" s="152">
        <v>6</v>
      </c>
      <c r="J672" s="151" t="s">
        <v>274</v>
      </c>
      <c r="L672" s="124" t="s">
        <v>270</v>
      </c>
      <c r="M672" s="124"/>
      <c r="N672" s="93">
        <v>4</v>
      </c>
      <c r="O672" s="93"/>
      <c r="P672" s="92" t="s">
        <v>79</v>
      </c>
      <c r="R672" s="92" t="s">
        <v>273</v>
      </c>
      <c r="S672" s="92" t="s">
        <v>24</v>
      </c>
      <c r="U672" s="41" t="str">
        <f t="shared" ref="U672:U686" si="171">+U671</f>
        <v>BCV131</v>
      </c>
      <c r="V672" s="41"/>
      <c r="W672" s="92" t="str">
        <f t="shared" si="164"/>
        <v>2.18\0.1:6</v>
      </c>
      <c r="X672" s="92" t="s">
        <v>227</v>
      </c>
      <c r="Y672" s="94">
        <v>0</v>
      </c>
      <c r="Z672" s="44"/>
      <c r="AC672" s="44"/>
      <c r="AD672" s="44"/>
      <c r="AE672" s="41"/>
      <c r="AF672" s="41"/>
      <c r="AG672" s="41"/>
      <c r="AH672" s="43"/>
    </row>
    <row r="673" spans="1:41" x14ac:dyDescent="0.3">
      <c r="A673" s="10" t="str">
        <f t="shared" si="168"/>
        <v>BSR130</v>
      </c>
      <c r="B673" s="10" t="str">
        <f t="shared" si="169"/>
        <v>DX02</v>
      </c>
      <c r="C673" s="93"/>
      <c r="D673" s="102"/>
      <c r="E673" s="102">
        <f t="shared" si="166"/>
        <v>2</v>
      </c>
      <c r="F673" s="102">
        <f t="shared" si="165"/>
        <v>18</v>
      </c>
      <c r="G673" s="102">
        <f t="shared" si="167"/>
        <v>0</v>
      </c>
      <c r="H673" s="45">
        <f t="shared" si="170"/>
        <v>1</v>
      </c>
      <c r="I673" s="152">
        <v>7</v>
      </c>
      <c r="J673" s="151" t="s">
        <v>272</v>
      </c>
      <c r="K673" s="113"/>
      <c r="L673" s="124" t="s">
        <v>270</v>
      </c>
      <c r="M673" s="124"/>
      <c r="N673" s="93">
        <v>4</v>
      </c>
      <c r="O673" s="93"/>
      <c r="P673" s="111"/>
      <c r="Q673" s="111"/>
      <c r="R673" s="111"/>
      <c r="S673" s="111"/>
      <c r="U673" s="41" t="str">
        <f t="shared" si="171"/>
        <v>BCV131</v>
      </c>
      <c r="V673" s="41"/>
      <c r="W673" s="92" t="str">
        <f t="shared" si="164"/>
        <v>2.18\0.1:7</v>
      </c>
      <c r="X673" s="92" t="s">
        <v>227</v>
      </c>
      <c r="Y673" s="94">
        <v>0</v>
      </c>
      <c r="Z673" s="44"/>
      <c r="AC673" s="44"/>
      <c r="AD673" s="44"/>
      <c r="AE673" s="41"/>
      <c r="AF673" s="41"/>
      <c r="AG673" s="41"/>
      <c r="AH673" s="43"/>
    </row>
    <row r="674" spans="1:41" x14ac:dyDescent="0.3">
      <c r="A674" s="10" t="str">
        <f t="shared" si="168"/>
        <v>BSR130</v>
      </c>
      <c r="B674" s="10" t="str">
        <f t="shared" si="169"/>
        <v>DX02</v>
      </c>
      <c r="C674" s="93"/>
      <c r="D674" s="102"/>
      <c r="E674" s="102">
        <f t="shared" si="166"/>
        <v>2</v>
      </c>
      <c r="F674" s="102">
        <f t="shared" si="165"/>
        <v>18</v>
      </c>
      <c r="G674" s="102">
        <f t="shared" si="167"/>
        <v>0</v>
      </c>
      <c r="H674" s="45">
        <f t="shared" si="170"/>
        <v>1</v>
      </c>
      <c r="I674" s="152">
        <v>8</v>
      </c>
      <c r="J674" s="151" t="s">
        <v>271</v>
      </c>
      <c r="K674" s="113"/>
      <c r="L674" s="124" t="s">
        <v>270</v>
      </c>
      <c r="M674" s="124"/>
      <c r="N674" s="93">
        <v>4</v>
      </c>
      <c r="O674" s="93"/>
      <c r="P674" s="111"/>
      <c r="Q674" s="111"/>
      <c r="R674" s="111"/>
      <c r="S674" s="111"/>
      <c r="U674" s="41" t="str">
        <f t="shared" si="171"/>
        <v>BCV131</v>
      </c>
      <c r="V674" s="41"/>
      <c r="W674" s="92" t="str">
        <f t="shared" si="164"/>
        <v>2.18\0.1:8</v>
      </c>
      <c r="X674" s="92" t="s">
        <v>227</v>
      </c>
      <c r="Y674" s="94">
        <v>0</v>
      </c>
      <c r="Z674" s="44"/>
      <c r="AC674" s="44"/>
      <c r="AD674" s="44"/>
      <c r="AE674" s="41"/>
      <c r="AF674" s="41"/>
      <c r="AG674" s="41"/>
      <c r="AH674" s="43"/>
    </row>
    <row r="675" spans="1:41" x14ac:dyDescent="0.3">
      <c r="A675" s="10" t="str">
        <f t="shared" si="168"/>
        <v>BSR130</v>
      </c>
      <c r="B675" s="10" t="str">
        <f t="shared" si="169"/>
        <v>DX02</v>
      </c>
      <c r="C675" s="46"/>
      <c r="D675" s="102"/>
      <c r="E675" s="102">
        <f t="shared" si="166"/>
        <v>2</v>
      </c>
      <c r="F675" s="102">
        <f t="shared" si="165"/>
        <v>18</v>
      </c>
      <c r="G675" s="102">
        <f t="shared" si="167"/>
        <v>0</v>
      </c>
      <c r="H675" s="45">
        <f t="shared" si="170"/>
        <v>1</v>
      </c>
      <c r="I675" s="152">
        <v>1</v>
      </c>
      <c r="J675" s="155" t="s">
        <v>269</v>
      </c>
      <c r="K675" s="113"/>
      <c r="L675" s="124" t="s">
        <v>261</v>
      </c>
      <c r="M675" s="124"/>
      <c r="N675" s="93">
        <v>4</v>
      </c>
      <c r="O675" s="93"/>
      <c r="P675" s="92" t="s">
        <v>268</v>
      </c>
      <c r="R675" s="92" t="s">
        <v>267</v>
      </c>
      <c r="S675" s="92" t="s">
        <v>234</v>
      </c>
      <c r="U675" s="41" t="str">
        <f t="shared" si="171"/>
        <v>BCV131</v>
      </c>
      <c r="V675" s="41"/>
      <c r="W675" s="92" t="str">
        <f t="shared" si="164"/>
        <v>2.18\0.1:1</v>
      </c>
      <c r="X675" s="92" t="s">
        <v>227</v>
      </c>
      <c r="Y675" s="94">
        <v>0</v>
      </c>
      <c r="Z675" s="44"/>
      <c r="AC675" s="44"/>
      <c r="AD675" s="44"/>
      <c r="AE675" s="41"/>
      <c r="AF675" s="41"/>
      <c r="AG675" s="41"/>
      <c r="AH675" s="43"/>
    </row>
    <row r="676" spans="1:41" x14ac:dyDescent="0.3">
      <c r="A676" s="10" t="str">
        <f t="shared" si="168"/>
        <v>BSR130</v>
      </c>
      <c r="B676" s="10" t="str">
        <f t="shared" si="169"/>
        <v>DX02</v>
      </c>
      <c r="C676" s="46"/>
      <c r="D676" s="102"/>
      <c r="E676" s="102">
        <f t="shared" si="166"/>
        <v>2</v>
      </c>
      <c r="F676" s="102">
        <f t="shared" si="165"/>
        <v>18</v>
      </c>
      <c r="G676" s="102">
        <f t="shared" si="167"/>
        <v>0</v>
      </c>
      <c r="H676" s="45">
        <f t="shared" si="170"/>
        <v>1</v>
      </c>
      <c r="I676" s="152">
        <v>2</v>
      </c>
      <c r="J676" s="151" t="s">
        <v>266</v>
      </c>
      <c r="K676" s="113"/>
      <c r="L676" s="124" t="s">
        <v>261</v>
      </c>
      <c r="M676" s="124"/>
      <c r="N676" s="93">
        <v>4</v>
      </c>
      <c r="O676" s="93"/>
      <c r="P676" s="92" t="s">
        <v>265</v>
      </c>
      <c r="R676" s="92" t="s">
        <v>264</v>
      </c>
      <c r="S676" s="92" t="s">
        <v>234</v>
      </c>
      <c r="U676" s="41" t="str">
        <f t="shared" si="171"/>
        <v>BCV131</v>
      </c>
      <c r="V676" s="41"/>
      <c r="W676" s="92" t="str">
        <f t="shared" si="164"/>
        <v>2.18\0.1:2</v>
      </c>
      <c r="X676" s="92" t="s">
        <v>227</v>
      </c>
      <c r="Y676" s="94">
        <v>0</v>
      </c>
      <c r="Z676" s="44"/>
      <c r="AA676" s="96"/>
      <c r="AB676" s="96"/>
      <c r="AC676" s="44"/>
      <c r="AD676" s="44"/>
      <c r="AE676" s="41"/>
      <c r="AF676" s="41"/>
      <c r="AG676" s="41"/>
      <c r="AH676" s="43"/>
    </row>
    <row r="677" spans="1:41" x14ac:dyDescent="0.3">
      <c r="A677" s="10" t="str">
        <f t="shared" si="168"/>
        <v>BSR130</v>
      </c>
      <c r="B677" s="10" t="str">
        <f t="shared" si="169"/>
        <v>DX02</v>
      </c>
      <c r="C677" s="46"/>
      <c r="D677" s="102"/>
      <c r="E677" s="102">
        <f t="shared" si="166"/>
        <v>2</v>
      </c>
      <c r="F677" s="102">
        <f t="shared" si="165"/>
        <v>18</v>
      </c>
      <c r="G677" s="102">
        <f t="shared" si="167"/>
        <v>0</v>
      </c>
      <c r="H677" s="45">
        <f t="shared" si="170"/>
        <v>1</v>
      </c>
      <c r="I677" s="152">
        <v>3</v>
      </c>
      <c r="J677" s="151" t="s">
        <v>263</v>
      </c>
      <c r="K677" s="113"/>
      <c r="L677" s="124" t="s">
        <v>261</v>
      </c>
      <c r="M677" s="124"/>
      <c r="N677" s="93">
        <v>4</v>
      </c>
      <c r="O677" s="93"/>
      <c r="P677" s="111"/>
      <c r="Q677" s="111"/>
      <c r="R677" s="111"/>
      <c r="S677" s="111"/>
      <c r="T677" s="41"/>
      <c r="U677" s="41" t="str">
        <f t="shared" si="171"/>
        <v>BCV131</v>
      </c>
      <c r="V677" s="41"/>
      <c r="W677" s="92" t="str">
        <f t="shared" si="164"/>
        <v>2.18\0.1:3</v>
      </c>
      <c r="X677" s="92" t="s">
        <v>227</v>
      </c>
      <c r="Y677" s="94">
        <v>0</v>
      </c>
      <c r="Z677" s="44"/>
      <c r="AC677" s="44"/>
      <c r="AD677" s="44"/>
      <c r="AE677" s="41"/>
      <c r="AF677" s="41"/>
      <c r="AG677" s="41"/>
      <c r="AH677" s="43"/>
    </row>
    <row r="678" spans="1:41" ht="13.5" thickBot="1" x14ac:dyDescent="0.35">
      <c r="A678" s="10" t="str">
        <f t="shared" si="168"/>
        <v>BSR130</v>
      </c>
      <c r="B678" s="10" t="str">
        <f t="shared" si="169"/>
        <v>DX02</v>
      </c>
      <c r="C678" s="46"/>
      <c r="D678" s="102"/>
      <c r="E678" s="102">
        <f t="shared" si="166"/>
        <v>2</v>
      </c>
      <c r="F678" s="102">
        <f t="shared" si="165"/>
        <v>18</v>
      </c>
      <c r="G678" s="102">
        <f t="shared" si="167"/>
        <v>0</v>
      </c>
      <c r="H678" s="45">
        <f t="shared" si="170"/>
        <v>1</v>
      </c>
      <c r="I678" s="150">
        <v>4</v>
      </c>
      <c r="J678" s="151" t="s">
        <v>262</v>
      </c>
      <c r="K678" s="113"/>
      <c r="L678" s="124" t="s">
        <v>261</v>
      </c>
      <c r="M678" s="124"/>
      <c r="N678" s="93">
        <v>4</v>
      </c>
      <c r="O678" s="93"/>
      <c r="P678" s="111"/>
      <c r="Q678" s="111"/>
      <c r="R678" s="111"/>
      <c r="S678" s="111"/>
      <c r="T678" s="41"/>
      <c r="U678" s="41" t="str">
        <f t="shared" si="171"/>
        <v>BCV131</v>
      </c>
      <c r="V678" s="41"/>
      <c r="W678" s="92" t="str">
        <f t="shared" si="164"/>
        <v>2.18\0.1:4</v>
      </c>
      <c r="X678" s="92" t="s">
        <v>227</v>
      </c>
      <c r="Y678" s="94">
        <v>0</v>
      </c>
      <c r="Z678" s="44"/>
      <c r="AC678" s="44"/>
      <c r="AD678" s="44"/>
      <c r="AE678" s="41"/>
      <c r="AF678" s="41"/>
      <c r="AG678" s="41"/>
      <c r="AH678" s="43"/>
    </row>
    <row r="679" spans="1:41" x14ac:dyDescent="0.3">
      <c r="A679" s="10" t="str">
        <f t="shared" si="168"/>
        <v>BSR130</v>
      </c>
      <c r="B679" s="10" t="str">
        <f t="shared" si="169"/>
        <v>DX02</v>
      </c>
      <c r="C679" s="41"/>
      <c r="D679" s="102"/>
      <c r="E679" s="102">
        <f t="shared" si="166"/>
        <v>2</v>
      </c>
      <c r="F679" s="102">
        <f t="shared" si="165"/>
        <v>18</v>
      </c>
      <c r="G679" s="102">
        <f t="shared" si="167"/>
        <v>0</v>
      </c>
      <c r="H679" s="45">
        <v>2</v>
      </c>
      <c r="I679" s="154" t="s">
        <v>260</v>
      </c>
      <c r="J679" s="153" t="s">
        <v>53</v>
      </c>
      <c r="K679" s="113" t="s">
        <v>259</v>
      </c>
      <c r="L679" s="105" t="s">
        <v>242</v>
      </c>
      <c r="M679" s="105"/>
      <c r="N679" s="93">
        <v>4</v>
      </c>
      <c r="O679" s="93"/>
      <c r="P679" s="41" t="s">
        <v>258</v>
      </c>
      <c r="Q679" s="41"/>
      <c r="R679" s="33" t="s">
        <v>252</v>
      </c>
      <c r="S679" s="92" t="s">
        <v>18</v>
      </c>
      <c r="T679" s="41"/>
      <c r="U679" s="41" t="str">
        <f t="shared" si="171"/>
        <v>BCV131</v>
      </c>
      <c r="V679" s="41"/>
      <c r="W679" s="92" t="str">
        <f t="shared" si="164"/>
        <v>2.18\0.2:1A</v>
      </c>
      <c r="X679" s="92" t="s">
        <v>227</v>
      </c>
      <c r="Y679" s="94">
        <v>0</v>
      </c>
      <c r="Z679" s="44" t="s">
        <v>245</v>
      </c>
      <c r="AC679" s="44"/>
      <c r="AD679" s="44"/>
      <c r="AE679" s="41"/>
      <c r="AF679" s="41"/>
      <c r="AG679" s="41"/>
      <c r="AH679" s="43"/>
    </row>
    <row r="680" spans="1:41" x14ac:dyDescent="0.3">
      <c r="A680" s="10" t="str">
        <f t="shared" si="168"/>
        <v>BSR130</v>
      </c>
      <c r="B680" s="10" t="str">
        <f t="shared" si="169"/>
        <v>DX02</v>
      </c>
      <c r="C680" s="93"/>
      <c r="D680" s="102"/>
      <c r="E680" s="102">
        <f t="shared" si="166"/>
        <v>2</v>
      </c>
      <c r="F680" s="102">
        <f t="shared" si="165"/>
        <v>18</v>
      </c>
      <c r="G680" s="102">
        <f t="shared" si="167"/>
        <v>0</v>
      </c>
      <c r="H680" s="45">
        <f t="shared" ref="H680:H686" si="172">+H679</f>
        <v>2</v>
      </c>
      <c r="I680" s="152" t="s">
        <v>257</v>
      </c>
      <c r="J680" s="151" t="s">
        <v>49</v>
      </c>
      <c r="K680" s="113">
        <v>6026143</v>
      </c>
      <c r="L680" s="105" t="s">
        <v>242</v>
      </c>
      <c r="M680" s="105"/>
      <c r="N680" s="93">
        <v>4</v>
      </c>
      <c r="O680" s="93"/>
      <c r="P680" s="41" t="s">
        <v>256</v>
      </c>
      <c r="Q680" s="41"/>
      <c r="R680" s="33" t="s">
        <v>252</v>
      </c>
      <c r="S680" s="92" t="s">
        <v>18</v>
      </c>
      <c r="T680" s="41"/>
      <c r="U680" s="41" t="str">
        <f t="shared" si="171"/>
        <v>BCV131</v>
      </c>
      <c r="V680" s="41"/>
      <c r="W680" s="92" t="str">
        <f t="shared" si="164"/>
        <v>2.18\0.2:1B</v>
      </c>
      <c r="X680" s="92" t="s">
        <v>227</v>
      </c>
      <c r="Y680" s="94">
        <v>0</v>
      </c>
      <c r="Z680" s="44" t="s">
        <v>240</v>
      </c>
      <c r="AC680" s="44"/>
      <c r="AD680" s="44"/>
      <c r="AE680" s="41"/>
      <c r="AF680" s="41"/>
      <c r="AG680" s="41"/>
      <c r="AH680" s="43"/>
    </row>
    <row r="681" spans="1:41" x14ac:dyDescent="0.3">
      <c r="A681" s="10" t="str">
        <f t="shared" si="168"/>
        <v>BSR130</v>
      </c>
      <c r="B681" s="10" t="str">
        <f t="shared" si="169"/>
        <v>DX02</v>
      </c>
      <c r="C681" s="93"/>
      <c r="D681" s="102"/>
      <c r="E681" s="102">
        <f t="shared" si="166"/>
        <v>2</v>
      </c>
      <c r="F681" s="102">
        <f t="shared" si="165"/>
        <v>18</v>
      </c>
      <c r="G681" s="102">
        <f t="shared" si="167"/>
        <v>0</v>
      </c>
      <c r="H681" s="45">
        <f t="shared" si="172"/>
        <v>2</v>
      </c>
      <c r="I681" s="152" t="s">
        <v>255</v>
      </c>
      <c r="J681" s="151" t="s">
        <v>254</v>
      </c>
      <c r="K681" s="113"/>
      <c r="L681" s="105" t="s">
        <v>237</v>
      </c>
      <c r="M681" s="105"/>
      <c r="N681" s="93">
        <v>4</v>
      </c>
      <c r="O681" s="93"/>
      <c r="P681" s="41" t="s">
        <v>253</v>
      </c>
      <c r="Q681" s="41"/>
      <c r="R681" s="33" t="s">
        <v>252</v>
      </c>
      <c r="S681" s="92" t="s">
        <v>234</v>
      </c>
      <c r="T681" s="41"/>
      <c r="U681" s="41" t="str">
        <f t="shared" si="171"/>
        <v>BCV131</v>
      </c>
      <c r="V681" s="41"/>
      <c r="W681" s="92" t="str">
        <f t="shared" si="164"/>
        <v>2.18\0.2:1C</v>
      </c>
      <c r="X681" s="92" t="s">
        <v>227</v>
      </c>
      <c r="Y681" s="94">
        <v>0</v>
      </c>
      <c r="Z681" s="44"/>
      <c r="AC681" s="44"/>
      <c r="AD681" s="44"/>
      <c r="AE681" s="41"/>
      <c r="AF681" s="41"/>
      <c r="AG681" s="41"/>
      <c r="AH681" s="43"/>
    </row>
    <row r="682" spans="1:41" x14ac:dyDescent="0.3">
      <c r="A682" s="10" t="str">
        <f t="shared" si="168"/>
        <v>BSR130</v>
      </c>
      <c r="B682" s="10" t="str">
        <f t="shared" si="169"/>
        <v>DX02</v>
      </c>
      <c r="C682" s="93"/>
      <c r="D682" s="102"/>
      <c r="E682" s="102">
        <f t="shared" si="166"/>
        <v>2</v>
      </c>
      <c r="F682" s="102">
        <f t="shared" si="165"/>
        <v>18</v>
      </c>
      <c r="G682" s="102">
        <f t="shared" si="167"/>
        <v>0</v>
      </c>
      <c r="H682" s="45">
        <f t="shared" si="172"/>
        <v>2</v>
      </c>
      <c r="I682" s="152" t="s">
        <v>251</v>
      </c>
      <c r="J682" s="151" t="s">
        <v>250</v>
      </c>
      <c r="K682" s="113"/>
      <c r="L682" s="105" t="s">
        <v>231</v>
      </c>
      <c r="M682" s="105"/>
      <c r="N682" s="93">
        <v>4</v>
      </c>
      <c r="O682" s="93"/>
      <c r="P682" s="41" t="s">
        <v>249</v>
      </c>
      <c r="Q682" s="41"/>
      <c r="R682" s="41" t="s">
        <v>248</v>
      </c>
      <c r="S682" s="92" t="s">
        <v>228</v>
      </c>
      <c r="T682" s="41"/>
      <c r="U682" s="41" t="str">
        <f t="shared" si="171"/>
        <v>BCV131</v>
      </c>
      <c r="V682" s="41"/>
      <c r="W682" s="92" t="str">
        <f t="shared" si="164"/>
        <v>2.18\0.2:1M</v>
      </c>
      <c r="X682" s="92" t="s">
        <v>227</v>
      </c>
      <c r="Y682" s="94">
        <v>0</v>
      </c>
      <c r="Z682" s="44"/>
      <c r="AC682" s="44"/>
      <c r="AD682" s="44"/>
      <c r="AE682" s="41"/>
      <c r="AF682" s="41"/>
      <c r="AG682" s="41"/>
      <c r="AH682" s="43"/>
    </row>
    <row r="683" spans="1:41" x14ac:dyDescent="0.3">
      <c r="A683" s="10" t="str">
        <f t="shared" si="168"/>
        <v>BSR130</v>
      </c>
      <c r="B683" s="10" t="str">
        <f t="shared" si="169"/>
        <v>DX02</v>
      </c>
      <c r="C683" s="93"/>
      <c r="D683" s="102"/>
      <c r="E683" s="102">
        <f t="shared" si="166"/>
        <v>2</v>
      </c>
      <c r="F683" s="102">
        <f t="shared" si="165"/>
        <v>18</v>
      </c>
      <c r="G683" s="102">
        <f t="shared" si="167"/>
        <v>0</v>
      </c>
      <c r="H683" s="45">
        <f t="shared" si="172"/>
        <v>2</v>
      </c>
      <c r="I683" s="152" t="s">
        <v>247</v>
      </c>
      <c r="J683" s="151" t="s">
        <v>44</v>
      </c>
      <c r="K683" s="113"/>
      <c r="L683" s="105" t="s">
        <v>242</v>
      </c>
      <c r="M683" s="105"/>
      <c r="N683" s="93">
        <v>4</v>
      </c>
      <c r="O683" s="93"/>
      <c r="P683" s="41" t="s">
        <v>246</v>
      </c>
      <c r="Q683" s="41"/>
      <c r="R683" s="33" t="s">
        <v>235</v>
      </c>
      <c r="S683" s="92" t="s">
        <v>18</v>
      </c>
      <c r="T683" s="41"/>
      <c r="U683" s="41" t="str">
        <f t="shared" si="171"/>
        <v>BCV131</v>
      </c>
      <c r="V683" s="41"/>
      <c r="W683" s="92" t="str">
        <f t="shared" si="164"/>
        <v>2.18\0.2:2A</v>
      </c>
      <c r="X683" s="92" t="s">
        <v>227</v>
      </c>
      <c r="Y683" s="94">
        <v>0</v>
      </c>
      <c r="Z683" s="44" t="s">
        <v>245</v>
      </c>
      <c r="AC683" s="44"/>
      <c r="AD683" s="44"/>
      <c r="AE683" s="41"/>
      <c r="AF683" s="41"/>
      <c r="AG683" s="41"/>
      <c r="AH683" s="43"/>
    </row>
    <row r="684" spans="1:41" x14ac:dyDescent="0.3">
      <c r="A684" s="10" t="str">
        <f t="shared" si="168"/>
        <v>BSR130</v>
      </c>
      <c r="B684" s="10" t="str">
        <f t="shared" si="169"/>
        <v>DX02</v>
      </c>
      <c r="C684" s="93"/>
      <c r="D684" s="102"/>
      <c r="E684" s="102">
        <f t="shared" si="166"/>
        <v>2</v>
      </c>
      <c r="F684" s="102">
        <f t="shared" si="165"/>
        <v>18</v>
      </c>
      <c r="G684" s="102">
        <f t="shared" si="167"/>
        <v>0</v>
      </c>
      <c r="H684" s="45">
        <f t="shared" si="172"/>
        <v>2</v>
      </c>
      <c r="I684" s="152" t="s">
        <v>244</v>
      </c>
      <c r="J684" s="151" t="s">
        <v>243</v>
      </c>
      <c r="K684" s="113"/>
      <c r="L684" s="105" t="s">
        <v>242</v>
      </c>
      <c r="M684" s="105"/>
      <c r="N684" s="93">
        <v>4</v>
      </c>
      <c r="O684" s="93"/>
      <c r="P684" s="41" t="s">
        <v>241</v>
      </c>
      <c r="Q684" s="41"/>
      <c r="R684" s="33" t="s">
        <v>235</v>
      </c>
      <c r="S684" s="92" t="s">
        <v>18</v>
      </c>
      <c r="T684" s="41"/>
      <c r="U684" s="41" t="str">
        <f t="shared" si="171"/>
        <v>BCV131</v>
      </c>
      <c r="V684" s="41"/>
      <c r="W684" s="92" t="str">
        <f t="shared" si="164"/>
        <v>2.18\0.2:2B</v>
      </c>
      <c r="X684" s="92" t="s">
        <v>227</v>
      </c>
      <c r="Y684" s="94">
        <v>0</v>
      </c>
      <c r="Z684" s="44" t="s">
        <v>240</v>
      </c>
      <c r="AC684" s="44"/>
      <c r="AD684" s="44"/>
      <c r="AE684" s="41"/>
      <c r="AF684" s="41"/>
      <c r="AG684" s="41"/>
      <c r="AH684" s="43"/>
    </row>
    <row r="685" spans="1:41" x14ac:dyDescent="0.3">
      <c r="A685" s="10" t="str">
        <f t="shared" si="168"/>
        <v>BSR130</v>
      </c>
      <c r="B685" s="10" t="str">
        <f t="shared" si="169"/>
        <v>DX02</v>
      </c>
      <c r="C685" s="93"/>
      <c r="D685" s="102"/>
      <c r="E685" s="102">
        <f t="shared" si="166"/>
        <v>2</v>
      </c>
      <c r="F685" s="102">
        <f t="shared" si="165"/>
        <v>18</v>
      </c>
      <c r="G685" s="102">
        <f t="shared" si="167"/>
        <v>0</v>
      </c>
      <c r="H685" s="45">
        <f t="shared" si="172"/>
        <v>2</v>
      </c>
      <c r="I685" s="152" t="s">
        <v>239</v>
      </c>
      <c r="J685" s="151" t="s">
        <v>238</v>
      </c>
      <c r="K685" s="44"/>
      <c r="L685" s="105" t="s">
        <v>237</v>
      </c>
      <c r="M685" s="105"/>
      <c r="N685" s="93">
        <v>4</v>
      </c>
      <c r="O685" s="93"/>
      <c r="P685" s="41" t="s">
        <v>236</v>
      </c>
      <c r="Q685" s="41"/>
      <c r="R685" s="33" t="s">
        <v>235</v>
      </c>
      <c r="S685" s="92" t="s">
        <v>234</v>
      </c>
      <c r="T685" s="41"/>
      <c r="U685" s="41" t="str">
        <f t="shared" si="171"/>
        <v>BCV131</v>
      </c>
      <c r="V685" s="41"/>
      <c r="W685" s="92" t="str">
        <f t="shared" si="164"/>
        <v>2.18\0.2:2C</v>
      </c>
      <c r="X685" s="92" t="s">
        <v>227</v>
      </c>
      <c r="Y685" s="94">
        <v>0</v>
      </c>
      <c r="Z685" s="92"/>
      <c r="AC685" s="44"/>
      <c r="AD685" s="44"/>
      <c r="AE685" s="41"/>
      <c r="AF685" s="41"/>
      <c r="AG685" s="41"/>
      <c r="AH685" s="43"/>
    </row>
    <row r="686" spans="1:41" ht="13.5" thickBot="1" x14ac:dyDescent="0.35">
      <c r="A686" s="10" t="str">
        <f t="shared" si="168"/>
        <v>BSR130</v>
      </c>
      <c r="B686" s="10" t="str">
        <f t="shared" si="169"/>
        <v>DX02</v>
      </c>
      <c r="C686" s="93"/>
      <c r="D686" s="102"/>
      <c r="E686" s="102">
        <f t="shared" si="166"/>
        <v>2</v>
      </c>
      <c r="F686" s="102">
        <f t="shared" si="165"/>
        <v>18</v>
      </c>
      <c r="G686" s="102">
        <f t="shared" si="167"/>
        <v>0</v>
      </c>
      <c r="H686" s="45">
        <f t="shared" si="172"/>
        <v>2</v>
      </c>
      <c r="I686" s="150" t="s">
        <v>233</v>
      </c>
      <c r="J686" s="149" t="s">
        <v>232</v>
      </c>
      <c r="K686" s="44"/>
      <c r="L686" s="105" t="s">
        <v>231</v>
      </c>
      <c r="M686" s="105"/>
      <c r="N686" s="93">
        <v>4</v>
      </c>
      <c r="O686" s="93"/>
      <c r="P686" s="41" t="s">
        <v>230</v>
      </c>
      <c r="Q686" s="41"/>
      <c r="R686" s="41" t="s">
        <v>229</v>
      </c>
      <c r="S686" s="92" t="s">
        <v>228</v>
      </c>
      <c r="T686" s="41"/>
      <c r="U686" s="41" t="str">
        <f t="shared" si="171"/>
        <v>BCV131</v>
      </c>
      <c r="V686" s="41"/>
      <c r="W686" s="92" t="str">
        <f t="shared" si="164"/>
        <v>2.18\0.2:2M</v>
      </c>
      <c r="X686" s="92" t="s">
        <v>227</v>
      </c>
      <c r="Y686" s="94">
        <v>0</v>
      </c>
      <c r="Z686" s="44"/>
      <c r="AC686" s="44"/>
      <c r="AD686" s="44"/>
      <c r="AE686" s="41"/>
      <c r="AF686" s="41"/>
      <c r="AG686" s="41"/>
      <c r="AH686" s="43"/>
    </row>
    <row r="687" spans="1:41" x14ac:dyDescent="0.3">
      <c r="A687" s="96"/>
      <c r="B687" s="96"/>
      <c r="C687" s="96"/>
      <c r="D687" s="96"/>
      <c r="E687" s="103"/>
      <c r="F687" s="96"/>
      <c r="G687" s="96"/>
      <c r="H687" s="96"/>
      <c r="I687" s="96"/>
      <c r="J687" s="96"/>
      <c r="L687" s="96"/>
      <c r="M687" s="96"/>
      <c r="P687" s="96"/>
      <c r="Q687" s="96"/>
      <c r="R687" s="96"/>
      <c r="S687" s="96"/>
      <c r="T687" s="96"/>
      <c r="U687" s="96"/>
      <c r="V687" s="96"/>
      <c r="W687" s="96"/>
    </row>
    <row r="688" spans="1:41" ht="13.5" thickBot="1" x14ac:dyDescent="0.35">
      <c r="A688" s="96"/>
      <c r="B688" s="96"/>
      <c r="C688" s="96"/>
      <c r="D688" s="96"/>
      <c r="E688" s="103"/>
      <c r="F688" s="96"/>
      <c r="G688" s="96"/>
      <c r="H688" s="96"/>
      <c r="I688" s="113"/>
      <c r="J688" s="113"/>
      <c r="K688" s="113"/>
      <c r="L688" s="105"/>
      <c r="M688" s="105"/>
      <c r="N688" s="92"/>
      <c r="O688" s="92"/>
      <c r="P688" s="93"/>
      <c r="Q688" s="93"/>
      <c r="S688" s="93"/>
      <c r="U688" s="102"/>
      <c r="X688" s="92"/>
      <c r="AC688" s="96"/>
      <c r="AD688" s="95"/>
      <c r="AM688" s="93"/>
      <c r="AN688" s="93"/>
      <c r="AO688" s="93"/>
    </row>
    <row r="689" spans="1:41" ht="15" thickBot="1" x14ac:dyDescent="0.4">
      <c r="A689" s="96"/>
      <c r="B689" s="96"/>
      <c r="C689" s="96"/>
      <c r="D689" s="96">
        <v>130</v>
      </c>
      <c r="E689" s="103"/>
      <c r="F689" s="96"/>
      <c r="G689" s="96"/>
      <c r="H689" s="96"/>
      <c r="I689" s="146"/>
      <c r="J689" s="145"/>
      <c r="L689" s="142" t="s">
        <v>117</v>
      </c>
      <c r="M689" s="96"/>
      <c r="P689" s="41"/>
      <c r="Q689" s="41"/>
      <c r="R689" s="33" t="s">
        <v>226</v>
      </c>
      <c r="S689" s="96"/>
      <c r="T689" s="147" t="s">
        <v>221</v>
      </c>
      <c r="U689" s="93" t="s">
        <v>217</v>
      </c>
      <c r="V689" s="96"/>
      <c r="W689" s="96"/>
      <c r="X689" s="92" t="s">
        <v>216</v>
      </c>
      <c r="AH689" s="141" t="s">
        <v>220</v>
      </c>
      <c r="AI689" s="141" t="s">
        <v>225</v>
      </c>
      <c r="AJ689" s="141" t="s">
        <v>224</v>
      </c>
      <c r="AK689" s="141" t="s">
        <v>223</v>
      </c>
      <c r="AL689" s="148">
        <v>4</v>
      </c>
      <c r="AM689" s="93"/>
      <c r="AN689" s="93"/>
      <c r="AO689" s="93"/>
    </row>
    <row r="690" spans="1:41" ht="15" thickBot="1" x14ac:dyDescent="0.4">
      <c r="A690" s="96"/>
      <c r="B690" s="96"/>
      <c r="C690" s="96"/>
      <c r="D690" s="96">
        <v>130</v>
      </c>
      <c r="E690" s="103"/>
      <c r="F690" s="96"/>
      <c r="G690" s="96"/>
      <c r="H690" s="96"/>
      <c r="I690" s="146"/>
      <c r="J690" s="145"/>
      <c r="L690" s="142" t="s">
        <v>117</v>
      </c>
      <c r="M690" s="96"/>
      <c r="P690" s="41"/>
      <c r="Q690" s="41"/>
      <c r="R690" s="33" t="s">
        <v>222</v>
      </c>
      <c r="S690" s="96"/>
      <c r="T690" s="147" t="s">
        <v>221</v>
      </c>
      <c r="U690" s="93" t="s">
        <v>217</v>
      </c>
      <c r="V690" s="96"/>
      <c r="W690" s="96"/>
      <c r="X690" s="92" t="s">
        <v>216</v>
      </c>
      <c r="AH690" s="141" t="s">
        <v>220</v>
      </c>
      <c r="AI690" s="148">
        <v>5</v>
      </c>
      <c r="AJ690" s="148">
        <v>6</v>
      </c>
      <c r="AK690" s="148">
        <v>7</v>
      </c>
      <c r="AL690" s="148">
        <v>8</v>
      </c>
      <c r="AM690" s="93"/>
      <c r="AN690" s="93"/>
      <c r="AO690" s="93"/>
    </row>
    <row r="691" spans="1:41" ht="15" thickBot="1" x14ac:dyDescent="0.4">
      <c r="A691" s="96"/>
      <c r="B691" s="96"/>
      <c r="C691" s="96"/>
      <c r="D691" s="96">
        <v>130</v>
      </c>
      <c r="E691" s="103"/>
      <c r="F691" s="96"/>
      <c r="G691" s="96"/>
      <c r="H691" s="96"/>
      <c r="I691" s="146"/>
      <c r="J691" s="145"/>
      <c r="L691" s="142" t="s">
        <v>125</v>
      </c>
      <c r="M691" s="96"/>
      <c r="P691" s="41"/>
      <c r="Q691" s="41"/>
      <c r="R691" s="33" t="s">
        <v>219</v>
      </c>
      <c r="S691" s="96"/>
      <c r="T691" s="142" t="s">
        <v>218</v>
      </c>
      <c r="U691" s="93" t="s">
        <v>217</v>
      </c>
      <c r="V691" s="96"/>
      <c r="W691" s="96"/>
      <c r="X691" s="92" t="s">
        <v>216</v>
      </c>
      <c r="AA691" s="96"/>
      <c r="AB691" s="96"/>
      <c r="AH691" s="141" t="str">
        <f>+AH689</f>
        <v>F32</v>
      </c>
      <c r="AI691" s="141" t="s">
        <v>215</v>
      </c>
      <c r="AJ691" s="141" t="s">
        <v>214</v>
      </c>
      <c r="AK691" s="141" t="s">
        <v>213</v>
      </c>
      <c r="AL691" s="148">
        <v>12</v>
      </c>
      <c r="AM691" s="93"/>
      <c r="AN691" s="93"/>
      <c r="AO691" s="93"/>
    </row>
    <row r="692" spans="1:41" ht="15" thickBot="1" x14ac:dyDescent="0.4">
      <c r="A692" s="96"/>
      <c r="B692" s="96"/>
      <c r="C692" s="96"/>
      <c r="D692" s="96"/>
      <c r="E692" s="103"/>
      <c r="F692" s="96"/>
      <c r="G692" s="96"/>
      <c r="H692" s="96"/>
      <c r="I692" s="93"/>
      <c r="J692" s="93"/>
      <c r="L692" s="142"/>
      <c r="M692" s="96"/>
      <c r="P692" s="41"/>
      <c r="Q692" s="41"/>
      <c r="R692" s="33" t="s">
        <v>212</v>
      </c>
      <c r="S692" s="96"/>
      <c r="T692" s="142"/>
      <c r="U692" s="93" t="s">
        <v>200</v>
      </c>
      <c r="V692" s="96"/>
      <c r="W692" s="96"/>
      <c r="X692" s="92"/>
      <c r="AH692" s="141" t="str">
        <f t="shared" ref="AH692:AH704" si="173">+AH691</f>
        <v>F32</v>
      </c>
      <c r="AI692" s="141" t="s">
        <v>211</v>
      </c>
      <c r="AJ692" s="141" t="s">
        <v>210</v>
      </c>
      <c r="AK692" s="141" t="s">
        <v>209</v>
      </c>
      <c r="AL692" s="141" t="s">
        <v>208</v>
      </c>
      <c r="AM692" s="93"/>
      <c r="AN692" s="93"/>
      <c r="AO692" s="93"/>
    </row>
    <row r="693" spans="1:41" ht="15" thickBot="1" x14ac:dyDescent="0.4">
      <c r="A693" s="96"/>
      <c r="B693" s="96"/>
      <c r="C693" s="96"/>
      <c r="D693" s="96">
        <v>130</v>
      </c>
      <c r="E693" s="103"/>
      <c r="F693" s="96"/>
      <c r="G693" s="96"/>
      <c r="H693" s="96"/>
      <c r="I693" s="146"/>
      <c r="J693" s="145"/>
      <c r="L693" s="142" t="s">
        <v>117</v>
      </c>
      <c r="M693" s="96"/>
      <c r="P693" s="41"/>
      <c r="Q693" s="41"/>
      <c r="R693" s="33" t="s">
        <v>207</v>
      </c>
      <c r="S693" s="96"/>
      <c r="T693" s="142" t="s">
        <v>201</v>
      </c>
      <c r="U693" s="93" t="s">
        <v>200</v>
      </c>
      <c r="V693" s="96"/>
      <c r="W693" s="96"/>
      <c r="X693" s="92"/>
      <c r="AH693" s="141" t="str">
        <f t="shared" si="173"/>
        <v>F32</v>
      </c>
      <c r="AI693" s="141" t="s">
        <v>206</v>
      </c>
      <c r="AJ693" s="141" t="s">
        <v>205</v>
      </c>
      <c r="AK693" s="141" t="s">
        <v>204</v>
      </c>
      <c r="AL693" s="141" t="s">
        <v>203</v>
      </c>
      <c r="AM693" s="93"/>
      <c r="AN693" s="93"/>
      <c r="AO693" s="93"/>
    </row>
    <row r="694" spans="1:41" ht="15" thickBot="1" x14ac:dyDescent="0.4">
      <c r="A694" s="96"/>
      <c r="B694" s="96"/>
      <c r="C694" s="96"/>
      <c r="D694" s="96">
        <v>130</v>
      </c>
      <c r="E694" s="103"/>
      <c r="F694" s="96"/>
      <c r="G694" s="96"/>
      <c r="H694" s="96"/>
      <c r="I694" s="146"/>
      <c r="J694" s="145"/>
      <c r="L694" s="142" t="s">
        <v>125</v>
      </c>
      <c r="M694" s="96"/>
      <c r="P694" s="41"/>
      <c r="Q694" s="41"/>
      <c r="R694" s="33" t="s">
        <v>202</v>
      </c>
      <c r="S694" s="96"/>
      <c r="T694" s="142" t="s">
        <v>201</v>
      </c>
      <c r="U694" s="93" t="s">
        <v>200</v>
      </c>
      <c r="V694" s="96"/>
      <c r="W694" s="96"/>
      <c r="X694" s="92"/>
      <c r="AH694" s="141" t="str">
        <f t="shared" si="173"/>
        <v>F32</v>
      </c>
      <c r="AI694" s="141" t="s">
        <v>199</v>
      </c>
      <c r="AJ694" s="141" t="s">
        <v>198</v>
      </c>
      <c r="AK694" s="141" t="s">
        <v>197</v>
      </c>
      <c r="AL694" s="141" t="s">
        <v>196</v>
      </c>
      <c r="AM694" s="93"/>
      <c r="AN694" s="93"/>
      <c r="AO694" s="93"/>
    </row>
    <row r="695" spans="1:41" ht="15" thickBot="1" x14ac:dyDescent="0.4">
      <c r="A695" s="96"/>
      <c r="B695" s="96"/>
      <c r="C695" s="96"/>
      <c r="D695" s="96">
        <v>130</v>
      </c>
      <c r="E695" s="103"/>
      <c r="F695" s="96"/>
      <c r="G695" s="96"/>
      <c r="H695" s="96"/>
      <c r="I695" s="146"/>
      <c r="J695" s="145"/>
      <c r="L695" s="93" t="s">
        <v>117</v>
      </c>
      <c r="M695" s="10"/>
      <c r="N695" s="10"/>
      <c r="O695" s="10"/>
      <c r="P695" s="41"/>
      <c r="Q695" s="41"/>
      <c r="R695" s="33" t="s">
        <v>195</v>
      </c>
      <c r="S695" s="10"/>
      <c r="T695" s="147" t="s">
        <v>188</v>
      </c>
      <c r="U695" s="93" t="s">
        <v>17</v>
      </c>
      <c r="V695" s="10"/>
      <c r="W695" s="10"/>
      <c r="X695" s="92" t="s">
        <v>194</v>
      </c>
      <c r="Y695" s="11"/>
      <c r="Z695" s="10"/>
      <c r="AH695" s="141" t="str">
        <f t="shared" si="173"/>
        <v>F32</v>
      </c>
      <c r="AI695" s="141" t="s">
        <v>193</v>
      </c>
      <c r="AJ695" s="141" t="s">
        <v>192</v>
      </c>
      <c r="AK695" s="141" t="s">
        <v>191</v>
      </c>
      <c r="AL695" s="141" t="s">
        <v>190</v>
      </c>
      <c r="AM695" s="93"/>
      <c r="AN695" s="93"/>
      <c r="AO695" s="93"/>
    </row>
    <row r="696" spans="1:41" ht="15" thickBot="1" x14ac:dyDescent="0.4">
      <c r="A696" s="96"/>
      <c r="B696" s="96"/>
      <c r="C696" s="96"/>
      <c r="D696" s="96">
        <v>130</v>
      </c>
      <c r="E696" s="103"/>
      <c r="F696" s="96"/>
      <c r="G696" s="96"/>
      <c r="H696" s="96"/>
      <c r="I696" s="146"/>
      <c r="J696" s="145"/>
      <c r="L696" s="93" t="s">
        <v>117</v>
      </c>
      <c r="M696" s="10"/>
      <c r="N696" s="10"/>
      <c r="O696" s="10"/>
      <c r="P696" s="41"/>
      <c r="Q696" s="41"/>
      <c r="R696" s="33" t="s">
        <v>189</v>
      </c>
      <c r="S696" s="10"/>
      <c r="T696" s="147" t="s">
        <v>188</v>
      </c>
      <c r="U696" s="93" t="s">
        <v>17</v>
      </c>
      <c r="V696" s="10"/>
      <c r="W696" s="10"/>
      <c r="X696" s="92"/>
      <c r="Y696" s="11"/>
      <c r="Z696" s="10"/>
      <c r="AH696" s="141" t="str">
        <f t="shared" si="173"/>
        <v>F32</v>
      </c>
      <c r="AI696" s="141" t="s">
        <v>187</v>
      </c>
      <c r="AJ696" s="141" t="s">
        <v>186</v>
      </c>
      <c r="AK696" s="141" t="s">
        <v>185</v>
      </c>
      <c r="AL696" s="141" t="s">
        <v>184</v>
      </c>
      <c r="AM696" s="93"/>
      <c r="AN696" s="93"/>
      <c r="AO696" s="93"/>
    </row>
    <row r="697" spans="1:41" ht="15" thickBot="1" x14ac:dyDescent="0.4">
      <c r="A697" s="96"/>
      <c r="B697" s="96"/>
      <c r="C697" s="96"/>
      <c r="D697" s="96">
        <v>130</v>
      </c>
      <c r="E697" s="103"/>
      <c r="F697" s="96"/>
      <c r="G697" s="96"/>
      <c r="H697" s="96"/>
      <c r="I697" s="146"/>
      <c r="J697" s="145"/>
      <c r="L697" s="93" t="s">
        <v>125</v>
      </c>
      <c r="M697" s="10"/>
      <c r="N697" s="10"/>
      <c r="O697" s="10"/>
      <c r="P697" s="41"/>
      <c r="Q697" s="41"/>
      <c r="R697" s="33" t="s">
        <v>183</v>
      </c>
      <c r="S697" s="10"/>
      <c r="T697" s="144" t="s">
        <v>182</v>
      </c>
      <c r="U697" s="93" t="s">
        <v>17</v>
      </c>
      <c r="V697" s="10"/>
      <c r="W697" s="10"/>
      <c r="X697" s="92"/>
      <c r="Y697" s="11"/>
      <c r="Z697" s="10"/>
      <c r="AH697" s="141" t="str">
        <f t="shared" si="173"/>
        <v>F32</v>
      </c>
      <c r="AI697" s="141" t="s">
        <v>181</v>
      </c>
      <c r="AJ697" s="141" t="s">
        <v>180</v>
      </c>
      <c r="AK697" s="141" t="s">
        <v>179</v>
      </c>
      <c r="AL697" s="141" t="s">
        <v>178</v>
      </c>
      <c r="AM697" s="93"/>
      <c r="AN697" s="93"/>
      <c r="AO697" s="93"/>
    </row>
    <row r="698" spans="1:41" ht="15" thickBot="1" x14ac:dyDescent="0.4">
      <c r="A698" s="96"/>
      <c r="B698" s="96"/>
      <c r="C698" s="96"/>
      <c r="D698" s="96">
        <v>130</v>
      </c>
      <c r="E698" s="103"/>
      <c r="F698" s="96"/>
      <c r="G698" s="96"/>
      <c r="H698" s="96"/>
      <c r="I698" s="146"/>
      <c r="J698" s="145"/>
      <c r="L698" s="93" t="s">
        <v>117</v>
      </c>
      <c r="M698" s="10"/>
      <c r="N698" s="10"/>
      <c r="O698" s="10"/>
      <c r="P698" s="41"/>
      <c r="Q698" s="41"/>
      <c r="R698" s="33" t="s">
        <v>177</v>
      </c>
      <c r="S698" s="10"/>
      <c r="T698" s="144" t="s">
        <v>176</v>
      </c>
      <c r="U698" s="93" t="s">
        <v>17</v>
      </c>
      <c r="V698" s="10"/>
      <c r="W698" s="10"/>
      <c r="X698" s="92"/>
      <c r="Y698" s="11"/>
      <c r="Z698" s="10"/>
      <c r="AH698" s="141" t="str">
        <f t="shared" si="173"/>
        <v>F32</v>
      </c>
      <c r="AI698" s="141" t="s">
        <v>175</v>
      </c>
      <c r="AJ698" s="141" t="s">
        <v>174</v>
      </c>
      <c r="AK698" s="141" t="s">
        <v>173</v>
      </c>
      <c r="AL698" s="141" t="s">
        <v>172</v>
      </c>
      <c r="AM698" s="93"/>
      <c r="AN698" s="93"/>
      <c r="AO698" s="93"/>
    </row>
    <row r="699" spans="1:41" ht="15" thickBot="1" x14ac:dyDescent="0.4">
      <c r="A699" s="96"/>
      <c r="B699" s="96"/>
      <c r="C699" s="96"/>
      <c r="D699" s="96">
        <v>130</v>
      </c>
      <c r="E699" s="103"/>
      <c r="F699" s="96"/>
      <c r="G699" s="96"/>
      <c r="H699" s="96"/>
      <c r="I699" s="146"/>
      <c r="J699" s="145"/>
      <c r="L699" s="93" t="s">
        <v>117</v>
      </c>
      <c r="M699" s="10"/>
      <c r="N699" s="10"/>
      <c r="O699" s="10"/>
      <c r="P699" s="41"/>
      <c r="Q699" s="41"/>
      <c r="R699" s="33" t="s">
        <v>171</v>
      </c>
      <c r="S699" s="10"/>
      <c r="T699" s="144" t="s">
        <v>149</v>
      </c>
      <c r="U699" s="93" t="s">
        <v>122</v>
      </c>
      <c r="V699" s="10"/>
      <c r="W699" s="10"/>
      <c r="X699" s="92"/>
      <c r="Y699" s="11"/>
      <c r="Z699" s="10"/>
      <c r="AH699" s="141" t="str">
        <f t="shared" si="173"/>
        <v>F32</v>
      </c>
      <c r="AI699" s="141" t="s">
        <v>170</v>
      </c>
      <c r="AJ699" s="141" t="s">
        <v>169</v>
      </c>
      <c r="AK699" s="141" t="s">
        <v>168</v>
      </c>
      <c r="AL699" s="141" t="s">
        <v>167</v>
      </c>
      <c r="AM699" s="93"/>
      <c r="AN699" s="93"/>
      <c r="AO699" s="93"/>
    </row>
    <row r="700" spans="1:41" ht="15" thickBot="1" x14ac:dyDescent="0.4">
      <c r="A700" s="96"/>
      <c r="B700" s="96"/>
      <c r="C700" s="96"/>
      <c r="D700" s="96">
        <v>130</v>
      </c>
      <c r="E700" s="103"/>
      <c r="F700" s="96"/>
      <c r="G700" s="96"/>
      <c r="H700" s="96"/>
      <c r="I700" s="146"/>
      <c r="J700" s="145"/>
      <c r="L700" s="93" t="s">
        <v>117</v>
      </c>
      <c r="M700" s="10"/>
      <c r="N700" s="10"/>
      <c r="O700" s="10"/>
      <c r="P700" s="41"/>
      <c r="Q700" s="41"/>
      <c r="R700" s="33" t="s">
        <v>166</v>
      </c>
      <c r="S700" s="10"/>
      <c r="T700" s="144" t="s">
        <v>130</v>
      </c>
      <c r="U700" s="93" t="s">
        <v>122</v>
      </c>
      <c r="V700" s="10"/>
      <c r="W700" s="10"/>
      <c r="X700" s="92"/>
      <c r="Y700" s="11"/>
      <c r="Z700" s="10"/>
      <c r="AH700" s="141" t="str">
        <f t="shared" si="173"/>
        <v>F32</v>
      </c>
      <c r="AI700" s="141" t="s">
        <v>165</v>
      </c>
      <c r="AJ700" s="141" t="s">
        <v>164</v>
      </c>
      <c r="AK700" s="141" t="s">
        <v>163</v>
      </c>
      <c r="AL700" s="141" t="s">
        <v>162</v>
      </c>
      <c r="AM700" s="93"/>
      <c r="AN700" s="93"/>
      <c r="AO700" s="93"/>
    </row>
    <row r="701" spans="1:41" ht="15" thickBot="1" x14ac:dyDescent="0.4">
      <c r="A701" s="96"/>
      <c r="B701" s="96"/>
      <c r="C701" s="96"/>
      <c r="D701" s="96">
        <v>130</v>
      </c>
      <c r="E701" s="103"/>
      <c r="F701" s="96"/>
      <c r="G701" s="96"/>
      <c r="H701" s="96"/>
      <c r="I701" s="146"/>
      <c r="J701" s="145"/>
      <c r="L701" s="93" t="s">
        <v>117</v>
      </c>
      <c r="M701" s="10"/>
      <c r="N701" s="10"/>
      <c r="O701" s="10"/>
      <c r="P701" s="41"/>
      <c r="Q701" s="41"/>
      <c r="R701" s="33" t="s">
        <v>161</v>
      </c>
      <c r="S701" s="10"/>
      <c r="T701" s="144" t="s">
        <v>160</v>
      </c>
      <c r="U701" s="93" t="s">
        <v>17</v>
      </c>
      <c r="V701" s="10"/>
      <c r="W701" s="10"/>
      <c r="X701" s="92"/>
      <c r="Y701" s="11"/>
      <c r="Z701" s="10"/>
      <c r="AH701" s="141" t="str">
        <f t="shared" si="173"/>
        <v>F32</v>
      </c>
      <c r="AI701" s="141" t="s">
        <v>159</v>
      </c>
      <c r="AJ701" s="141" t="s">
        <v>158</v>
      </c>
      <c r="AK701" s="141" t="s">
        <v>157</v>
      </c>
      <c r="AL701" s="141" t="s">
        <v>156</v>
      </c>
      <c r="AM701" s="93"/>
      <c r="AN701" s="93"/>
      <c r="AO701" s="93"/>
    </row>
    <row r="702" spans="1:41" ht="14.5" x14ac:dyDescent="0.35">
      <c r="A702" s="96"/>
      <c r="B702" s="96"/>
      <c r="C702" s="96"/>
      <c r="D702" s="96"/>
      <c r="E702" s="103"/>
      <c r="F702" s="96"/>
      <c r="G702" s="96"/>
      <c r="H702" s="96"/>
      <c r="I702" s="93"/>
      <c r="J702" s="93"/>
      <c r="L702" s="93"/>
      <c r="M702" s="10"/>
      <c r="N702" s="10"/>
      <c r="O702" s="10"/>
      <c r="P702" s="41"/>
      <c r="Q702" s="41"/>
      <c r="R702" s="33" t="s">
        <v>155</v>
      </c>
      <c r="S702" s="10"/>
      <c r="T702" s="144"/>
      <c r="U702" s="93"/>
      <c r="V702" s="10"/>
      <c r="W702" s="10"/>
      <c r="X702" s="92"/>
      <c r="Y702" s="11"/>
      <c r="Z702" s="10"/>
      <c r="AH702" s="141" t="str">
        <f t="shared" si="173"/>
        <v>F32</v>
      </c>
      <c r="AI702" s="141" t="s">
        <v>154</v>
      </c>
      <c r="AJ702" s="141" t="s">
        <v>153</v>
      </c>
      <c r="AK702" s="141" t="s">
        <v>152</v>
      </c>
      <c r="AL702" s="141" t="s">
        <v>151</v>
      </c>
      <c r="AM702" s="93"/>
      <c r="AN702" s="93"/>
      <c r="AO702" s="93"/>
    </row>
    <row r="703" spans="1:41" ht="15" thickBot="1" x14ac:dyDescent="0.4">
      <c r="A703" s="96"/>
      <c r="B703" s="96"/>
      <c r="C703" s="96"/>
      <c r="D703" s="96">
        <v>130</v>
      </c>
      <c r="E703" s="103"/>
      <c r="F703" s="96"/>
      <c r="G703" s="96"/>
      <c r="H703" s="96"/>
      <c r="I703" s="93"/>
      <c r="J703" s="93"/>
      <c r="L703" s="93"/>
      <c r="M703" s="10"/>
      <c r="N703" s="10"/>
      <c r="O703" s="10"/>
      <c r="P703" s="41"/>
      <c r="Q703" s="41"/>
      <c r="R703" s="33" t="s">
        <v>150</v>
      </c>
      <c r="S703" s="10"/>
      <c r="T703" s="144" t="s">
        <v>149</v>
      </c>
      <c r="U703" s="93" t="s">
        <v>122</v>
      </c>
      <c r="V703" s="10"/>
      <c r="W703" s="10"/>
      <c r="X703" s="92"/>
      <c r="Y703" s="11"/>
      <c r="Z703" s="10"/>
      <c r="AH703" s="141" t="str">
        <f t="shared" si="173"/>
        <v>F32</v>
      </c>
      <c r="AI703" s="141" t="s">
        <v>148</v>
      </c>
      <c r="AJ703" s="141" t="s">
        <v>147</v>
      </c>
      <c r="AK703" s="141" t="s">
        <v>146</v>
      </c>
      <c r="AL703" s="141" t="s">
        <v>145</v>
      </c>
      <c r="AM703" s="93"/>
      <c r="AN703" s="93"/>
      <c r="AO703" s="93"/>
    </row>
    <row r="704" spans="1:41" ht="15" thickBot="1" x14ac:dyDescent="0.4">
      <c r="A704" s="96"/>
      <c r="B704" s="96"/>
      <c r="C704" s="96"/>
      <c r="D704" s="96">
        <v>130</v>
      </c>
      <c r="E704" s="103"/>
      <c r="F704" s="96"/>
      <c r="G704" s="96"/>
      <c r="H704" s="96"/>
      <c r="I704" s="146"/>
      <c r="J704" s="145"/>
      <c r="L704" s="93" t="s">
        <v>125</v>
      </c>
      <c r="M704" s="10"/>
      <c r="N704" s="10"/>
      <c r="O704" s="10"/>
      <c r="P704" s="41"/>
      <c r="Q704" s="41"/>
      <c r="R704" s="33" t="s">
        <v>144</v>
      </c>
      <c r="S704" s="10"/>
      <c r="T704" s="144" t="s">
        <v>143</v>
      </c>
      <c r="U704" s="93" t="s">
        <v>122</v>
      </c>
      <c r="V704" s="10"/>
      <c r="W704" s="10"/>
      <c r="X704" s="92"/>
      <c r="Y704" s="11"/>
      <c r="Z704" s="10"/>
      <c r="AA704" s="96"/>
      <c r="AB704" s="96"/>
      <c r="AH704" s="141" t="str">
        <f t="shared" si="173"/>
        <v>F32</v>
      </c>
      <c r="AI704" s="141" t="s">
        <v>142</v>
      </c>
      <c r="AJ704" s="141" t="s">
        <v>141</v>
      </c>
      <c r="AK704" s="141" t="s">
        <v>140</v>
      </c>
      <c r="AL704" s="141" t="s">
        <v>139</v>
      </c>
      <c r="AM704" s="93"/>
      <c r="AN704" s="93"/>
      <c r="AO704" s="93"/>
    </row>
    <row r="705" spans="1:41" ht="15" thickBot="1" x14ac:dyDescent="0.4">
      <c r="A705" s="96"/>
      <c r="B705" s="96"/>
      <c r="C705" s="96"/>
      <c r="D705" s="96">
        <v>130</v>
      </c>
      <c r="E705" s="103"/>
      <c r="F705" s="96"/>
      <c r="G705" s="96"/>
      <c r="H705" s="96"/>
      <c r="I705" s="146"/>
      <c r="J705" s="145"/>
      <c r="L705" s="93" t="s">
        <v>138</v>
      </c>
      <c r="M705" s="10"/>
      <c r="N705" s="10"/>
      <c r="O705" s="10"/>
      <c r="P705" s="41"/>
      <c r="Q705" s="41"/>
      <c r="R705" s="33" t="s">
        <v>137</v>
      </c>
      <c r="S705" s="10"/>
      <c r="T705" s="144" t="s">
        <v>136</v>
      </c>
      <c r="U705" s="93" t="s">
        <v>122</v>
      </c>
      <c r="V705" s="10"/>
      <c r="W705" s="10"/>
      <c r="X705" s="92"/>
      <c r="Y705" s="11"/>
      <c r="Z705" s="10"/>
      <c r="AH705" s="141" t="str">
        <f>+AH703</f>
        <v>F32</v>
      </c>
      <c r="AI705" s="141" t="s">
        <v>135</v>
      </c>
      <c r="AJ705" s="141" t="s">
        <v>134</v>
      </c>
      <c r="AK705" s="141" t="s">
        <v>133</v>
      </c>
      <c r="AL705" s="141" t="s">
        <v>132</v>
      </c>
      <c r="AM705" s="93"/>
      <c r="AN705" s="93"/>
      <c r="AO705" s="93"/>
    </row>
    <row r="706" spans="1:41" ht="15" thickBot="1" x14ac:dyDescent="0.4">
      <c r="A706" s="96"/>
      <c r="B706" s="96"/>
      <c r="C706" s="96"/>
      <c r="D706" s="96">
        <v>130</v>
      </c>
      <c r="E706" s="103"/>
      <c r="F706" s="96"/>
      <c r="G706" s="96"/>
      <c r="H706" s="96"/>
      <c r="I706" s="93"/>
      <c r="J706" s="93"/>
      <c r="L706" s="93"/>
      <c r="M706" s="10"/>
      <c r="N706" s="10"/>
      <c r="O706" s="10"/>
      <c r="P706" s="41"/>
      <c r="Q706" s="41"/>
      <c r="R706" s="33" t="s">
        <v>131</v>
      </c>
      <c r="S706" s="10"/>
      <c r="T706" s="144" t="s">
        <v>130</v>
      </c>
      <c r="U706" s="93" t="s">
        <v>122</v>
      </c>
      <c r="V706" s="10"/>
      <c r="W706" s="10"/>
      <c r="X706" s="92"/>
      <c r="Y706" s="11"/>
      <c r="Z706" s="10"/>
      <c r="AA706" s="96"/>
      <c r="AB706" s="96"/>
      <c r="AH706" s="141" t="str">
        <f t="shared" ref="AH706:AH711" si="174">+AH705</f>
        <v>F32</v>
      </c>
      <c r="AI706" s="141" t="s">
        <v>129</v>
      </c>
      <c r="AJ706" s="141" t="s">
        <v>128</v>
      </c>
      <c r="AK706" s="141" t="s">
        <v>127</v>
      </c>
      <c r="AL706" s="141" t="s">
        <v>126</v>
      </c>
      <c r="AM706" s="93"/>
      <c r="AN706" s="93"/>
      <c r="AO706" s="93"/>
    </row>
    <row r="707" spans="1:41" ht="15" thickBot="1" x14ac:dyDescent="0.4">
      <c r="A707" s="96"/>
      <c r="B707" s="96"/>
      <c r="C707" s="96"/>
      <c r="D707" s="96">
        <v>130</v>
      </c>
      <c r="E707" s="103"/>
      <c r="F707" s="96"/>
      <c r="G707" s="96"/>
      <c r="H707" s="96"/>
      <c r="I707" s="146"/>
      <c r="J707" s="145"/>
      <c r="L707" s="93" t="s">
        <v>125</v>
      </c>
      <c r="M707" s="10"/>
      <c r="N707" s="10"/>
      <c r="O707" s="10"/>
      <c r="P707" s="41"/>
      <c r="Q707" s="41"/>
      <c r="R707" s="33" t="s">
        <v>124</v>
      </c>
      <c r="S707" s="10"/>
      <c r="T707" s="144" t="s">
        <v>123</v>
      </c>
      <c r="U707" s="93" t="s">
        <v>122</v>
      </c>
      <c r="V707" s="10"/>
      <c r="W707" s="10"/>
      <c r="X707" s="92"/>
      <c r="Y707" s="11"/>
      <c r="Z707" s="10"/>
      <c r="AA707" s="9"/>
      <c r="AB707" s="9"/>
      <c r="AH707" s="141" t="str">
        <f t="shared" si="174"/>
        <v>F32</v>
      </c>
      <c r="AI707" s="141" t="s">
        <v>121</v>
      </c>
      <c r="AJ707" s="141" t="s">
        <v>120</v>
      </c>
      <c r="AK707" s="141" t="s">
        <v>119</v>
      </c>
      <c r="AL707" s="141" t="s">
        <v>118</v>
      </c>
      <c r="AM707" s="93"/>
      <c r="AN707" s="93"/>
      <c r="AO707" s="93"/>
    </row>
    <row r="708" spans="1:41" ht="15" thickBot="1" x14ac:dyDescent="0.4">
      <c r="A708" s="96"/>
      <c r="B708" s="96"/>
      <c r="C708" s="96"/>
      <c r="D708" s="96">
        <v>130</v>
      </c>
      <c r="E708" s="103"/>
      <c r="F708" s="96"/>
      <c r="G708" s="96"/>
      <c r="H708" s="96"/>
      <c r="I708" s="146"/>
      <c r="J708" s="145"/>
      <c r="L708" s="93" t="s">
        <v>117</v>
      </c>
      <c r="M708" s="10"/>
      <c r="N708" s="10"/>
      <c r="O708" s="10"/>
      <c r="P708" s="41"/>
      <c r="Q708" s="41"/>
      <c r="R708" s="33" t="s">
        <v>116</v>
      </c>
      <c r="S708" s="10"/>
      <c r="T708" s="144" t="s">
        <v>115</v>
      </c>
      <c r="U708" s="93" t="s">
        <v>17</v>
      </c>
      <c r="V708" s="10"/>
      <c r="W708" s="10"/>
      <c r="X708" s="92"/>
      <c r="Y708" s="11"/>
      <c r="Z708" s="10"/>
      <c r="AA708" s="7"/>
      <c r="AB708" s="7"/>
      <c r="AH708" s="141" t="str">
        <f t="shared" si="174"/>
        <v>F32</v>
      </c>
      <c r="AI708" s="141" t="s">
        <v>114</v>
      </c>
      <c r="AJ708" s="141" t="s">
        <v>113</v>
      </c>
      <c r="AK708" s="141" t="s">
        <v>112</v>
      </c>
      <c r="AL708" s="141" t="s">
        <v>111</v>
      </c>
      <c r="AM708" s="93"/>
      <c r="AN708" s="93"/>
      <c r="AO708" s="93"/>
    </row>
    <row r="709" spans="1:41" ht="14.5" x14ac:dyDescent="0.35">
      <c r="A709" s="96"/>
      <c r="B709" s="96"/>
      <c r="C709" s="96"/>
      <c r="D709" s="96"/>
      <c r="E709" s="103"/>
      <c r="F709" s="96"/>
      <c r="G709" s="96"/>
      <c r="H709" s="96"/>
      <c r="I709" s="93"/>
      <c r="J709" s="93"/>
      <c r="L709" s="93"/>
      <c r="M709" s="10"/>
      <c r="N709" s="10"/>
      <c r="O709" s="10"/>
      <c r="P709" s="41"/>
      <c r="Q709" s="41"/>
      <c r="R709" s="33" t="s">
        <v>110</v>
      </c>
      <c r="S709" s="10"/>
      <c r="T709" s="142" t="s">
        <v>106</v>
      </c>
      <c r="U709" s="93"/>
      <c r="V709" s="10"/>
      <c r="W709" s="10"/>
      <c r="X709" s="92"/>
      <c r="Y709" s="11"/>
      <c r="Z709" s="10"/>
      <c r="AA709" s="7"/>
      <c r="AB709" s="7"/>
      <c r="AH709" s="141" t="str">
        <f t="shared" si="174"/>
        <v>F32</v>
      </c>
      <c r="AI709" s="141">
        <v>81</v>
      </c>
      <c r="AJ709" s="141">
        <v>82</v>
      </c>
      <c r="AK709" s="141">
        <v>83</v>
      </c>
      <c r="AL709" s="141">
        <v>84</v>
      </c>
      <c r="AM709" s="93"/>
      <c r="AN709" s="93"/>
      <c r="AO709" s="93"/>
    </row>
    <row r="710" spans="1:41" ht="14.5" x14ac:dyDescent="0.35">
      <c r="A710" s="96"/>
      <c r="B710" s="96"/>
      <c r="C710" s="96"/>
      <c r="D710" s="96"/>
      <c r="E710" s="103"/>
      <c r="F710" s="96"/>
      <c r="G710" s="96"/>
      <c r="H710" s="96"/>
      <c r="I710" s="93"/>
      <c r="J710" s="93"/>
      <c r="L710" s="93"/>
      <c r="M710" s="10"/>
      <c r="N710" s="10"/>
      <c r="O710" s="10"/>
      <c r="P710" s="41"/>
      <c r="Q710" s="41"/>
      <c r="R710" s="143" t="s">
        <v>109</v>
      </c>
      <c r="S710" s="10"/>
      <c r="T710" s="143" t="s">
        <v>106</v>
      </c>
      <c r="U710" s="93"/>
      <c r="V710" s="10"/>
      <c r="W710" s="10"/>
      <c r="X710" s="92"/>
      <c r="Y710" s="11"/>
      <c r="Z710" s="142" t="s">
        <v>108</v>
      </c>
      <c r="AA710" s="7"/>
      <c r="AB710" s="7"/>
      <c r="AH710" s="141" t="str">
        <f t="shared" si="174"/>
        <v>F32</v>
      </c>
      <c r="AI710" s="141">
        <v>85</v>
      </c>
      <c r="AJ710" s="141">
        <v>86</v>
      </c>
      <c r="AK710" s="141">
        <v>87</v>
      </c>
      <c r="AL710" s="141">
        <v>88</v>
      </c>
      <c r="AM710" s="93"/>
      <c r="AN710" s="93"/>
      <c r="AO710" s="93"/>
    </row>
    <row r="711" spans="1:41" ht="14.5" x14ac:dyDescent="0.35">
      <c r="A711" s="96"/>
      <c r="B711" s="96"/>
      <c r="C711" s="96"/>
      <c r="D711" s="96"/>
      <c r="E711" s="103"/>
      <c r="F711" s="96"/>
      <c r="G711" s="96"/>
      <c r="H711" s="96"/>
      <c r="I711" s="93"/>
      <c r="J711" s="93"/>
      <c r="L711" s="93"/>
      <c r="M711" s="10"/>
      <c r="N711" s="10"/>
      <c r="O711" s="10"/>
      <c r="P711" s="41"/>
      <c r="Q711" s="41"/>
      <c r="R711" s="33" t="s">
        <v>107</v>
      </c>
      <c r="S711" s="10"/>
      <c r="T711" s="142" t="s">
        <v>106</v>
      </c>
      <c r="U711" s="93"/>
      <c r="V711" s="10"/>
      <c r="W711" s="10"/>
      <c r="X711" s="92"/>
      <c r="Y711" s="11"/>
      <c r="Z711" s="10"/>
      <c r="AA711" s="7"/>
      <c r="AB711" s="7"/>
      <c r="AH711" s="141" t="str">
        <f t="shared" si="174"/>
        <v>F32</v>
      </c>
      <c r="AI711" s="141">
        <v>89</v>
      </c>
      <c r="AJ711" s="141">
        <v>90</v>
      </c>
      <c r="AK711" s="141">
        <v>91</v>
      </c>
      <c r="AL711" s="141">
        <v>92</v>
      </c>
      <c r="AM711" s="93"/>
      <c r="AN711" s="93"/>
      <c r="AO711" s="93"/>
    </row>
    <row r="712" spans="1:41" ht="13.5" thickBot="1" x14ac:dyDescent="0.35"/>
    <row r="713" spans="1:41" x14ac:dyDescent="0.3">
      <c r="A713" s="96"/>
      <c r="B713" s="92"/>
      <c r="C713" s="93" t="s">
        <v>73</v>
      </c>
      <c r="D713" s="93"/>
      <c r="E713" s="93"/>
      <c r="F713" s="93"/>
      <c r="G713" s="93" t="s">
        <v>2</v>
      </c>
      <c r="H713" s="120">
        <v>1</v>
      </c>
      <c r="I713" s="134">
        <v>1</v>
      </c>
      <c r="J713" s="133" t="s">
        <v>74</v>
      </c>
      <c r="K713" s="113" t="s">
        <v>73</v>
      </c>
      <c r="L713" s="124" t="s">
        <v>21</v>
      </c>
      <c r="M713" s="93"/>
      <c r="N713" s="93">
        <v>4</v>
      </c>
      <c r="O713" s="93"/>
      <c r="P713" s="130" t="s">
        <v>72</v>
      </c>
      <c r="Q713" s="124"/>
      <c r="R713" s="105" t="s">
        <v>40</v>
      </c>
      <c r="S713" s="105" t="s">
        <v>24</v>
      </c>
      <c r="T713" s="32" t="s">
        <v>38</v>
      </c>
      <c r="U713" s="105" t="s">
        <v>105</v>
      </c>
      <c r="X713" s="105" t="s">
        <v>104</v>
      </c>
      <c r="Y713" s="94" t="s">
        <v>4</v>
      </c>
      <c r="Z713" s="92"/>
      <c r="AA713" s="7"/>
      <c r="AB713" s="7"/>
    </row>
    <row r="714" spans="1:41" x14ac:dyDescent="0.3">
      <c r="A714" s="96"/>
      <c r="B714" s="92"/>
      <c r="C714" s="93"/>
      <c r="D714" s="93"/>
      <c r="E714" s="93"/>
      <c r="F714" s="93"/>
      <c r="G714" s="93" t="s">
        <v>2</v>
      </c>
      <c r="H714" s="113">
        <f t="shared" ref="H714:H722" si="175">H713</f>
        <v>1</v>
      </c>
      <c r="I714" s="128">
        <v>2</v>
      </c>
      <c r="J714" s="131" t="s">
        <v>69</v>
      </c>
      <c r="K714" s="107" t="s">
        <v>0</v>
      </c>
      <c r="L714" s="124" t="s">
        <v>21</v>
      </c>
      <c r="M714" s="93"/>
      <c r="N714" s="104">
        <v>5</v>
      </c>
      <c r="O714" s="104"/>
      <c r="P714" s="123" t="s">
        <v>68</v>
      </c>
      <c r="Q714" s="121"/>
      <c r="R714" s="121" t="s">
        <v>40</v>
      </c>
      <c r="S714" s="105" t="s">
        <v>67</v>
      </c>
      <c r="T714" s="32" t="s">
        <v>38</v>
      </c>
      <c r="U714" s="122" t="str">
        <f t="shared" ref="U714:U722" si="176">+U713</f>
        <v>BTN130PP01</v>
      </c>
      <c r="X714" s="105" t="str">
        <f t="shared" ref="X714:X722" si="177">+X713</f>
        <v>BR4-2110-E-00213</v>
      </c>
      <c r="Y714" s="92" t="str">
        <f t="shared" ref="Y714:Y722" si="178">+Y713</f>
        <v>A</v>
      </c>
      <c r="Z714" s="92"/>
      <c r="AA714" s="7"/>
      <c r="AB714" s="7"/>
    </row>
    <row r="715" spans="1:41" x14ac:dyDescent="0.3">
      <c r="A715" s="96"/>
      <c r="B715" s="92"/>
      <c r="C715" s="93"/>
      <c r="D715" s="93"/>
      <c r="E715" s="93"/>
      <c r="F715" s="93"/>
      <c r="G715" s="93" t="s">
        <v>2</v>
      </c>
      <c r="H715" s="113">
        <f t="shared" si="175"/>
        <v>1</v>
      </c>
      <c r="I715" s="128">
        <v>3</v>
      </c>
      <c r="J715" s="131" t="s">
        <v>66</v>
      </c>
      <c r="K715" s="113"/>
      <c r="L715" s="124" t="s">
        <v>21</v>
      </c>
      <c r="M715" s="93"/>
      <c r="N715" s="93">
        <v>5</v>
      </c>
      <c r="O715" s="93"/>
      <c r="P715" s="34" t="s">
        <v>65</v>
      </c>
      <c r="Q715" s="12"/>
      <c r="R715" s="93" t="s">
        <v>64</v>
      </c>
      <c r="S715" s="93" t="s">
        <v>24</v>
      </c>
      <c r="T715" s="33" t="s">
        <v>63</v>
      </c>
      <c r="U715" s="122" t="str">
        <f t="shared" si="176"/>
        <v>BTN130PP01</v>
      </c>
      <c r="X715" s="105" t="str">
        <f t="shared" si="177"/>
        <v>BR4-2110-E-00213</v>
      </c>
      <c r="Y715" s="92" t="str">
        <f t="shared" si="178"/>
        <v>A</v>
      </c>
      <c r="Z715" s="92"/>
    </row>
    <row r="716" spans="1:41" x14ac:dyDescent="0.3">
      <c r="A716" s="96"/>
      <c r="B716" s="92"/>
      <c r="C716" s="93"/>
      <c r="D716" s="93"/>
      <c r="E716" s="93"/>
      <c r="F716" s="93"/>
      <c r="G716" s="93" t="s">
        <v>2</v>
      </c>
      <c r="H716" s="113">
        <f t="shared" si="175"/>
        <v>1</v>
      </c>
      <c r="I716" s="128">
        <v>4</v>
      </c>
      <c r="J716" s="131" t="s">
        <v>62</v>
      </c>
      <c r="K716" s="113"/>
      <c r="L716" s="124" t="s">
        <v>21</v>
      </c>
      <c r="M716" s="93"/>
      <c r="N716" s="93">
        <v>4</v>
      </c>
      <c r="O716" s="93"/>
      <c r="P716" s="130" t="s">
        <v>61</v>
      </c>
      <c r="Q716" s="124"/>
      <c r="R716" s="93" t="s">
        <v>60</v>
      </c>
      <c r="S716" s="93" t="s">
        <v>18</v>
      </c>
      <c r="T716" s="32" t="s">
        <v>59</v>
      </c>
      <c r="U716" s="122" t="str">
        <f t="shared" si="176"/>
        <v>BTN130PP01</v>
      </c>
      <c r="X716" s="105" t="str">
        <f t="shared" si="177"/>
        <v>BR4-2110-E-00213</v>
      </c>
      <c r="Y716" s="92" t="str">
        <f t="shared" si="178"/>
        <v>A</v>
      </c>
      <c r="Z716" s="92"/>
    </row>
    <row r="717" spans="1:41" x14ac:dyDescent="0.3">
      <c r="A717" s="96"/>
      <c r="B717" s="92"/>
      <c r="C717" s="93"/>
      <c r="D717" s="93"/>
      <c r="E717" s="93"/>
      <c r="F717" s="93"/>
      <c r="G717" s="93" t="s">
        <v>2</v>
      </c>
      <c r="H717" s="113">
        <f t="shared" si="175"/>
        <v>1</v>
      </c>
      <c r="I717" s="128">
        <v>5</v>
      </c>
      <c r="J717" s="131" t="s">
        <v>58</v>
      </c>
      <c r="K717" s="113"/>
      <c r="L717" s="124" t="s">
        <v>21</v>
      </c>
      <c r="M717" s="93"/>
      <c r="N717" s="93"/>
      <c r="O717" s="93"/>
      <c r="P717" s="124"/>
      <c r="Q717" s="124"/>
      <c r="R717" s="93"/>
      <c r="S717" s="32"/>
      <c r="T717" s="32"/>
      <c r="U717" s="122" t="str">
        <f t="shared" si="176"/>
        <v>BTN130PP01</v>
      </c>
      <c r="X717" s="105" t="str">
        <f t="shared" si="177"/>
        <v>BR4-2110-E-00213</v>
      </c>
      <c r="Y717" s="92" t="str">
        <f t="shared" si="178"/>
        <v>A</v>
      </c>
      <c r="Z717" s="92"/>
    </row>
    <row r="718" spans="1:41" x14ac:dyDescent="0.3">
      <c r="A718" s="96"/>
      <c r="B718" s="92"/>
      <c r="C718" s="93"/>
      <c r="D718" s="93"/>
      <c r="E718" s="93"/>
      <c r="F718" s="93"/>
      <c r="G718" s="93" t="s">
        <v>2</v>
      </c>
      <c r="H718" s="113">
        <f t="shared" si="175"/>
        <v>1</v>
      </c>
      <c r="I718" s="128">
        <v>6</v>
      </c>
      <c r="J718" s="131" t="s">
        <v>57</v>
      </c>
      <c r="K718" s="113"/>
      <c r="L718" s="124" t="s">
        <v>21</v>
      </c>
      <c r="M718" s="93"/>
      <c r="N718" s="93">
        <v>4</v>
      </c>
      <c r="O718" s="93"/>
      <c r="P718" s="130" t="s">
        <v>56</v>
      </c>
      <c r="Q718" s="124"/>
      <c r="R718" s="93" t="s">
        <v>55</v>
      </c>
      <c r="S718" s="32" t="s">
        <v>54</v>
      </c>
      <c r="T718" s="32"/>
      <c r="U718" s="122" t="str">
        <f t="shared" si="176"/>
        <v>BTN130PP01</v>
      </c>
      <c r="X718" s="105" t="str">
        <f t="shared" si="177"/>
        <v>BR4-2110-E-00213</v>
      </c>
      <c r="Y718" s="92" t="str">
        <f t="shared" si="178"/>
        <v>A</v>
      </c>
      <c r="Z718" s="92"/>
    </row>
    <row r="719" spans="1:41" x14ac:dyDescent="0.3">
      <c r="A719" s="96"/>
      <c r="B719" s="92"/>
      <c r="C719" s="93"/>
      <c r="D719" s="93"/>
      <c r="E719" s="93"/>
      <c r="F719" s="93"/>
      <c r="G719" s="93" t="s">
        <v>2</v>
      </c>
      <c r="H719" s="113">
        <f t="shared" si="175"/>
        <v>1</v>
      </c>
      <c r="I719" s="128">
        <v>1</v>
      </c>
      <c r="J719" s="131" t="s">
        <v>53</v>
      </c>
      <c r="K719" s="113"/>
      <c r="L719" s="124" t="s">
        <v>42</v>
      </c>
      <c r="M719" s="93"/>
      <c r="N719" s="93">
        <v>4</v>
      </c>
      <c r="O719" s="93"/>
      <c r="P719" s="130" t="s">
        <v>52</v>
      </c>
      <c r="Q719" s="124"/>
      <c r="R719" s="93" t="s">
        <v>51</v>
      </c>
      <c r="S719" s="93" t="s">
        <v>24</v>
      </c>
      <c r="T719" s="32" t="s">
        <v>50</v>
      </c>
      <c r="U719" s="122" t="str">
        <f t="shared" si="176"/>
        <v>BTN130PP01</v>
      </c>
      <c r="X719" s="105" t="str">
        <f t="shared" si="177"/>
        <v>BR4-2110-E-00213</v>
      </c>
      <c r="Y719" s="92" t="str">
        <f t="shared" si="178"/>
        <v>A</v>
      </c>
      <c r="Z719" s="92"/>
    </row>
    <row r="720" spans="1:41" x14ac:dyDescent="0.3">
      <c r="A720" s="96"/>
      <c r="B720" s="92"/>
      <c r="C720" s="93"/>
      <c r="D720" s="93"/>
      <c r="E720" s="93"/>
      <c r="F720" s="93"/>
      <c r="G720" s="93" t="s">
        <v>2</v>
      </c>
      <c r="H720" s="113">
        <f t="shared" si="175"/>
        <v>1</v>
      </c>
      <c r="I720" s="128">
        <v>2</v>
      </c>
      <c r="J720" s="127" t="s">
        <v>49</v>
      </c>
      <c r="K720" s="113"/>
      <c r="L720" s="124" t="s">
        <v>42</v>
      </c>
      <c r="M720" s="93"/>
      <c r="N720" s="104">
        <v>5</v>
      </c>
      <c r="O720" s="93"/>
      <c r="P720" s="123" t="s">
        <v>48</v>
      </c>
      <c r="Q720" s="121"/>
      <c r="R720" s="121" t="s">
        <v>47</v>
      </c>
      <c r="S720" s="104" t="s">
        <v>46</v>
      </c>
      <c r="T720" s="129" t="s">
        <v>45</v>
      </c>
      <c r="U720" s="122" t="str">
        <f t="shared" si="176"/>
        <v>BTN130PP01</v>
      </c>
      <c r="W720" s="96"/>
      <c r="X720" s="105" t="str">
        <f t="shared" si="177"/>
        <v>BR4-2110-E-00213</v>
      </c>
      <c r="Y720" s="92" t="str">
        <f t="shared" si="178"/>
        <v>A</v>
      </c>
      <c r="Z720" s="92"/>
    </row>
    <row r="721" spans="1:27" x14ac:dyDescent="0.3">
      <c r="A721" s="96"/>
      <c r="B721" s="92"/>
      <c r="C721" s="93"/>
      <c r="D721" s="93"/>
      <c r="E721" s="93"/>
      <c r="F721" s="93"/>
      <c r="G721" s="93" t="s">
        <v>2</v>
      </c>
      <c r="H721" s="113">
        <f t="shared" si="175"/>
        <v>1</v>
      </c>
      <c r="I721" s="128">
        <v>3</v>
      </c>
      <c r="J721" s="127" t="s">
        <v>44</v>
      </c>
      <c r="K721" s="113"/>
      <c r="L721" s="124" t="s">
        <v>42</v>
      </c>
      <c r="M721" s="93"/>
      <c r="N721" s="104">
        <v>5</v>
      </c>
      <c r="O721" s="104"/>
      <c r="U721" s="122" t="str">
        <f t="shared" si="176"/>
        <v>BTN130PP01</v>
      </c>
      <c r="W721" s="96"/>
      <c r="X721" s="105" t="str">
        <f t="shared" si="177"/>
        <v>BR4-2110-E-00213</v>
      </c>
      <c r="Y721" s="92" t="str">
        <f t="shared" si="178"/>
        <v>A</v>
      </c>
      <c r="Z721" s="92"/>
    </row>
    <row r="722" spans="1:27" ht="13.5" thickBot="1" x14ac:dyDescent="0.35">
      <c r="A722" s="96"/>
      <c r="B722" s="92"/>
      <c r="C722" s="93"/>
      <c r="D722" s="93"/>
      <c r="E722" s="93"/>
      <c r="F722" s="93"/>
      <c r="G722" s="93" t="s">
        <v>2</v>
      </c>
      <c r="H722" s="113">
        <f t="shared" si="175"/>
        <v>1</v>
      </c>
      <c r="I722" s="126">
        <v>4</v>
      </c>
      <c r="J722" s="125" t="s">
        <v>43</v>
      </c>
      <c r="K722" s="113"/>
      <c r="L722" s="124" t="s">
        <v>42</v>
      </c>
      <c r="M722" s="93"/>
      <c r="N722" s="104">
        <v>5</v>
      </c>
      <c r="O722" s="104"/>
      <c r="P722" s="123" t="s">
        <v>41</v>
      </c>
      <c r="Q722" s="121"/>
      <c r="R722" s="121" t="s">
        <v>40</v>
      </c>
      <c r="S722" s="104" t="s">
        <v>39</v>
      </c>
      <c r="T722" s="29" t="s">
        <v>38</v>
      </c>
      <c r="U722" s="122" t="str">
        <f t="shared" si="176"/>
        <v>BTN130PP01</v>
      </c>
      <c r="W722" s="96"/>
      <c r="X722" s="105" t="str">
        <f t="shared" si="177"/>
        <v>BR4-2110-E-00213</v>
      </c>
      <c r="Y722" s="92" t="str">
        <f t="shared" si="178"/>
        <v>A</v>
      </c>
      <c r="Z722" s="92"/>
    </row>
    <row r="723" spans="1:27" ht="13.5" thickBot="1" x14ac:dyDescent="0.35">
      <c r="A723" s="96"/>
      <c r="B723" s="96"/>
      <c r="C723" s="93"/>
      <c r="D723" s="113"/>
      <c r="E723" s="140"/>
      <c r="F723" s="113"/>
      <c r="G723" s="113"/>
      <c r="H723" s="113"/>
      <c r="I723" s="113"/>
      <c r="J723" s="113"/>
      <c r="K723" s="113"/>
      <c r="L723" s="105"/>
      <c r="M723" s="105"/>
      <c r="N723" s="92"/>
      <c r="O723" s="92"/>
      <c r="P723" s="93"/>
      <c r="Q723" s="93"/>
      <c r="S723" s="93"/>
      <c r="U723" s="96"/>
      <c r="V723" s="96"/>
      <c r="W723" s="96"/>
    </row>
    <row r="724" spans="1:27" x14ac:dyDescent="0.3">
      <c r="A724" s="96"/>
      <c r="B724" s="96"/>
      <c r="C724" s="93" t="s">
        <v>73</v>
      </c>
      <c r="D724" s="93"/>
      <c r="E724" s="93"/>
      <c r="F724" s="93"/>
      <c r="G724" s="93" t="s">
        <v>2</v>
      </c>
      <c r="H724" s="120">
        <v>1</v>
      </c>
      <c r="I724" s="134">
        <v>1</v>
      </c>
      <c r="J724" s="133" t="s">
        <v>74</v>
      </c>
      <c r="K724" s="113" t="s">
        <v>73</v>
      </c>
      <c r="L724" s="124" t="s">
        <v>21</v>
      </c>
      <c r="M724" s="93"/>
      <c r="N724" s="93">
        <v>4</v>
      </c>
      <c r="O724" s="93"/>
      <c r="P724" s="130" t="s">
        <v>72</v>
      </c>
      <c r="Q724" s="124"/>
      <c r="R724" s="105" t="s">
        <v>40</v>
      </c>
      <c r="S724" s="105" t="s">
        <v>24</v>
      </c>
      <c r="T724" s="32" t="s">
        <v>38</v>
      </c>
      <c r="U724" s="105" t="s">
        <v>103</v>
      </c>
      <c r="X724" s="105" t="s">
        <v>102</v>
      </c>
      <c r="Y724" s="94" t="s">
        <v>4</v>
      </c>
      <c r="Z724" s="92"/>
      <c r="AA724" s="9"/>
    </row>
    <row r="725" spans="1:27" x14ac:dyDescent="0.3">
      <c r="A725" s="96"/>
      <c r="B725" s="96"/>
      <c r="C725" s="93"/>
      <c r="D725" s="93"/>
      <c r="E725" s="93"/>
      <c r="F725" s="93"/>
      <c r="G725" s="93" t="s">
        <v>2</v>
      </c>
      <c r="H725" s="113">
        <f t="shared" ref="H725:H733" si="179">H724</f>
        <v>1</v>
      </c>
      <c r="I725" s="128">
        <v>2</v>
      </c>
      <c r="J725" s="131" t="s">
        <v>69</v>
      </c>
      <c r="K725" s="107" t="s">
        <v>0</v>
      </c>
      <c r="L725" s="124" t="s">
        <v>21</v>
      </c>
      <c r="M725" s="93"/>
      <c r="N725" s="104">
        <v>5</v>
      </c>
      <c r="O725" s="104"/>
      <c r="P725" s="123" t="s">
        <v>68</v>
      </c>
      <c r="Q725" s="121"/>
      <c r="R725" s="121" t="s">
        <v>40</v>
      </c>
      <c r="S725" s="105" t="s">
        <v>67</v>
      </c>
      <c r="T725" s="32" t="s">
        <v>38</v>
      </c>
      <c r="U725" s="105" t="s">
        <v>103</v>
      </c>
      <c r="X725" s="105" t="s">
        <v>102</v>
      </c>
      <c r="Y725" s="94" t="s">
        <v>4</v>
      </c>
      <c r="Z725" s="92"/>
      <c r="AA725" s="9"/>
    </row>
    <row r="726" spans="1:27" x14ac:dyDescent="0.3">
      <c r="A726" s="96"/>
      <c r="B726" s="96"/>
      <c r="C726" s="93"/>
      <c r="D726" s="93"/>
      <c r="E726" s="93"/>
      <c r="F726" s="93"/>
      <c r="G726" s="93" t="s">
        <v>2</v>
      </c>
      <c r="H726" s="113">
        <f t="shared" si="179"/>
        <v>1</v>
      </c>
      <c r="I726" s="128">
        <v>3</v>
      </c>
      <c r="J726" s="131" t="s">
        <v>66</v>
      </c>
      <c r="K726" s="113"/>
      <c r="L726" s="124" t="s">
        <v>21</v>
      </c>
      <c r="M726" s="93"/>
      <c r="N726" s="93">
        <v>5</v>
      </c>
      <c r="O726" s="93"/>
      <c r="P726" s="34" t="s">
        <v>65</v>
      </c>
      <c r="Q726" s="12"/>
      <c r="R726" s="93" t="s">
        <v>64</v>
      </c>
      <c r="S726" s="93" t="s">
        <v>24</v>
      </c>
      <c r="T726" s="33" t="s">
        <v>63</v>
      </c>
      <c r="U726" s="105" t="s">
        <v>103</v>
      </c>
      <c r="X726" s="105" t="s">
        <v>102</v>
      </c>
      <c r="Y726" s="94" t="s">
        <v>4</v>
      </c>
      <c r="Z726" s="92"/>
      <c r="AA726" s="9"/>
    </row>
    <row r="727" spans="1:27" x14ac:dyDescent="0.3">
      <c r="A727" s="96"/>
      <c r="B727" s="96"/>
      <c r="C727" s="93"/>
      <c r="D727" s="93"/>
      <c r="E727" s="93"/>
      <c r="F727" s="93"/>
      <c r="G727" s="93" t="s">
        <v>2</v>
      </c>
      <c r="H727" s="113">
        <f t="shared" si="179"/>
        <v>1</v>
      </c>
      <c r="I727" s="128">
        <v>4</v>
      </c>
      <c r="J727" s="131" t="s">
        <v>62</v>
      </c>
      <c r="K727" s="113"/>
      <c r="L727" s="124" t="s">
        <v>21</v>
      </c>
      <c r="M727" s="93"/>
      <c r="N727" s="93">
        <v>4</v>
      </c>
      <c r="O727" s="93"/>
      <c r="P727" s="130" t="s">
        <v>61</v>
      </c>
      <c r="Q727" s="124"/>
      <c r="R727" s="93" t="s">
        <v>60</v>
      </c>
      <c r="S727" s="93" t="s">
        <v>18</v>
      </c>
      <c r="T727" s="32" t="s">
        <v>59</v>
      </c>
      <c r="U727" s="105" t="s">
        <v>103</v>
      </c>
      <c r="X727" s="105" t="s">
        <v>102</v>
      </c>
      <c r="Y727" s="94" t="s">
        <v>4</v>
      </c>
      <c r="Z727" s="92"/>
      <c r="AA727" s="9"/>
    </row>
    <row r="728" spans="1:27" x14ac:dyDescent="0.3">
      <c r="A728" s="96"/>
      <c r="B728" s="96"/>
      <c r="C728" s="93"/>
      <c r="D728" s="93"/>
      <c r="E728" s="93"/>
      <c r="F728" s="93"/>
      <c r="G728" s="93" t="s">
        <v>2</v>
      </c>
      <c r="H728" s="113">
        <f t="shared" si="179"/>
        <v>1</v>
      </c>
      <c r="I728" s="128">
        <v>5</v>
      </c>
      <c r="J728" s="131" t="s">
        <v>58</v>
      </c>
      <c r="K728" s="113"/>
      <c r="L728" s="124" t="s">
        <v>21</v>
      </c>
      <c r="M728" s="93"/>
      <c r="N728" s="93"/>
      <c r="O728" s="93"/>
      <c r="P728" s="124"/>
      <c r="Q728" s="124"/>
      <c r="R728" s="93"/>
      <c r="S728" s="32"/>
      <c r="T728" s="32"/>
      <c r="U728" s="41"/>
      <c r="X728" s="92"/>
      <c r="Y728" s="94"/>
      <c r="Z728" s="92"/>
    </row>
    <row r="729" spans="1:27" x14ac:dyDescent="0.3">
      <c r="A729" s="96"/>
      <c r="B729" s="96"/>
      <c r="C729" s="93"/>
      <c r="D729" s="93"/>
      <c r="E729" s="93"/>
      <c r="F729" s="93"/>
      <c r="G729" s="93" t="s">
        <v>2</v>
      </c>
      <c r="H729" s="113">
        <f t="shared" si="179"/>
        <v>1</v>
      </c>
      <c r="I729" s="128">
        <v>6</v>
      </c>
      <c r="J729" s="131" t="s">
        <v>57</v>
      </c>
      <c r="K729" s="113"/>
      <c r="L729" s="124" t="s">
        <v>21</v>
      </c>
      <c r="M729" s="93"/>
      <c r="N729" s="93">
        <v>4</v>
      </c>
      <c r="O729" s="93"/>
      <c r="P729" s="130" t="s">
        <v>56</v>
      </c>
      <c r="Q729" s="124"/>
      <c r="R729" s="93" t="s">
        <v>55</v>
      </c>
      <c r="S729" s="32" t="s">
        <v>54</v>
      </c>
      <c r="T729" s="32"/>
      <c r="U729" s="105" t="s">
        <v>103</v>
      </c>
      <c r="X729" s="105" t="s">
        <v>102</v>
      </c>
      <c r="Y729" s="94" t="s">
        <v>4</v>
      </c>
      <c r="Z729" s="92"/>
    </row>
    <row r="730" spans="1:27" x14ac:dyDescent="0.3">
      <c r="A730" s="96"/>
      <c r="B730" s="96"/>
      <c r="C730" s="93"/>
      <c r="D730" s="93"/>
      <c r="E730" s="93"/>
      <c r="F730" s="93"/>
      <c r="G730" s="93" t="s">
        <v>2</v>
      </c>
      <c r="H730" s="113">
        <f t="shared" si="179"/>
        <v>1</v>
      </c>
      <c r="I730" s="128">
        <v>1</v>
      </c>
      <c r="J730" s="131" t="s">
        <v>53</v>
      </c>
      <c r="K730" s="113"/>
      <c r="L730" s="124" t="s">
        <v>42</v>
      </c>
      <c r="M730" s="93"/>
      <c r="N730" s="93">
        <v>4</v>
      </c>
      <c r="O730" s="93"/>
      <c r="P730" s="130" t="s">
        <v>52</v>
      </c>
      <c r="Q730" s="124"/>
      <c r="R730" s="93" t="s">
        <v>51</v>
      </c>
      <c r="S730" s="93" t="s">
        <v>24</v>
      </c>
      <c r="T730" s="32" t="s">
        <v>50</v>
      </c>
      <c r="U730" s="105" t="s">
        <v>103</v>
      </c>
      <c r="X730" s="105" t="s">
        <v>102</v>
      </c>
      <c r="Y730" s="94" t="s">
        <v>4</v>
      </c>
      <c r="Z730" s="92"/>
      <c r="AA730" s="9"/>
    </row>
    <row r="731" spans="1:27" x14ac:dyDescent="0.3">
      <c r="A731" s="96"/>
      <c r="B731" s="96"/>
      <c r="C731" s="93"/>
      <c r="D731" s="93"/>
      <c r="E731" s="93"/>
      <c r="F731" s="93"/>
      <c r="G731" s="93" t="s">
        <v>2</v>
      </c>
      <c r="H731" s="113">
        <f t="shared" si="179"/>
        <v>1</v>
      </c>
      <c r="I731" s="128">
        <v>2</v>
      </c>
      <c r="J731" s="127" t="s">
        <v>49</v>
      </c>
      <c r="K731" s="113"/>
      <c r="L731" s="124" t="s">
        <v>42</v>
      </c>
      <c r="M731" s="93"/>
      <c r="N731" s="104">
        <v>5</v>
      </c>
      <c r="O731" s="93"/>
      <c r="P731" s="123" t="s">
        <v>48</v>
      </c>
      <c r="Q731" s="121"/>
      <c r="R731" s="121" t="s">
        <v>47</v>
      </c>
      <c r="S731" s="104" t="s">
        <v>46</v>
      </c>
      <c r="T731" s="129" t="s">
        <v>45</v>
      </c>
      <c r="U731" s="105"/>
      <c r="W731" s="96"/>
      <c r="X731" s="105"/>
      <c r="Y731" s="94"/>
    </row>
    <row r="732" spans="1:27" x14ac:dyDescent="0.3">
      <c r="A732" s="96"/>
      <c r="B732" s="96"/>
      <c r="C732" s="93"/>
      <c r="D732" s="93"/>
      <c r="E732" s="93"/>
      <c r="F732" s="93"/>
      <c r="G732" s="93" t="s">
        <v>2</v>
      </c>
      <c r="H732" s="113">
        <f t="shared" si="179"/>
        <v>1</v>
      </c>
      <c r="I732" s="128">
        <v>3</v>
      </c>
      <c r="J732" s="127" t="s">
        <v>44</v>
      </c>
      <c r="K732" s="113"/>
      <c r="L732" s="124" t="s">
        <v>42</v>
      </c>
      <c r="M732" s="93"/>
      <c r="N732" s="104">
        <v>5</v>
      </c>
      <c r="O732" s="104"/>
      <c r="U732" s="41"/>
      <c r="W732" s="96"/>
      <c r="X732" s="92"/>
      <c r="Y732" s="94"/>
      <c r="Z732" s="92"/>
      <c r="AA732" s="9"/>
    </row>
    <row r="733" spans="1:27" ht="13.5" thickBot="1" x14ac:dyDescent="0.35">
      <c r="A733" s="96"/>
      <c r="B733" s="96"/>
      <c r="C733" s="93"/>
      <c r="D733" s="93"/>
      <c r="E733" s="93"/>
      <c r="F733" s="93"/>
      <c r="G733" s="93" t="s">
        <v>2</v>
      </c>
      <c r="H733" s="113">
        <f t="shared" si="179"/>
        <v>1</v>
      </c>
      <c r="I733" s="126">
        <v>4</v>
      </c>
      <c r="J733" s="125" t="s">
        <v>43</v>
      </c>
      <c r="K733" s="113"/>
      <c r="L733" s="124" t="s">
        <v>42</v>
      </c>
      <c r="M733" s="93"/>
      <c r="N733" s="104">
        <v>5</v>
      </c>
      <c r="O733" s="104"/>
      <c r="P733" s="123" t="s">
        <v>41</v>
      </c>
      <c r="Q733" s="121"/>
      <c r="R733" s="121" t="s">
        <v>40</v>
      </c>
      <c r="S733" s="104" t="s">
        <v>39</v>
      </c>
      <c r="T733" s="29" t="s">
        <v>38</v>
      </c>
      <c r="U733" s="41"/>
      <c r="W733" s="96"/>
      <c r="X733" s="92"/>
      <c r="Y733" s="94"/>
      <c r="Z733" s="92"/>
      <c r="AA733" s="9"/>
    </row>
    <row r="734" spans="1:27" ht="13.5" thickBot="1" x14ac:dyDescent="0.35">
      <c r="A734" s="96"/>
      <c r="B734" s="96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113"/>
      <c r="Z734" s="92"/>
      <c r="AA734" s="9"/>
    </row>
    <row r="735" spans="1:27" x14ac:dyDescent="0.3">
      <c r="A735" s="96"/>
      <c r="B735" s="96"/>
      <c r="C735" s="93" t="s">
        <v>73</v>
      </c>
      <c r="D735" s="93"/>
      <c r="E735" s="93"/>
      <c r="F735" s="93"/>
      <c r="G735" s="93" t="s">
        <v>2</v>
      </c>
      <c r="H735" s="120">
        <v>1</v>
      </c>
      <c r="I735" s="134">
        <v>1</v>
      </c>
      <c r="J735" s="133" t="s">
        <v>74</v>
      </c>
      <c r="K735" s="113" t="s">
        <v>73</v>
      </c>
      <c r="L735" s="124" t="s">
        <v>21</v>
      </c>
      <c r="M735" s="93"/>
      <c r="N735" s="93">
        <v>4</v>
      </c>
      <c r="O735" s="93"/>
      <c r="P735" s="130" t="s">
        <v>72</v>
      </c>
      <c r="Q735" s="124"/>
      <c r="R735" s="105" t="s">
        <v>40</v>
      </c>
      <c r="S735" s="105" t="s">
        <v>24</v>
      </c>
      <c r="T735" s="32" t="s">
        <v>38</v>
      </c>
      <c r="U735" s="93" t="s">
        <v>101</v>
      </c>
      <c r="X735" s="105" t="s">
        <v>100</v>
      </c>
      <c r="Y735" s="94" t="s">
        <v>4</v>
      </c>
      <c r="Z735" s="92"/>
      <c r="AA735" s="9"/>
    </row>
    <row r="736" spans="1:27" x14ac:dyDescent="0.3">
      <c r="A736" s="96"/>
      <c r="B736" s="96"/>
      <c r="C736" s="93"/>
      <c r="D736" s="93"/>
      <c r="E736" s="93"/>
      <c r="F736" s="93"/>
      <c r="G736" s="93" t="s">
        <v>2</v>
      </c>
      <c r="H736" s="113">
        <f t="shared" ref="H736:H744" si="180">H735</f>
        <v>1</v>
      </c>
      <c r="I736" s="128">
        <v>2</v>
      </c>
      <c r="J736" s="131" t="s">
        <v>69</v>
      </c>
      <c r="K736" s="107" t="s">
        <v>0</v>
      </c>
      <c r="L736" s="124" t="s">
        <v>21</v>
      </c>
      <c r="M736" s="93"/>
      <c r="N736" s="104">
        <v>5</v>
      </c>
      <c r="O736" s="104"/>
      <c r="P736" s="123" t="s">
        <v>68</v>
      </c>
      <c r="Q736" s="121"/>
      <c r="R736" s="121" t="s">
        <v>40</v>
      </c>
      <c r="S736" s="105" t="s">
        <v>67</v>
      </c>
      <c r="T736" s="32" t="s">
        <v>38</v>
      </c>
      <c r="U736" s="122" t="str">
        <f t="shared" ref="U736:U744" si="181">+U735</f>
        <v>BCV130PP03</v>
      </c>
      <c r="X736" s="105" t="str">
        <f t="shared" ref="X736:X744" si="182">+X735</f>
        <v>BR4-2110-E-00220</v>
      </c>
      <c r="Y736" s="92" t="str">
        <f t="shared" ref="Y736:Y744" si="183">+Y735</f>
        <v>A</v>
      </c>
      <c r="Z736" s="92"/>
      <c r="AA736" s="9"/>
    </row>
    <row r="737" spans="1:27" x14ac:dyDescent="0.3">
      <c r="A737" s="96"/>
      <c r="B737" s="96"/>
      <c r="C737" s="93"/>
      <c r="D737" s="93"/>
      <c r="E737" s="93"/>
      <c r="F737" s="93"/>
      <c r="G737" s="93" t="s">
        <v>2</v>
      </c>
      <c r="H737" s="113">
        <f t="shared" si="180"/>
        <v>1</v>
      </c>
      <c r="I737" s="128">
        <v>3</v>
      </c>
      <c r="J737" s="131" t="s">
        <v>66</v>
      </c>
      <c r="K737" s="113"/>
      <c r="L737" s="124" t="s">
        <v>21</v>
      </c>
      <c r="M737" s="93"/>
      <c r="N737" s="93">
        <v>5</v>
      </c>
      <c r="O737" s="93"/>
      <c r="P737" s="34" t="s">
        <v>65</v>
      </c>
      <c r="Q737" s="12"/>
      <c r="R737" s="93" t="s">
        <v>64</v>
      </c>
      <c r="S737" s="93" t="s">
        <v>24</v>
      </c>
      <c r="T737" s="33" t="s">
        <v>63</v>
      </c>
      <c r="U737" s="122" t="str">
        <f t="shared" si="181"/>
        <v>BCV130PP03</v>
      </c>
      <c r="X737" s="105" t="str">
        <f t="shared" si="182"/>
        <v>BR4-2110-E-00220</v>
      </c>
      <c r="Y737" s="92" t="str">
        <f t="shared" si="183"/>
        <v>A</v>
      </c>
      <c r="Z737" s="92"/>
      <c r="AA737" s="9"/>
    </row>
    <row r="738" spans="1:27" x14ac:dyDescent="0.3">
      <c r="A738" s="96"/>
      <c r="B738" s="96"/>
      <c r="C738" s="93"/>
      <c r="D738" s="93"/>
      <c r="E738" s="93"/>
      <c r="F738" s="93"/>
      <c r="G738" s="93" t="s">
        <v>2</v>
      </c>
      <c r="H738" s="113">
        <f t="shared" si="180"/>
        <v>1</v>
      </c>
      <c r="I738" s="128">
        <v>4</v>
      </c>
      <c r="J738" s="131" t="s">
        <v>62</v>
      </c>
      <c r="K738" s="113"/>
      <c r="L738" s="124" t="s">
        <v>21</v>
      </c>
      <c r="M738" s="93"/>
      <c r="N738" s="93">
        <v>4</v>
      </c>
      <c r="O738" s="93"/>
      <c r="P738" s="130" t="s">
        <v>61</v>
      </c>
      <c r="Q738" s="124"/>
      <c r="R738" s="93" t="s">
        <v>60</v>
      </c>
      <c r="S738" s="93" t="s">
        <v>18</v>
      </c>
      <c r="T738" s="32" t="s">
        <v>59</v>
      </c>
      <c r="U738" s="122" t="str">
        <f t="shared" si="181"/>
        <v>BCV130PP03</v>
      </c>
      <c r="X738" s="105" t="str">
        <f t="shared" si="182"/>
        <v>BR4-2110-E-00220</v>
      </c>
      <c r="Y738" s="92" t="str">
        <f t="shared" si="183"/>
        <v>A</v>
      </c>
      <c r="Z738" s="92"/>
      <c r="AA738" s="9"/>
    </row>
    <row r="739" spans="1:27" x14ac:dyDescent="0.3">
      <c r="A739" s="96"/>
      <c r="B739" s="96"/>
      <c r="C739" s="93"/>
      <c r="D739" s="93"/>
      <c r="E739" s="93"/>
      <c r="F739" s="93"/>
      <c r="G739" s="93" t="s">
        <v>2</v>
      </c>
      <c r="H739" s="113">
        <f t="shared" si="180"/>
        <v>1</v>
      </c>
      <c r="I739" s="128">
        <v>5</v>
      </c>
      <c r="J739" s="131" t="s">
        <v>58</v>
      </c>
      <c r="K739" s="113"/>
      <c r="L739" s="124" t="s">
        <v>21</v>
      </c>
      <c r="M739" s="93"/>
      <c r="N739" s="93"/>
      <c r="O739" s="93"/>
      <c r="P739" s="124"/>
      <c r="Q739" s="124"/>
      <c r="R739" s="93"/>
      <c r="S739" s="32"/>
      <c r="T739" s="32"/>
      <c r="U739" s="122" t="str">
        <f t="shared" si="181"/>
        <v>BCV130PP03</v>
      </c>
      <c r="X739" s="105" t="str">
        <f t="shared" si="182"/>
        <v>BR4-2110-E-00220</v>
      </c>
      <c r="Y739" s="92" t="str">
        <f t="shared" si="183"/>
        <v>A</v>
      </c>
      <c r="Z739" s="92"/>
      <c r="AA739" s="9"/>
    </row>
    <row r="740" spans="1:27" x14ac:dyDescent="0.3">
      <c r="A740" s="96"/>
      <c r="B740" s="96"/>
      <c r="C740" s="93"/>
      <c r="D740" s="93"/>
      <c r="E740" s="93"/>
      <c r="F740" s="93"/>
      <c r="G740" s="93" t="s">
        <v>2</v>
      </c>
      <c r="H740" s="113">
        <f t="shared" si="180"/>
        <v>1</v>
      </c>
      <c r="I740" s="128">
        <v>6</v>
      </c>
      <c r="J740" s="131" t="s">
        <v>57</v>
      </c>
      <c r="K740" s="113"/>
      <c r="L740" s="124" t="s">
        <v>21</v>
      </c>
      <c r="M740" s="93"/>
      <c r="N740" s="93">
        <v>4</v>
      </c>
      <c r="O740" s="93"/>
      <c r="P740" s="130" t="s">
        <v>56</v>
      </c>
      <c r="Q740" s="124"/>
      <c r="R740" s="93" t="s">
        <v>55</v>
      </c>
      <c r="S740" s="32" t="s">
        <v>54</v>
      </c>
      <c r="T740" s="32"/>
      <c r="U740" s="122" t="str">
        <f t="shared" si="181"/>
        <v>BCV130PP03</v>
      </c>
      <c r="X740" s="105" t="str">
        <f t="shared" si="182"/>
        <v>BR4-2110-E-00220</v>
      </c>
      <c r="Y740" s="92" t="str">
        <f t="shared" si="183"/>
        <v>A</v>
      </c>
      <c r="Z740" s="92"/>
      <c r="AA740" s="9"/>
    </row>
    <row r="741" spans="1:27" x14ac:dyDescent="0.3">
      <c r="A741" s="96"/>
      <c r="B741" s="96"/>
      <c r="C741" s="93"/>
      <c r="D741" s="93"/>
      <c r="E741" s="93"/>
      <c r="F741" s="93"/>
      <c r="G741" s="93" t="s">
        <v>2</v>
      </c>
      <c r="H741" s="113">
        <f t="shared" si="180"/>
        <v>1</v>
      </c>
      <c r="I741" s="128">
        <v>1</v>
      </c>
      <c r="J741" s="131" t="s">
        <v>53</v>
      </c>
      <c r="K741" s="113"/>
      <c r="L741" s="124" t="s">
        <v>42</v>
      </c>
      <c r="M741" s="93"/>
      <c r="N741" s="93">
        <v>4</v>
      </c>
      <c r="O741" s="93"/>
      <c r="P741" s="130" t="s">
        <v>52</v>
      </c>
      <c r="Q741" s="124"/>
      <c r="R741" s="93" t="s">
        <v>51</v>
      </c>
      <c r="S741" s="93" t="s">
        <v>24</v>
      </c>
      <c r="T741" s="32" t="s">
        <v>50</v>
      </c>
      <c r="U741" s="122" t="str">
        <f t="shared" si="181"/>
        <v>BCV130PP03</v>
      </c>
      <c r="X741" s="105" t="str">
        <f t="shared" si="182"/>
        <v>BR4-2110-E-00220</v>
      </c>
      <c r="Y741" s="92" t="str">
        <f t="shared" si="183"/>
        <v>A</v>
      </c>
      <c r="Z741" s="92"/>
      <c r="AA741" s="9"/>
    </row>
    <row r="742" spans="1:27" x14ac:dyDescent="0.3">
      <c r="A742" s="96"/>
      <c r="B742" s="96"/>
      <c r="C742" s="93"/>
      <c r="D742" s="93"/>
      <c r="E742" s="93"/>
      <c r="F742" s="93"/>
      <c r="G742" s="93" t="s">
        <v>2</v>
      </c>
      <c r="H742" s="113">
        <f t="shared" si="180"/>
        <v>1</v>
      </c>
      <c r="I742" s="128">
        <v>2</v>
      </c>
      <c r="J742" s="127" t="s">
        <v>49</v>
      </c>
      <c r="K742" s="113"/>
      <c r="L742" s="124" t="s">
        <v>42</v>
      </c>
      <c r="M742" s="93"/>
      <c r="N742" s="104">
        <v>5</v>
      </c>
      <c r="O742" s="93"/>
      <c r="P742" s="123" t="s">
        <v>48</v>
      </c>
      <c r="Q742" s="121"/>
      <c r="R742" s="121" t="s">
        <v>47</v>
      </c>
      <c r="S742" s="104" t="s">
        <v>46</v>
      </c>
      <c r="T742" s="129" t="s">
        <v>45</v>
      </c>
      <c r="U742" s="122" t="str">
        <f t="shared" si="181"/>
        <v>BCV130PP03</v>
      </c>
      <c r="W742" s="96"/>
      <c r="X742" s="105" t="str">
        <f t="shared" si="182"/>
        <v>BR4-2110-E-00220</v>
      </c>
      <c r="Y742" s="92" t="str">
        <f t="shared" si="183"/>
        <v>A</v>
      </c>
      <c r="Z742" s="92"/>
      <c r="AA742" s="9"/>
    </row>
    <row r="743" spans="1:27" x14ac:dyDescent="0.3">
      <c r="A743" s="96"/>
      <c r="B743" s="96"/>
      <c r="C743" s="93"/>
      <c r="D743" s="93"/>
      <c r="E743" s="93"/>
      <c r="F743" s="93"/>
      <c r="G743" s="93" t="s">
        <v>2</v>
      </c>
      <c r="H743" s="113">
        <f t="shared" si="180"/>
        <v>1</v>
      </c>
      <c r="I743" s="128">
        <v>3</v>
      </c>
      <c r="J743" s="127" t="s">
        <v>44</v>
      </c>
      <c r="K743" s="113"/>
      <c r="L743" s="124" t="s">
        <v>42</v>
      </c>
      <c r="M743" s="93"/>
      <c r="N743" s="104">
        <v>5</v>
      </c>
      <c r="O743" s="104"/>
      <c r="U743" s="122" t="str">
        <f t="shared" si="181"/>
        <v>BCV130PP03</v>
      </c>
      <c r="W743" s="96"/>
      <c r="X743" s="105" t="str">
        <f t="shared" si="182"/>
        <v>BR4-2110-E-00220</v>
      </c>
      <c r="Y743" s="92" t="str">
        <f t="shared" si="183"/>
        <v>A</v>
      </c>
      <c r="Z743" s="92"/>
      <c r="AA743" s="9"/>
    </row>
    <row r="744" spans="1:27" ht="13.5" thickBot="1" x14ac:dyDescent="0.35">
      <c r="A744" s="96"/>
      <c r="B744" s="96"/>
      <c r="C744" s="93"/>
      <c r="D744" s="93"/>
      <c r="E744" s="93"/>
      <c r="F744" s="93"/>
      <c r="G744" s="93" t="s">
        <v>2</v>
      </c>
      <c r="H744" s="113">
        <f t="shared" si="180"/>
        <v>1</v>
      </c>
      <c r="I744" s="126">
        <v>4</v>
      </c>
      <c r="J744" s="125" t="s">
        <v>43</v>
      </c>
      <c r="K744" s="113"/>
      <c r="L744" s="124" t="s">
        <v>42</v>
      </c>
      <c r="M744" s="93"/>
      <c r="N744" s="104">
        <v>5</v>
      </c>
      <c r="O744" s="104"/>
      <c r="P744" s="123" t="s">
        <v>41</v>
      </c>
      <c r="Q744" s="121"/>
      <c r="R744" s="121" t="s">
        <v>40</v>
      </c>
      <c r="S744" s="104" t="s">
        <v>39</v>
      </c>
      <c r="T744" s="29" t="s">
        <v>38</v>
      </c>
      <c r="U744" s="122" t="str">
        <f t="shared" si="181"/>
        <v>BCV130PP03</v>
      </c>
      <c r="W744" s="96"/>
      <c r="X744" s="105" t="str">
        <f t="shared" si="182"/>
        <v>BR4-2110-E-00220</v>
      </c>
      <c r="Y744" s="92" t="str">
        <f t="shared" si="183"/>
        <v>A</v>
      </c>
      <c r="Z744" s="92"/>
      <c r="AA744" s="9"/>
    </row>
    <row r="745" spans="1:27" ht="13.5" thickBot="1" x14ac:dyDescent="0.35">
      <c r="A745" s="96"/>
      <c r="B745" s="96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113"/>
      <c r="Z745" s="92"/>
      <c r="AA745" s="9"/>
    </row>
    <row r="746" spans="1:27" x14ac:dyDescent="0.3">
      <c r="A746" s="96"/>
      <c r="B746" s="96"/>
      <c r="C746" s="93" t="s">
        <v>73</v>
      </c>
      <c r="D746" s="93"/>
      <c r="E746" s="93"/>
      <c r="F746" s="93"/>
      <c r="G746" s="93" t="s">
        <v>2</v>
      </c>
      <c r="H746" s="120">
        <v>1</v>
      </c>
      <c r="I746" s="134">
        <v>1</v>
      </c>
      <c r="J746" s="133" t="s">
        <v>74</v>
      </c>
      <c r="K746" s="113" t="s">
        <v>73</v>
      </c>
      <c r="L746" s="124" t="s">
        <v>21</v>
      </c>
      <c r="M746" s="93"/>
      <c r="N746" s="93">
        <v>4</v>
      </c>
      <c r="O746" s="93"/>
      <c r="P746" s="130" t="s">
        <v>72</v>
      </c>
      <c r="Q746" s="124"/>
      <c r="R746" s="105" t="s">
        <v>40</v>
      </c>
      <c r="S746" s="105" t="s">
        <v>24</v>
      </c>
      <c r="T746" s="32" t="s">
        <v>38</v>
      </c>
      <c r="U746" s="92" t="s">
        <v>99</v>
      </c>
      <c r="X746" s="139" t="s">
        <v>98</v>
      </c>
      <c r="Y746" s="138" t="s">
        <v>4</v>
      </c>
      <c r="Z746" s="92"/>
      <c r="AA746" s="9"/>
    </row>
    <row r="747" spans="1:27" x14ac:dyDescent="0.3">
      <c r="A747" s="96"/>
      <c r="B747" s="96"/>
      <c r="C747" s="93"/>
      <c r="D747" s="93"/>
      <c r="E747" s="93"/>
      <c r="F747" s="93"/>
      <c r="G747" s="93" t="s">
        <v>2</v>
      </c>
      <c r="H747" s="113">
        <f t="shared" ref="H747:H755" si="184">H746</f>
        <v>1</v>
      </c>
      <c r="I747" s="128">
        <v>2</v>
      </c>
      <c r="J747" s="131" t="s">
        <v>69</v>
      </c>
      <c r="K747" s="107" t="s">
        <v>0</v>
      </c>
      <c r="L747" s="124" t="s">
        <v>21</v>
      </c>
      <c r="M747" s="93"/>
      <c r="N747" s="104">
        <v>5</v>
      </c>
      <c r="O747" s="104"/>
      <c r="P747" s="123" t="s">
        <v>68</v>
      </c>
      <c r="Q747" s="121"/>
      <c r="R747" s="121" t="s">
        <v>40</v>
      </c>
      <c r="S747" s="105" t="s">
        <v>67</v>
      </c>
      <c r="T747" s="32" t="s">
        <v>38</v>
      </c>
      <c r="U747" s="122" t="str">
        <f t="shared" ref="U747:U755" si="185">+U746</f>
        <v>BCV130PP04</v>
      </c>
      <c r="X747" s="105" t="str">
        <f t="shared" ref="X747:X755" si="186">+X746</f>
        <v>BR4-2110-E-00221</v>
      </c>
      <c r="Y747" s="92" t="str">
        <f t="shared" ref="Y747:Y755" si="187">+Y746</f>
        <v>A</v>
      </c>
      <c r="Z747" s="92"/>
      <c r="AA747" s="9"/>
    </row>
    <row r="748" spans="1:27" x14ac:dyDescent="0.3">
      <c r="A748" s="96"/>
      <c r="B748" s="96"/>
      <c r="C748" s="93"/>
      <c r="D748" s="93"/>
      <c r="E748" s="93"/>
      <c r="F748" s="93"/>
      <c r="G748" s="93" t="s">
        <v>2</v>
      </c>
      <c r="H748" s="113">
        <f t="shared" si="184"/>
        <v>1</v>
      </c>
      <c r="I748" s="128">
        <v>3</v>
      </c>
      <c r="J748" s="131" t="s">
        <v>66</v>
      </c>
      <c r="K748" s="113"/>
      <c r="L748" s="124" t="s">
        <v>21</v>
      </c>
      <c r="M748" s="93"/>
      <c r="N748" s="93">
        <v>5</v>
      </c>
      <c r="O748" s="93"/>
      <c r="P748" s="34" t="s">
        <v>65</v>
      </c>
      <c r="Q748" s="12"/>
      <c r="R748" s="93" t="s">
        <v>64</v>
      </c>
      <c r="S748" s="93" t="s">
        <v>24</v>
      </c>
      <c r="T748" s="33" t="s">
        <v>63</v>
      </c>
      <c r="U748" s="122" t="str">
        <f t="shared" si="185"/>
        <v>BCV130PP04</v>
      </c>
      <c r="X748" s="105" t="str">
        <f t="shared" si="186"/>
        <v>BR4-2110-E-00221</v>
      </c>
      <c r="Y748" s="92" t="str">
        <f t="shared" si="187"/>
        <v>A</v>
      </c>
      <c r="Z748" s="92"/>
      <c r="AA748" s="9"/>
    </row>
    <row r="749" spans="1:27" x14ac:dyDescent="0.3">
      <c r="A749" s="96"/>
      <c r="B749" s="96"/>
      <c r="C749" s="93"/>
      <c r="D749" s="93"/>
      <c r="E749" s="93"/>
      <c r="F749" s="93"/>
      <c r="G749" s="93" t="s">
        <v>2</v>
      </c>
      <c r="H749" s="113">
        <f t="shared" si="184"/>
        <v>1</v>
      </c>
      <c r="I749" s="128">
        <v>4</v>
      </c>
      <c r="J749" s="131" t="s">
        <v>62</v>
      </c>
      <c r="K749" s="113"/>
      <c r="L749" s="124" t="s">
        <v>21</v>
      </c>
      <c r="M749" s="93"/>
      <c r="N749" s="93">
        <v>4</v>
      </c>
      <c r="O749" s="93"/>
      <c r="P749" s="130" t="s">
        <v>61</v>
      </c>
      <c r="Q749" s="124"/>
      <c r="R749" s="93" t="s">
        <v>60</v>
      </c>
      <c r="S749" s="93" t="s">
        <v>18</v>
      </c>
      <c r="T749" s="32" t="s">
        <v>59</v>
      </c>
      <c r="U749" s="122" t="str">
        <f t="shared" si="185"/>
        <v>BCV130PP04</v>
      </c>
      <c r="X749" s="105" t="str">
        <f t="shared" si="186"/>
        <v>BR4-2110-E-00221</v>
      </c>
      <c r="Y749" s="92" t="str">
        <f t="shared" si="187"/>
        <v>A</v>
      </c>
      <c r="Z749" s="92"/>
      <c r="AA749" s="9"/>
    </row>
    <row r="750" spans="1:27" x14ac:dyDescent="0.3">
      <c r="A750" s="96"/>
      <c r="B750" s="96"/>
      <c r="C750" s="93"/>
      <c r="D750" s="93"/>
      <c r="E750" s="93"/>
      <c r="F750" s="93"/>
      <c r="G750" s="93" t="s">
        <v>2</v>
      </c>
      <c r="H750" s="113">
        <f t="shared" si="184"/>
        <v>1</v>
      </c>
      <c r="I750" s="128">
        <v>5</v>
      </c>
      <c r="J750" s="131" t="s">
        <v>58</v>
      </c>
      <c r="K750" s="113"/>
      <c r="L750" s="124" t="s">
        <v>21</v>
      </c>
      <c r="M750" s="93"/>
      <c r="N750" s="93"/>
      <c r="O750" s="93"/>
      <c r="P750" s="124"/>
      <c r="Q750" s="124"/>
      <c r="R750" s="93"/>
      <c r="S750" s="32"/>
      <c r="T750" s="32"/>
      <c r="U750" s="122" t="str">
        <f t="shared" si="185"/>
        <v>BCV130PP04</v>
      </c>
      <c r="X750" s="105" t="str">
        <f t="shared" si="186"/>
        <v>BR4-2110-E-00221</v>
      </c>
      <c r="Y750" s="92" t="str">
        <f t="shared" si="187"/>
        <v>A</v>
      </c>
      <c r="Z750" s="92"/>
      <c r="AA750" s="9"/>
    </row>
    <row r="751" spans="1:27" x14ac:dyDescent="0.3">
      <c r="A751" s="96"/>
      <c r="B751" s="96"/>
      <c r="C751" s="93"/>
      <c r="D751" s="93"/>
      <c r="E751" s="93"/>
      <c r="F751" s="93"/>
      <c r="G751" s="93" t="s">
        <v>2</v>
      </c>
      <c r="H751" s="113">
        <f t="shared" si="184"/>
        <v>1</v>
      </c>
      <c r="I751" s="128">
        <v>6</v>
      </c>
      <c r="J751" s="131" t="s">
        <v>57</v>
      </c>
      <c r="K751" s="113"/>
      <c r="L751" s="124" t="s">
        <v>21</v>
      </c>
      <c r="M751" s="93"/>
      <c r="N751" s="93">
        <v>4</v>
      </c>
      <c r="O751" s="93"/>
      <c r="P751" s="130" t="s">
        <v>56</v>
      </c>
      <c r="Q751" s="124"/>
      <c r="R751" s="93" t="s">
        <v>55</v>
      </c>
      <c r="S751" s="32" t="s">
        <v>54</v>
      </c>
      <c r="T751" s="32"/>
      <c r="U751" s="122" t="str">
        <f t="shared" si="185"/>
        <v>BCV130PP04</v>
      </c>
      <c r="X751" s="105" t="str">
        <f t="shared" si="186"/>
        <v>BR4-2110-E-00221</v>
      </c>
      <c r="Y751" s="92" t="str">
        <f t="shared" si="187"/>
        <v>A</v>
      </c>
      <c r="Z751" s="92"/>
      <c r="AA751" s="9"/>
    </row>
    <row r="752" spans="1:27" x14ac:dyDescent="0.3">
      <c r="A752" s="96"/>
      <c r="B752" s="96"/>
      <c r="C752" s="93"/>
      <c r="D752" s="93"/>
      <c r="E752" s="93"/>
      <c r="F752" s="93"/>
      <c r="G752" s="93" t="s">
        <v>2</v>
      </c>
      <c r="H752" s="113">
        <f t="shared" si="184"/>
        <v>1</v>
      </c>
      <c r="I752" s="128">
        <v>1</v>
      </c>
      <c r="J752" s="131" t="s">
        <v>53</v>
      </c>
      <c r="K752" s="113"/>
      <c r="L752" s="124" t="s">
        <v>42</v>
      </c>
      <c r="M752" s="93"/>
      <c r="N752" s="93">
        <v>4</v>
      </c>
      <c r="O752" s="93"/>
      <c r="P752" s="130" t="s">
        <v>52</v>
      </c>
      <c r="Q752" s="124"/>
      <c r="R752" s="93" t="s">
        <v>51</v>
      </c>
      <c r="S752" s="93" t="s">
        <v>24</v>
      </c>
      <c r="T752" s="32" t="s">
        <v>50</v>
      </c>
      <c r="U752" s="122" t="str">
        <f t="shared" si="185"/>
        <v>BCV130PP04</v>
      </c>
      <c r="X752" s="105" t="str">
        <f t="shared" si="186"/>
        <v>BR4-2110-E-00221</v>
      </c>
      <c r="Y752" s="92" t="str">
        <f t="shared" si="187"/>
        <v>A</v>
      </c>
      <c r="Z752" s="92"/>
      <c r="AA752" s="9"/>
    </row>
    <row r="753" spans="1:27" x14ac:dyDescent="0.3">
      <c r="A753" s="96"/>
      <c r="B753" s="96"/>
      <c r="C753" s="93"/>
      <c r="D753" s="93"/>
      <c r="E753" s="93"/>
      <c r="F753" s="93"/>
      <c r="G753" s="93" t="s">
        <v>2</v>
      </c>
      <c r="H753" s="113">
        <f t="shared" si="184"/>
        <v>1</v>
      </c>
      <c r="I753" s="128">
        <v>2</v>
      </c>
      <c r="J753" s="127" t="s">
        <v>49</v>
      </c>
      <c r="K753" s="113"/>
      <c r="L753" s="124" t="s">
        <v>42</v>
      </c>
      <c r="M753" s="93"/>
      <c r="N753" s="104">
        <v>5</v>
      </c>
      <c r="O753" s="93"/>
      <c r="P753" s="123" t="s">
        <v>48</v>
      </c>
      <c r="Q753" s="121"/>
      <c r="R753" s="121" t="s">
        <v>47</v>
      </c>
      <c r="S753" s="104" t="s">
        <v>46</v>
      </c>
      <c r="T753" s="129" t="s">
        <v>45</v>
      </c>
      <c r="U753" s="122" t="str">
        <f t="shared" si="185"/>
        <v>BCV130PP04</v>
      </c>
      <c r="W753" s="96"/>
      <c r="X753" s="105" t="str">
        <f t="shared" si="186"/>
        <v>BR4-2110-E-00221</v>
      </c>
      <c r="Y753" s="92" t="str">
        <f t="shared" si="187"/>
        <v>A</v>
      </c>
      <c r="Z753" s="92"/>
      <c r="AA753" s="9"/>
    </row>
    <row r="754" spans="1:27" x14ac:dyDescent="0.3">
      <c r="A754" s="96"/>
      <c r="B754" s="96"/>
      <c r="C754" s="93"/>
      <c r="D754" s="93"/>
      <c r="E754" s="93"/>
      <c r="F754" s="93"/>
      <c r="G754" s="93" t="s">
        <v>2</v>
      </c>
      <c r="H754" s="113">
        <f t="shared" si="184"/>
        <v>1</v>
      </c>
      <c r="I754" s="128">
        <v>3</v>
      </c>
      <c r="J754" s="127" t="s">
        <v>44</v>
      </c>
      <c r="K754" s="113"/>
      <c r="L754" s="124" t="s">
        <v>42</v>
      </c>
      <c r="M754" s="93"/>
      <c r="N754" s="104">
        <v>5</v>
      </c>
      <c r="O754" s="104"/>
      <c r="U754" s="122" t="str">
        <f t="shared" si="185"/>
        <v>BCV130PP04</v>
      </c>
      <c r="W754" s="96"/>
      <c r="X754" s="105" t="str">
        <f t="shared" si="186"/>
        <v>BR4-2110-E-00221</v>
      </c>
      <c r="Y754" s="92" t="str">
        <f t="shared" si="187"/>
        <v>A</v>
      </c>
      <c r="Z754" s="92"/>
      <c r="AA754" s="9"/>
    </row>
    <row r="755" spans="1:27" ht="13.5" thickBot="1" x14ac:dyDescent="0.35">
      <c r="A755" s="96"/>
      <c r="B755" s="96"/>
      <c r="C755" s="93"/>
      <c r="D755" s="93"/>
      <c r="E755" s="93"/>
      <c r="F755" s="93"/>
      <c r="G755" s="93" t="s">
        <v>2</v>
      </c>
      <c r="H755" s="113">
        <f t="shared" si="184"/>
        <v>1</v>
      </c>
      <c r="I755" s="126">
        <v>4</v>
      </c>
      <c r="J755" s="125" t="s">
        <v>43</v>
      </c>
      <c r="K755" s="113"/>
      <c r="L755" s="124" t="s">
        <v>42</v>
      </c>
      <c r="M755" s="93"/>
      <c r="N755" s="104">
        <v>5</v>
      </c>
      <c r="O755" s="104"/>
      <c r="P755" s="123" t="s">
        <v>41</v>
      </c>
      <c r="Q755" s="121"/>
      <c r="R755" s="121" t="s">
        <v>40</v>
      </c>
      <c r="S755" s="104" t="s">
        <v>39</v>
      </c>
      <c r="T755" s="29" t="s">
        <v>38</v>
      </c>
      <c r="U755" s="122" t="str">
        <f t="shared" si="185"/>
        <v>BCV130PP04</v>
      </c>
      <c r="W755" s="96"/>
      <c r="X755" s="105" t="str">
        <f t="shared" si="186"/>
        <v>BR4-2110-E-00221</v>
      </c>
      <c r="Y755" s="92" t="str">
        <f t="shared" si="187"/>
        <v>A</v>
      </c>
      <c r="Z755" s="92"/>
      <c r="AA755" s="9"/>
    </row>
    <row r="756" spans="1:27" ht="13.5" thickBot="1" x14ac:dyDescent="0.35">
      <c r="A756" s="96"/>
      <c r="B756" s="96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113"/>
      <c r="Z756" s="92"/>
      <c r="AA756" s="9"/>
    </row>
    <row r="757" spans="1:27" x14ac:dyDescent="0.3">
      <c r="A757" s="96"/>
      <c r="B757" s="96"/>
      <c r="C757" s="93" t="s">
        <v>73</v>
      </c>
      <c r="D757" s="93"/>
      <c r="E757" s="93"/>
      <c r="F757" s="93"/>
      <c r="G757" s="93" t="s">
        <v>2</v>
      </c>
      <c r="H757" s="120">
        <v>1</v>
      </c>
      <c r="I757" s="134">
        <v>1</v>
      </c>
      <c r="J757" s="133" t="s">
        <v>74</v>
      </c>
      <c r="K757" s="113" t="s">
        <v>73</v>
      </c>
      <c r="L757" s="124" t="s">
        <v>21</v>
      </c>
      <c r="M757" s="93"/>
      <c r="N757" s="93">
        <v>4</v>
      </c>
      <c r="O757" s="93"/>
      <c r="P757" s="130" t="s">
        <v>72</v>
      </c>
      <c r="Q757" s="124"/>
      <c r="R757" s="105" t="s">
        <v>40</v>
      </c>
      <c r="S757" s="105" t="s">
        <v>24</v>
      </c>
      <c r="T757" s="32" t="s">
        <v>38</v>
      </c>
      <c r="U757" s="93" t="s">
        <v>97</v>
      </c>
      <c r="X757" s="105" t="s">
        <v>96</v>
      </c>
      <c r="Y757" s="94" t="s">
        <v>4</v>
      </c>
      <c r="Z757" s="92"/>
      <c r="AA757" s="9"/>
    </row>
    <row r="758" spans="1:27" x14ac:dyDescent="0.3">
      <c r="A758" s="96"/>
      <c r="B758" s="96"/>
      <c r="C758" s="93"/>
      <c r="D758" s="93"/>
      <c r="E758" s="93"/>
      <c r="F758" s="93"/>
      <c r="G758" s="93" t="s">
        <v>2</v>
      </c>
      <c r="H758" s="113">
        <f t="shared" ref="H758:H766" si="188">H757</f>
        <v>1</v>
      </c>
      <c r="I758" s="128">
        <v>2</v>
      </c>
      <c r="J758" s="131" t="s">
        <v>69</v>
      </c>
      <c r="K758" s="107" t="s">
        <v>0</v>
      </c>
      <c r="L758" s="124" t="s">
        <v>21</v>
      </c>
      <c r="M758" s="93"/>
      <c r="N758" s="104">
        <v>5</v>
      </c>
      <c r="O758" s="104"/>
      <c r="P758" s="123" t="s">
        <v>68</v>
      </c>
      <c r="Q758" s="121"/>
      <c r="R758" s="121" t="s">
        <v>40</v>
      </c>
      <c r="S758" s="105" t="s">
        <v>67</v>
      </c>
      <c r="T758" s="32" t="s">
        <v>38</v>
      </c>
      <c r="U758" s="122" t="str">
        <f t="shared" ref="U758:U766" si="189">+U757</f>
        <v>BCV130FN01</v>
      </c>
      <c r="X758" s="105" t="str">
        <f t="shared" ref="X758:X766" si="190">+X757</f>
        <v>BR4-2110-E-00231</v>
      </c>
      <c r="Y758" s="92" t="str">
        <f t="shared" ref="Y758:Y766" si="191">+Y757</f>
        <v>A</v>
      </c>
      <c r="Z758" s="92"/>
      <c r="AA758" s="9"/>
    </row>
    <row r="759" spans="1:27" x14ac:dyDescent="0.3">
      <c r="A759" s="96"/>
      <c r="B759" s="96"/>
      <c r="C759" s="93"/>
      <c r="D759" s="93"/>
      <c r="E759" s="93"/>
      <c r="F759" s="93"/>
      <c r="G759" s="93" t="s">
        <v>2</v>
      </c>
      <c r="H759" s="113">
        <f t="shared" si="188"/>
        <v>1</v>
      </c>
      <c r="I759" s="128">
        <v>3</v>
      </c>
      <c r="J759" s="131" t="s">
        <v>66</v>
      </c>
      <c r="K759" s="113"/>
      <c r="L759" s="124" t="s">
        <v>21</v>
      </c>
      <c r="M759" s="93"/>
      <c r="N759" s="93">
        <v>5</v>
      </c>
      <c r="O759" s="93"/>
      <c r="P759" s="34" t="s">
        <v>65</v>
      </c>
      <c r="Q759" s="12"/>
      <c r="R759" s="93" t="s">
        <v>64</v>
      </c>
      <c r="S759" s="93" t="s">
        <v>24</v>
      </c>
      <c r="T759" s="33" t="s">
        <v>63</v>
      </c>
      <c r="U759" s="122" t="str">
        <f t="shared" si="189"/>
        <v>BCV130FN01</v>
      </c>
      <c r="X759" s="105" t="str">
        <f t="shared" si="190"/>
        <v>BR4-2110-E-00231</v>
      </c>
      <c r="Y759" s="92" t="str">
        <f t="shared" si="191"/>
        <v>A</v>
      </c>
      <c r="Z759" s="92"/>
      <c r="AA759" s="9"/>
    </row>
    <row r="760" spans="1:27" x14ac:dyDescent="0.3">
      <c r="A760" s="96"/>
      <c r="B760" s="96"/>
      <c r="C760" s="93"/>
      <c r="D760" s="93"/>
      <c r="E760" s="93"/>
      <c r="F760" s="93"/>
      <c r="G760" s="93" t="s">
        <v>2</v>
      </c>
      <c r="H760" s="113">
        <f t="shared" si="188"/>
        <v>1</v>
      </c>
      <c r="I760" s="128">
        <v>4</v>
      </c>
      <c r="J760" s="131" t="s">
        <v>62</v>
      </c>
      <c r="K760" s="113"/>
      <c r="L760" s="124" t="s">
        <v>21</v>
      </c>
      <c r="M760" s="93"/>
      <c r="N760" s="93">
        <v>4</v>
      </c>
      <c r="O760" s="93"/>
      <c r="P760" s="130" t="s">
        <v>61</v>
      </c>
      <c r="Q760" s="124"/>
      <c r="R760" s="93" t="s">
        <v>60</v>
      </c>
      <c r="S760" s="93" t="s">
        <v>18</v>
      </c>
      <c r="T760" s="32" t="s">
        <v>59</v>
      </c>
      <c r="U760" s="122" t="str">
        <f t="shared" si="189"/>
        <v>BCV130FN01</v>
      </c>
      <c r="X760" s="105" t="str">
        <f t="shared" si="190"/>
        <v>BR4-2110-E-00231</v>
      </c>
      <c r="Y760" s="92" t="str">
        <f t="shared" si="191"/>
        <v>A</v>
      </c>
      <c r="Z760" s="92"/>
      <c r="AA760" s="9"/>
    </row>
    <row r="761" spans="1:27" x14ac:dyDescent="0.3">
      <c r="A761" s="96"/>
      <c r="B761" s="96"/>
      <c r="C761" s="93"/>
      <c r="D761" s="93"/>
      <c r="E761" s="93"/>
      <c r="F761" s="93"/>
      <c r="G761" s="93" t="s">
        <v>2</v>
      </c>
      <c r="H761" s="113">
        <f t="shared" si="188"/>
        <v>1</v>
      </c>
      <c r="I761" s="128">
        <v>5</v>
      </c>
      <c r="J761" s="131" t="s">
        <v>58</v>
      </c>
      <c r="K761" s="113"/>
      <c r="L761" s="124" t="s">
        <v>21</v>
      </c>
      <c r="M761" s="93"/>
      <c r="N761" s="93"/>
      <c r="O761" s="93"/>
      <c r="P761" s="124"/>
      <c r="Q761" s="124"/>
      <c r="R761" s="93"/>
      <c r="S761" s="32"/>
      <c r="T761" s="32"/>
      <c r="U761" s="122" t="str">
        <f t="shared" si="189"/>
        <v>BCV130FN01</v>
      </c>
      <c r="X761" s="105" t="str">
        <f t="shared" si="190"/>
        <v>BR4-2110-E-00231</v>
      </c>
      <c r="Y761" s="92" t="str">
        <f t="shared" si="191"/>
        <v>A</v>
      </c>
      <c r="Z761" s="92"/>
      <c r="AA761" s="9"/>
    </row>
    <row r="762" spans="1:27" x14ac:dyDescent="0.3">
      <c r="A762" s="96"/>
      <c r="B762" s="96"/>
      <c r="C762" s="93"/>
      <c r="D762" s="93"/>
      <c r="E762" s="93"/>
      <c r="F762" s="93"/>
      <c r="G762" s="93" t="s">
        <v>2</v>
      </c>
      <c r="H762" s="113">
        <f t="shared" si="188"/>
        <v>1</v>
      </c>
      <c r="I762" s="128">
        <v>6</v>
      </c>
      <c r="J762" s="131" t="s">
        <v>57</v>
      </c>
      <c r="K762" s="113"/>
      <c r="L762" s="124" t="s">
        <v>21</v>
      </c>
      <c r="M762" s="93"/>
      <c r="N762" s="93">
        <v>4</v>
      </c>
      <c r="O762" s="93"/>
      <c r="P762" s="130" t="s">
        <v>56</v>
      </c>
      <c r="Q762" s="124"/>
      <c r="R762" s="93" t="s">
        <v>55</v>
      </c>
      <c r="S762" s="32" t="s">
        <v>54</v>
      </c>
      <c r="T762" s="32"/>
      <c r="U762" s="122" t="str">
        <f t="shared" si="189"/>
        <v>BCV130FN01</v>
      </c>
      <c r="X762" s="105" t="str">
        <f t="shared" si="190"/>
        <v>BR4-2110-E-00231</v>
      </c>
      <c r="Y762" s="92" t="str">
        <f t="shared" si="191"/>
        <v>A</v>
      </c>
      <c r="Z762" s="92"/>
      <c r="AA762" s="9"/>
    </row>
    <row r="763" spans="1:27" x14ac:dyDescent="0.3">
      <c r="A763" s="96"/>
      <c r="B763" s="96"/>
      <c r="C763" s="93"/>
      <c r="D763" s="93"/>
      <c r="E763" s="93"/>
      <c r="F763" s="93"/>
      <c r="G763" s="93" t="s">
        <v>2</v>
      </c>
      <c r="H763" s="113">
        <f t="shared" si="188"/>
        <v>1</v>
      </c>
      <c r="I763" s="128">
        <v>1</v>
      </c>
      <c r="J763" s="131" t="s">
        <v>53</v>
      </c>
      <c r="K763" s="113"/>
      <c r="L763" s="124" t="s">
        <v>42</v>
      </c>
      <c r="M763" s="93"/>
      <c r="N763" s="93">
        <v>4</v>
      </c>
      <c r="O763" s="93"/>
      <c r="P763" s="130" t="s">
        <v>52</v>
      </c>
      <c r="Q763" s="124"/>
      <c r="R763" s="93" t="s">
        <v>51</v>
      </c>
      <c r="S763" s="93" t="s">
        <v>24</v>
      </c>
      <c r="T763" s="32" t="s">
        <v>50</v>
      </c>
      <c r="U763" s="122" t="str">
        <f t="shared" si="189"/>
        <v>BCV130FN01</v>
      </c>
      <c r="X763" s="105" t="str">
        <f t="shared" si="190"/>
        <v>BR4-2110-E-00231</v>
      </c>
      <c r="Y763" s="92" t="str">
        <f t="shared" si="191"/>
        <v>A</v>
      </c>
      <c r="Z763" s="92"/>
      <c r="AA763" s="9"/>
    </row>
    <row r="764" spans="1:27" x14ac:dyDescent="0.3">
      <c r="A764" s="96"/>
      <c r="B764" s="96"/>
      <c r="C764" s="93"/>
      <c r="D764" s="93"/>
      <c r="E764" s="93"/>
      <c r="F764" s="93"/>
      <c r="G764" s="93" t="s">
        <v>2</v>
      </c>
      <c r="H764" s="113">
        <f t="shared" si="188"/>
        <v>1</v>
      </c>
      <c r="I764" s="128">
        <v>2</v>
      </c>
      <c r="J764" s="127" t="s">
        <v>49</v>
      </c>
      <c r="K764" s="113"/>
      <c r="L764" s="124" t="s">
        <v>42</v>
      </c>
      <c r="M764" s="93"/>
      <c r="N764" s="104">
        <v>5</v>
      </c>
      <c r="O764" s="93"/>
      <c r="P764" s="123" t="s">
        <v>48</v>
      </c>
      <c r="Q764" s="121"/>
      <c r="R764" s="121" t="s">
        <v>47</v>
      </c>
      <c r="S764" s="104" t="s">
        <v>46</v>
      </c>
      <c r="T764" s="129" t="s">
        <v>45</v>
      </c>
      <c r="U764" s="122" t="str">
        <f t="shared" si="189"/>
        <v>BCV130FN01</v>
      </c>
      <c r="W764" s="96"/>
      <c r="X764" s="105" t="str">
        <f t="shared" si="190"/>
        <v>BR4-2110-E-00231</v>
      </c>
      <c r="Y764" s="92" t="str">
        <f t="shared" si="191"/>
        <v>A</v>
      </c>
      <c r="Z764" s="92"/>
      <c r="AA764" s="9"/>
    </row>
    <row r="765" spans="1:27" x14ac:dyDescent="0.3">
      <c r="A765" s="96"/>
      <c r="B765" s="96"/>
      <c r="C765" s="93"/>
      <c r="D765" s="93"/>
      <c r="E765" s="93"/>
      <c r="F765" s="93"/>
      <c r="G765" s="93" t="s">
        <v>2</v>
      </c>
      <c r="H765" s="113">
        <f t="shared" si="188"/>
        <v>1</v>
      </c>
      <c r="I765" s="128">
        <v>3</v>
      </c>
      <c r="J765" s="127" t="s">
        <v>44</v>
      </c>
      <c r="K765" s="113"/>
      <c r="L765" s="124" t="s">
        <v>42</v>
      </c>
      <c r="M765" s="93"/>
      <c r="N765" s="104">
        <v>5</v>
      </c>
      <c r="O765" s="104"/>
      <c r="U765" s="122" t="str">
        <f t="shared" si="189"/>
        <v>BCV130FN01</v>
      </c>
      <c r="W765" s="96"/>
      <c r="X765" s="105" t="str">
        <f t="shared" si="190"/>
        <v>BR4-2110-E-00231</v>
      </c>
      <c r="Y765" s="92" t="str">
        <f t="shared" si="191"/>
        <v>A</v>
      </c>
      <c r="Z765" s="92"/>
      <c r="AA765" s="9"/>
    </row>
    <row r="766" spans="1:27" ht="13.5" thickBot="1" x14ac:dyDescent="0.35">
      <c r="A766" s="96"/>
      <c r="B766" s="96"/>
      <c r="C766" s="93"/>
      <c r="D766" s="93"/>
      <c r="E766" s="93"/>
      <c r="F766" s="93"/>
      <c r="G766" s="93" t="s">
        <v>2</v>
      </c>
      <c r="H766" s="113">
        <f t="shared" si="188"/>
        <v>1</v>
      </c>
      <c r="I766" s="126">
        <v>4</v>
      </c>
      <c r="J766" s="125" t="s">
        <v>43</v>
      </c>
      <c r="K766" s="113"/>
      <c r="L766" s="124" t="s">
        <v>42</v>
      </c>
      <c r="M766" s="93"/>
      <c r="N766" s="104">
        <v>5</v>
      </c>
      <c r="O766" s="104"/>
      <c r="P766" s="123" t="s">
        <v>41</v>
      </c>
      <c r="Q766" s="121"/>
      <c r="R766" s="121" t="s">
        <v>40</v>
      </c>
      <c r="S766" s="104" t="s">
        <v>39</v>
      </c>
      <c r="T766" s="29" t="s">
        <v>38</v>
      </c>
      <c r="U766" s="122" t="str">
        <f t="shared" si="189"/>
        <v>BCV130FN01</v>
      </c>
      <c r="W766" s="96"/>
      <c r="X766" s="105" t="str">
        <f t="shared" si="190"/>
        <v>BR4-2110-E-00231</v>
      </c>
      <c r="Y766" s="92" t="str">
        <f t="shared" si="191"/>
        <v>A</v>
      </c>
      <c r="Z766" s="92"/>
      <c r="AA766" s="9"/>
    </row>
    <row r="767" spans="1:27" ht="13.5" thickBot="1" x14ac:dyDescent="0.35">
      <c r="A767" s="96"/>
      <c r="B767" s="96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2"/>
      <c r="Y767" s="94"/>
      <c r="Z767" s="92"/>
      <c r="AA767" s="9"/>
    </row>
    <row r="768" spans="1:27" x14ac:dyDescent="0.3">
      <c r="A768" s="96"/>
      <c r="B768" s="96"/>
      <c r="C768" s="93" t="s">
        <v>73</v>
      </c>
      <c r="D768" s="93"/>
      <c r="E768" s="93"/>
      <c r="F768" s="93"/>
      <c r="G768" s="93" t="s">
        <v>2</v>
      </c>
      <c r="H768" s="120">
        <v>1</v>
      </c>
      <c r="I768" s="134">
        <v>1</v>
      </c>
      <c r="J768" s="133" t="s">
        <v>74</v>
      </c>
      <c r="K768" s="113" t="s">
        <v>73</v>
      </c>
      <c r="L768" s="124" t="s">
        <v>21</v>
      </c>
      <c r="M768" s="93"/>
      <c r="N768" s="93">
        <v>4</v>
      </c>
      <c r="O768" s="93"/>
      <c r="P768" s="130" t="s">
        <v>72</v>
      </c>
      <c r="Q768" s="124"/>
      <c r="R768" s="105" t="s">
        <v>40</v>
      </c>
      <c r="S768" s="105" t="s">
        <v>24</v>
      </c>
      <c r="T768" s="32" t="s">
        <v>38</v>
      </c>
      <c r="U768" s="93" t="s">
        <v>95</v>
      </c>
      <c r="X768" s="105" t="s">
        <v>94</v>
      </c>
      <c r="Y768" s="94" t="s">
        <v>4</v>
      </c>
      <c r="Z768" s="92"/>
      <c r="AA768" s="9"/>
    </row>
    <row r="769" spans="1:27" x14ac:dyDescent="0.3">
      <c r="A769" s="96"/>
      <c r="B769" s="96"/>
      <c r="C769" s="93"/>
      <c r="D769" s="93"/>
      <c r="E769" s="93"/>
      <c r="F769" s="93"/>
      <c r="G769" s="93" t="s">
        <v>2</v>
      </c>
      <c r="H769" s="113">
        <f t="shared" ref="H769:H777" si="192">H768</f>
        <v>1</v>
      </c>
      <c r="I769" s="128">
        <v>2</v>
      </c>
      <c r="J769" s="131" t="s">
        <v>69</v>
      </c>
      <c r="K769" s="107" t="s">
        <v>0</v>
      </c>
      <c r="L769" s="124" t="s">
        <v>21</v>
      </c>
      <c r="M769" s="93"/>
      <c r="N769" s="104">
        <v>5</v>
      </c>
      <c r="O769" s="104"/>
      <c r="P769" s="123" t="s">
        <v>68</v>
      </c>
      <c r="Q769" s="121"/>
      <c r="R769" s="121" t="s">
        <v>40</v>
      </c>
      <c r="S769" s="105" t="s">
        <v>67</v>
      </c>
      <c r="T769" s="32" t="s">
        <v>38</v>
      </c>
      <c r="U769" s="122" t="str">
        <f t="shared" ref="U769:U777" si="193">+U768</f>
        <v>BCV130FN02</v>
      </c>
      <c r="X769" s="105" t="str">
        <f t="shared" ref="X769:X777" si="194">+X768</f>
        <v>BR4-2110-E-00216</v>
      </c>
      <c r="Y769" s="92" t="str">
        <f t="shared" ref="Y769:Y777" si="195">+Y768</f>
        <v>A</v>
      </c>
      <c r="Z769" s="92"/>
      <c r="AA769" s="9"/>
    </row>
    <row r="770" spans="1:27" x14ac:dyDescent="0.3">
      <c r="A770" s="96"/>
      <c r="B770" s="96"/>
      <c r="C770" s="93"/>
      <c r="D770" s="93"/>
      <c r="E770" s="93"/>
      <c r="F770" s="93"/>
      <c r="G770" s="93" t="s">
        <v>2</v>
      </c>
      <c r="H770" s="113">
        <f t="shared" si="192"/>
        <v>1</v>
      </c>
      <c r="I770" s="128">
        <v>3</v>
      </c>
      <c r="J770" s="131" t="s">
        <v>66</v>
      </c>
      <c r="K770" s="113"/>
      <c r="L770" s="124" t="s">
        <v>21</v>
      </c>
      <c r="M770" s="93"/>
      <c r="N770" s="93">
        <v>5</v>
      </c>
      <c r="O770" s="93"/>
      <c r="P770" s="34" t="s">
        <v>65</v>
      </c>
      <c r="Q770" s="12"/>
      <c r="R770" s="93" t="s">
        <v>64</v>
      </c>
      <c r="S770" s="93" t="s">
        <v>24</v>
      </c>
      <c r="T770" s="33" t="s">
        <v>63</v>
      </c>
      <c r="U770" s="122" t="str">
        <f t="shared" si="193"/>
        <v>BCV130FN02</v>
      </c>
      <c r="X770" s="105" t="str">
        <f t="shared" si="194"/>
        <v>BR4-2110-E-00216</v>
      </c>
      <c r="Y770" s="92" t="str">
        <f t="shared" si="195"/>
        <v>A</v>
      </c>
      <c r="Z770" s="92"/>
      <c r="AA770" s="9"/>
    </row>
    <row r="771" spans="1:27" x14ac:dyDescent="0.3">
      <c r="A771" s="96"/>
      <c r="B771" s="96"/>
      <c r="C771" s="93"/>
      <c r="D771" s="93"/>
      <c r="E771" s="93"/>
      <c r="F771" s="93"/>
      <c r="G771" s="93" t="s">
        <v>2</v>
      </c>
      <c r="H771" s="113">
        <f t="shared" si="192"/>
        <v>1</v>
      </c>
      <c r="I771" s="128">
        <v>4</v>
      </c>
      <c r="J771" s="131" t="s">
        <v>62</v>
      </c>
      <c r="K771" s="113"/>
      <c r="L771" s="124" t="s">
        <v>21</v>
      </c>
      <c r="M771" s="93"/>
      <c r="N771" s="93">
        <v>4</v>
      </c>
      <c r="O771" s="93"/>
      <c r="P771" s="130" t="s">
        <v>61</v>
      </c>
      <c r="Q771" s="124"/>
      <c r="R771" s="93" t="s">
        <v>60</v>
      </c>
      <c r="S771" s="93" t="s">
        <v>18</v>
      </c>
      <c r="T771" s="32" t="s">
        <v>59</v>
      </c>
      <c r="U771" s="122" t="str">
        <f t="shared" si="193"/>
        <v>BCV130FN02</v>
      </c>
      <c r="X771" s="105" t="str">
        <f t="shared" si="194"/>
        <v>BR4-2110-E-00216</v>
      </c>
      <c r="Y771" s="92" t="str">
        <f t="shared" si="195"/>
        <v>A</v>
      </c>
      <c r="Z771" s="92"/>
      <c r="AA771" s="9"/>
    </row>
    <row r="772" spans="1:27" x14ac:dyDescent="0.3">
      <c r="A772" s="96"/>
      <c r="B772" s="96"/>
      <c r="C772" s="93"/>
      <c r="D772" s="93"/>
      <c r="E772" s="93"/>
      <c r="F772" s="93"/>
      <c r="G772" s="93" t="s">
        <v>2</v>
      </c>
      <c r="H772" s="113">
        <f t="shared" si="192"/>
        <v>1</v>
      </c>
      <c r="I772" s="128">
        <v>5</v>
      </c>
      <c r="J772" s="131" t="s">
        <v>58</v>
      </c>
      <c r="K772" s="113"/>
      <c r="L772" s="124" t="s">
        <v>21</v>
      </c>
      <c r="M772" s="93"/>
      <c r="N772" s="93"/>
      <c r="O772" s="93"/>
      <c r="P772" s="124"/>
      <c r="Q772" s="124"/>
      <c r="R772" s="93"/>
      <c r="S772" s="32"/>
      <c r="T772" s="32"/>
      <c r="U772" s="122" t="str">
        <f t="shared" si="193"/>
        <v>BCV130FN02</v>
      </c>
      <c r="X772" s="105" t="str">
        <f t="shared" si="194"/>
        <v>BR4-2110-E-00216</v>
      </c>
      <c r="Y772" s="92" t="str">
        <f t="shared" si="195"/>
        <v>A</v>
      </c>
      <c r="Z772" s="92"/>
      <c r="AA772" s="9"/>
    </row>
    <row r="773" spans="1:27" x14ac:dyDescent="0.3">
      <c r="A773" s="96"/>
      <c r="B773" s="96"/>
      <c r="C773" s="93"/>
      <c r="D773" s="93"/>
      <c r="E773" s="93"/>
      <c r="F773" s="93"/>
      <c r="G773" s="93" t="s">
        <v>2</v>
      </c>
      <c r="H773" s="113">
        <f t="shared" si="192"/>
        <v>1</v>
      </c>
      <c r="I773" s="128">
        <v>6</v>
      </c>
      <c r="J773" s="131" t="s">
        <v>57</v>
      </c>
      <c r="K773" s="113"/>
      <c r="L773" s="124" t="s">
        <v>21</v>
      </c>
      <c r="M773" s="93"/>
      <c r="N773" s="93">
        <v>4</v>
      </c>
      <c r="O773" s="93"/>
      <c r="P773" s="130" t="s">
        <v>56</v>
      </c>
      <c r="Q773" s="124"/>
      <c r="R773" s="93" t="s">
        <v>55</v>
      </c>
      <c r="S773" s="32" t="s">
        <v>54</v>
      </c>
      <c r="T773" s="32"/>
      <c r="U773" s="122" t="str">
        <f t="shared" si="193"/>
        <v>BCV130FN02</v>
      </c>
      <c r="X773" s="105" t="str">
        <f t="shared" si="194"/>
        <v>BR4-2110-E-00216</v>
      </c>
      <c r="Y773" s="92" t="str">
        <f t="shared" si="195"/>
        <v>A</v>
      </c>
      <c r="Z773" s="92"/>
      <c r="AA773" s="9"/>
    </row>
    <row r="774" spans="1:27" x14ac:dyDescent="0.3">
      <c r="A774" s="96"/>
      <c r="B774" s="96"/>
      <c r="C774" s="93"/>
      <c r="D774" s="93"/>
      <c r="E774" s="93"/>
      <c r="F774" s="93"/>
      <c r="G774" s="93" t="s">
        <v>2</v>
      </c>
      <c r="H774" s="113">
        <f t="shared" si="192"/>
        <v>1</v>
      </c>
      <c r="I774" s="128">
        <v>1</v>
      </c>
      <c r="J774" s="131" t="s">
        <v>53</v>
      </c>
      <c r="K774" s="113"/>
      <c r="L774" s="124" t="s">
        <v>42</v>
      </c>
      <c r="M774" s="93"/>
      <c r="N774" s="93">
        <v>4</v>
      </c>
      <c r="O774" s="93"/>
      <c r="P774" s="130" t="s">
        <v>52</v>
      </c>
      <c r="Q774" s="124"/>
      <c r="R774" s="93" t="s">
        <v>51</v>
      </c>
      <c r="S774" s="93" t="s">
        <v>24</v>
      </c>
      <c r="T774" s="32" t="s">
        <v>50</v>
      </c>
      <c r="U774" s="122" t="str">
        <f t="shared" si="193"/>
        <v>BCV130FN02</v>
      </c>
      <c r="X774" s="105" t="str">
        <f t="shared" si="194"/>
        <v>BR4-2110-E-00216</v>
      </c>
      <c r="Y774" s="92" t="str">
        <f t="shared" si="195"/>
        <v>A</v>
      </c>
      <c r="Z774" s="92"/>
      <c r="AA774" s="9"/>
    </row>
    <row r="775" spans="1:27" x14ac:dyDescent="0.3">
      <c r="A775" s="96"/>
      <c r="B775" s="96"/>
      <c r="C775" s="93"/>
      <c r="D775" s="93"/>
      <c r="E775" s="93"/>
      <c r="F775" s="93"/>
      <c r="G775" s="93" t="s">
        <v>2</v>
      </c>
      <c r="H775" s="113">
        <f t="shared" si="192"/>
        <v>1</v>
      </c>
      <c r="I775" s="128">
        <v>2</v>
      </c>
      <c r="J775" s="127" t="s">
        <v>49</v>
      </c>
      <c r="K775" s="113"/>
      <c r="L775" s="124" t="s">
        <v>42</v>
      </c>
      <c r="M775" s="93"/>
      <c r="N775" s="104">
        <v>5</v>
      </c>
      <c r="O775" s="93"/>
      <c r="P775" s="123" t="s">
        <v>48</v>
      </c>
      <c r="Q775" s="121"/>
      <c r="R775" s="121" t="s">
        <v>47</v>
      </c>
      <c r="S775" s="104" t="s">
        <v>46</v>
      </c>
      <c r="T775" s="129" t="s">
        <v>45</v>
      </c>
      <c r="U775" s="122" t="str">
        <f t="shared" si="193"/>
        <v>BCV130FN02</v>
      </c>
      <c r="W775" s="96"/>
      <c r="X775" s="105" t="str">
        <f t="shared" si="194"/>
        <v>BR4-2110-E-00216</v>
      </c>
      <c r="Y775" s="92" t="str">
        <f t="shared" si="195"/>
        <v>A</v>
      </c>
      <c r="Z775" s="92"/>
      <c r="AA775" s="9"/>
    </row>
    <row r="776" spans="1:27" x14ac:dyDescent="0.3">
      <c r="A776" s="96"/>
      <c r="B776" s="96"/>
      <c r="C776" s="93"/>
      <c r="D776" s="93"/>
      <c r="E776" s="93"/>
      <c r="F776" s="93"/>
      <c r="G776" s="93" t="s">
        <v>2</v>
      </c>
      <c r="H776" s="113">
        <f t="shared" si="192"/>
        <v>1</v>
      </c>
      <c r="I776" s="128">
        <v>3</v>
      </c>
      <c r="J776" s="127" t="s">
        <v>44</v>
      </c>
      <c r="K776" s="113"/>
      <c r="L776" s="124" t="s">
        <v>42</v>
      </c>
      <c r="M776" s="93"/>
      <c r="N776" s="104">
        <v>5</v>
      </c>
      <c r="O776" s="104"/>
      <c r="U776" s="122" t="str">
        <f t="shared" si="193"/>
        <v>BCV130FN02</v>
      </c>
      <c r="W776" s="96"/>
      <c r="X776" s="105" t="str">
        <f t="shared" si="194"/>
        <v>BR4-2110-E-00216</v>
      </c>
      <c r="Y776" s="92" t="str">
        <f t="shared" si="195"/>
        <v>A</v>
      </c>
      <c r="Z776" s="92"/>
      <c r="AA776" s="9"/>
    </row>
    <row r="777" spans="1:27" ht="13.5" thickBot="1" x14ac:dyDescent="0.35">
      <c r="A777" s="96"/>
      <c r="B777" s="96"/>
      <c r="C777" s="93"/>
      <c r="D777" s="93"/>
      <c r="E777" s="93"/>
      <c r="F777" s="93"/>
      <c r="G777" s="93" t="s">
        <v>2</v>
      </c>
      <c r="H777" s="113">
        <f t="shared" si="192"/>
        <v>1</v>
      </c>
      <c r="I777" s="126">
        <v>4</v>
      </c>
      <c r="J777" s="125" t="s">
        <v>43</v>
      </c>
      <c r="K777" s="113"/>
      <c r="L777" s="124" t="s">
        <v>42</v>
      </c>
      <c r="M777" s="93"/>
      <c r="N777" s="104">
        <v>5</v>
      </c>
      <c r="O777" s="104"/>
      <c r="P777" s="123" t="s">
        <v>41</v>
      </c>
      <c r="Q777" s="121"/>
      <c r="R777" s="121" t="s">
        <v>40</v>
      </c>
      <c r="S777" s="104" t="s">
        <v>39</v>
      </c>
      <c r="T777" s="29" t="s">
        <v>38</v>
      </c>
      <c r="U777" s="122" t="str">
        <f t="shared" si="193"/>
        <v>BCV130FN02</v>
      </c>
      <c r="W777" s="96"/>
      <c r="X777" s="105" t="str">
        <f t="shared" si="194"/>
        <v>BR4-2110-E-00216</v>
      </c>
      <c r="Y777" s="92" t="str">
        <f t="shared" si="195"/>
        <v>A</v>
      </c>
      <c r="Z777" s="92"/>
      <c r="AA777" s="9"/>
    </row>
    <row r="778" spans="1:27" ht="13.5" thickBot="1" x14ac:dyDescent="0.35">
      <c r="A778" s="96"/>
      <c r="B778" s="96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113"/>
      <c r="Z778" s="92"/>
      <c r="AA778" s="9"/>
    </row>
    <row r="779" spans="1:27" x14ac:dyDescent="0.3">
      <c r="A779" s="96"/>
      <c r="B779" s="96"/>
      <c r="C779" s="93" t="s">
        <v>73</v>
      </c>
      <c r="D779" s="93"/>
      <c r="E779" s="93"/>
      <c r="F779" s="93"/>
      <c r="G779" s="93" t="s">
        <v>2</v>
      </c>
      <c r="H779" s="120">
        <v>1</v>
      </c>
      <c r="I779" s="134">
        <v>1</v>
      </c>
      <c r="J779" s="133" t="s">
        <v>74</v>
      </c>
      <c r="K779" s="113" t="s">
        <v>73</v>
      </c>
      <c r="L779" s="124" t="s">
        <v>21</v>
      </c>
      <c r="M779" s="93"/>
      <c r="N779" s="93">
        <v>4</v>
      </c>
      <c r="O779" s="93"/>
      <c r="P779" s="130" t="s">
        <v>72</v>
      </c>
      <c r="Q779" s="124"/>
      <c r="R779" s="105" t="s">
        <v>40</v>
      </c>
      <c r="S779" s="105" t="s">
        <v>24</v>
      </c>
      <c r="T779" s="32" t="s">
        <v>38</v>
      </c>
      <c r="U779" s="137" t="s">
        <v>92</v>
      </c>
      <c r="X779" s="105" t="s">
        <v>93</v>
      </c>
      <c r="Y779" s="94" t="s">
        <v>4</v>
      </c>
      <c r="Z779" s="92"/>
      <c r="AA779" s="9"/>
    </row>
    <row r="780" spans="1:27" x14ac:dyDescent="0.3">
      <c r="A780" s="96"/>
      <c r="B780" s="96"/>
      <c r="C780" s="93"/>
      <c r="D780" s="93"/>
      <c r="E780" s="93"/>
      <c r="F780" s="93"/>
      <c r="G780" s="93" t="s">
        <v>2</v>
      </c>
      <c r="H780" s="113">
        <f t="shared" ref="H780:H788" si="196">H779</f>
        <v>1</v>
      </c>
      <c r="I780" s="128">
        <v>2</v>
      </c>
      <c r="J780" s="131" t="s">
        <v>69</v>
      </c>
      <c r="K780" s="107" t="s">
        <v>0</v>
      </c>
      <c r="L780" s="124" t="s">
        <v>21</v>
      </c>
      <c r="M780" s="93"/>
      <c r="N780" s="104">
        <v>5</v>
      </c>
      <c r="O780" s="104"/>
      <c r="P780" s="123" t="s">
        <v>68</v>
      </c>
      <c r="Q780" s="121"/>
      <c r="R780" s="121" t="s">
        <v>40</v>
      </c>
      <c r="S780" s="105" t="s">
        <v>67</v>
      </c>
      <c r="T780" s="32" t="s">
        <v>38</v>
      </c>
      <c r="U780" s="137" t="s">
        <v>92</v>
      </c>
      <c r="X780" s="105" t="s">
        <v>93</v>
      </c>
      <c r="Y780" s="94" t="s">
        <v>4</v>
      </c>
      <c r="Z780" s="92"/>
      <c r="AA780" s="9"/>
    </row>
    <row r="781" spans="1:27" x14ac:dyDescent="0.3">
      <c r="A781" s="96"/>
      <c r="B781" s="96"/>
      <c r="C781" s="93"/>
      <c r="D781" s="93"/>
      <c r="E781" s="93"/>
      <c r="F781" s="93"/>
      <c r="G781" s="93" t="s">
        <v>2</v>
      </c>
      <c r="H781" s="113">
        <f t="shared" si="196"/>
        <v>1</v>
      </c>
      <c r="I781" s="128">
        <v>3</v>
      </c>
      <c r="J781" s="131" t="s">
        <v>66</v>
      </c>
      <c r="K781" s="113"/>
      <c r="L781" s="124" t="s">
        <v>21</v>
      </c>
      <c r="M781" s="93"/>
      <c r="N781" s="93">
        <v>5</v>
      </c>
      <c r="O781" s="93"/>
      <c r="P781" s="34" t="s">
        <v>65</v>
      </c>
      <c r="Q781" s="12"/>
      <c r="R781" s="93" t="s">
        <v>64</v>
      </c>
      <c r="S781" s="93" t="s">
        <v>24</v>
      </c>
      <c r="T781" s="33" t="s">
        <v>63</v>
      </c>
      <c r="U781" s="137" t="s">
        <v>92</v>
      </c>
      <c r="X781" s="105" t="s">
        <v>93</v>
      </c>
      <c r="Y781" s="94" t="s">
        <v>4</v>
      </c>
      <c r="Z781" s="92"/>
      <c r="AA781" s="9"/>
    </row>
    <row r="782" spans="1:27" x14ac:dyDescent="0.3">
      <c r="A782" s="96"/>
      <c r="B782" s="96"/>
      <c r="C782" s="93"/>
      <c r="D782" s="93"/>
      <c r="E782" s="93"/>
      <c r="F782" s="93"/>
      <c r="G782" s="93" t="s">
        <v>2</v>
      </c>
      <c r="H782" s="113">
        <f t="shared" si="196"/>
        <v>1</v>
      </c>
      <c r="I782" s="128">
        <v>4</v>
      </c>
      <c r="J782" s="131" t="s">
        <v>62</v>
      </c>
      <c r="K782" s="113"/>
      <c r="L782" s="124" t="s">
        <v>21</v>
      </c>
      <c r="M782" s="93"/>
      <c r="N782" s="93">
        <v>4</v>
      </c>
      <c r="O782" s="93"/>
      <c r="P782" s="130" t="s">
        <v>61</v>
      </c>
      <c r="Q782" s="124"/>
      <c r="R782" s="93" t="s">
        <v>60</v>
      </c>
      <c r="S782" s="93" t="s">
        <v>18</v>
      </c>
      <c r="T782" s="32" t="s">
        <v>59</v>
      </c>
      <c r="U782" s="137" t="s">
        <v>92</v>
      </c>
      <c r="X782" s="105" t="s">
        <v>93</v>
      </c>
      <c r="Y782" s="94" t="s">
        <v>4</v>
      </c>
      <c r="Z782" s="92"/>
      <c r="AA782" s="9"/>
    </row>
    <row r="783" spans="1:27" x14ac:dyDescent="0.3">
      <c r="A783" s="96"/>
      <c r="B783" s="96"/>
      <c r="C783" s="93"/>
      <c r="D783" s="93"/>
      <c r="E783" s="93"/>
      <c r="F783" s="93"/>
      <c r="G783" s="93" t="s">
        <v>2</v>
      </c>
      <c r="H783" s="113">
        <f t="shared" si="196"/>
        <v>1</v>
      </c>
      <c r="I783" s="128">
        <v>5</v>
      </c>
      <c r="J783" s="131" t="s">
        <v>58</v>
      </c>
      <c r="K783" s="113"/>
      <c r="L783" s="124" t="s">
        <v>21</v>
      </c>
      <c r="M783" s="93"/>
      <c r="N783" s="93"/>
      <c r="O783" s="93"/>
      <c r="P783" s="124"/>
      <c r="Q783" s="124"/>
      <c r="R783" s="93"/>
      <c r="S783" s="32"/>
      <c r="T783" s="32"/>
      <c r="U783" s="137" t="s">
        <v>92</v>
      </c>
      <c r="X783" s="92"/>
      <c r="Y783" s="94"/>
      <c r="Z783" s="92"/>
      <c r="AA783" s="9"/>
    </row>
    <row r="784" spans="1:27" x14ac:dyDescent="0.3">
      <c r="A784" s="96"/>
      <c r="B784" s="96"/>
      <c r="C784" s="93"/>
      <c r="D784" s="93"/>
      <c r="E784" s="93"/>
      <c r="F784" s="93"/>
      <c r="G784" s="93" t="s">
        <v>2</v>
      </c>
      <c r="H784" s="113">
        <f t="shared" si="196"/>
        <v>1</v>
      </c>
      <c r="I784" s="128">
        <v>6</v>
      </c>
      <c r="J784" s="131" t="s">
        <v>57</v>
      </c>
      <c r="K784" s="113"/>
      <c r="L784" s="124" t="s">
        <v>21</v>
      </c>
      <c r="M784" s="93"/>
      <c r="N784" s="93">
        <v>4</v>
      </c>
      <c r="O784" s="93"/>
      <c r="P784" s="130" t="s">
        <v>56</v>
      </c>
      <c r="Q784" s="124"/>
      <c r="R784" s="93" t="s">
        <v>55</v>
      </c>
      <c r="S784" s="32" t="s">
        <v>54</v>
      </c>
      <c r="T784" s="32"/>
      <c r="U784" s="137" t="s">
        <v>92</v>
      </c>
      <c r="X784" s="105" t="s">
        <v>93</v>
      </c>
      <c r="Y784" s="94" t="s">
        <v>4</v>
      </c>
      <c r="Z784" s="92"/>
      <c r="AA784" s="9"/>
    </row>
    <row r="785" spans="1:27" x14ac:dyDescent="0.3">
      <c r="A785" s="96"/>
      <c r="B785" s="96"/>
      <c r="C785" s="93"/>
      <c r="D785" s="93"/>
      <c r="E785" s="93"/>
      <c r="F785" s="93"/>
      <c r="G785" s="93" t="s">
        <v>2</v>
      </c>
      <c r="H785" s="113">
        <f t="shared" si="196"/>
        <v>1</v>
      </c>
      <c r="I785" s="128">
        <v>1</v>
      </c>
      <c r="J785" s="131" t="s">
        <v>53</v>
      </c>
      <c r="K785" s="113"/>
      <c r="L785" s="124" t="s">
        <v>42</v>
      </c>
      <c r="M785" s="93"/>
      <c r="N785" s="93">
        <v>4</v>
      </c>
      <c r="O785" s="93"/>
      <c r="P785" s="130" t="s">
        <v>52</v>
      </c>
      <c r="Q785" s="124"/>
      <c r="R785" s="93" t="s">
        <v>51</v>
      </c>
      <c r="S785" s="93" t="s">
        <v>24</v>
      </c>
      <c r="T785" s="32" t="s">
        <v>50</v>
      </c>
      <c r="U785" s="137" t="s">
        <v>92</v>
      </c>
      <c r="X785" s="105" t="s">
        <v>93</v>
      </c>
      <c r="Y785" s="94" t="s">
        <v>4</v>
      </c>
      <c r="Z785" s="92"/>
      <c r="AA785" s="9"/>
    </row>
    <row r="786" spans="1:27" x14ac:dyDescent="0.3">
      <c r="A786" s="96"/>
      <c r="B786" s="96"/>
      <c r="C786" s="93"/>
      <c r="D786" s="93"/>
      <c r="E786" s="93"/>
      <c r="F786" s="93"/>
      <c r="G786" s="93" t="s">
        <v>2</v>
      </c>
      <c r="H786" s="113">
        <f t="shared" si="196"/>
        <v>1</v>
      </c>
      <c r="I786" s="128">
        <v>2</v>
      </c>
      <c r="J786" s="127" t="s">
        <v>49</v>
      </c>
      <c r="K786" s="113"/>
      <c r="L786" s="124" t="s">
        <v>42</v>
      </c>
      <c r="M786" s="93"/>
      <c r="N786" s="104">
        <v>5</v>
      </c>
      <c r="O786" s="93"/>
      <c r="P786" s="123" t="s">
        <v>48</v>
      </c>
      <c r="Q786" s="121"/>
      <c r="R786" s="121" t="s">
        <v>47</v>
      </c>
      <c r="S786" s="104" t="s">
        <v>46</v>
      </c>
      <c r="T786" s="129" t="s">
        <v>45</v>
      </c>
      <c r="U786" s="137" t="s">
        <v>92</v>
      </c>
      <c r="W786" s="96"/>
      <c r="X786" s="92"/>
      <c r="Y786" s="94"/>
      <c r="Z786" s="92"/>
      <c r="AA786" s="9"/>
    </row>
    <row r="787" spans="1:27" x14ac:dyDescent="0.3">
      <c r="A787" s="96"/>
      <c r="B787" s="96"/>
      <c r="C787" s="93"/>
      <c r="D787" s="93"/>
      <c r="E787" s="93"/>
      <c r="F787" s="93"/>
      <c r="G787" s="93" t="s">
        <v>2</v>
      </c>
      <c r="H787" s="113">
        <f t="shared" si="196"/>
        <v>1</v>
      </c>
      <c r="I787" s="128">
        <v>3</v>
      </c>
      <c r="J787" s="127" t="s">
        <v>44</v>
      </c>
      <c r="K787" s="113"/>
      <c r="L787" s="124" t="s">
        <v>42</v>
      </c>
      <c r="M787" s="93"/>
      <c r="N787" s="104">
        <v>5</v>
      </c>
      <c r="O787" s="104"/>
      <c r="U787" s="137" t="s">
        <v>92</v>
      </c>
      <c r="W787" s="96"/>
      <c r="X787" s="92"/>
      <c r="Y787" s="94"/>
      <c r="Z787" s="92"/>
      <c r="AA787" s="9"/>
    </row>
    <row r="788" spans="1:27" ht="13.5" thickBot="1" x14ac:dyDescent="0.35">
      <c r="A788" s="96"/>
      <c r="B788" s="96"/>
      <c r="C788" s="93"/>
      <c r="D788" s="93"/>
      <c r="E788" s="93"/>
      <c r="F788" s="93"/>
      <c r="G788" s="93" t="s">
        <v>2</v>
      </c>
      <c r="H788" s="113">
        <f t="shared" si="196"/>
        <v>1</v>
      </c>
      <c r="I788" s="126">
        <v>4</v>
      </c>
      <c r="J788" s="125" t="s">
        <v>43</v>
      </c>
      <c r="K788" s="113"/>
      <c r="L788" s="124" t="s">
        <v>42</v>
      </c>
      <c r="M788" s="93"/>
      <c r="N788" s="104">
        <v>5</v>
      </c>
      <c r="O788" s="104"/>
      <c r="P788" s="123" t="s">
        <v>41</v>
      </c>
      <c r="Q788" s="121"/>
      <c r="R788" s="121" t="s">
        <v>40</v>
      </c>
      <c r="S788" s="104" t="s">
        <v>39</v>
      </c>
      <c r="T788" s="29" t="s">
        <v>38</v>
      </c>
      <c r="U788" s="137" t="s">
        <v>92</v>
      </c>
      <c r="W788" s="96"/>
      <c r="X788" s="92"/>
      <c r="Y788" s="94"/>
      <c r="Z788" s="92"/>
      <c r="AA788" s="9"/>
    </row>
    <row r="789" spans="1:27" ht="13.5" thickBot="1" x14ac:dyDescent="0.35">
      <c r="A789" s="96"/>
      <c r="B789" s="96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113"/>
      <c r="Z789" s="92"/>
      <c r="AA789" s="9"/>
    </row>
    <row r="790" spans="1:27" x14ac:dyDescent="0.3">
      <c r="A790" s="96"/>
      <c r="B790" s="96"/>
      <c r="C790" s="93" t="s">
        <v>73</v>
      </c>
      <c r="D790" s="93"/>
      <c r="E790" s="93"/>
      <c r="F790" s="93"/>
      <c r="G790" s="93" t="s">
        <v>2</v>
      </c>
      <c r="H790" s="120">
        <v>1</v>
      </c>
      <c r="I790" s="134">
        <v>1</v>
      </c>
      <c r="J790" s="133" t="s">
        <v>74</v>
      </c>
      <c r="K790" s="113" t="s">
        <v>73</v>
      </c>
      <c r="L790" s="124" t="s">
        <v>21</v>
      </c>
      <c r="M790" s="93"/>
      <c r="N790" s="93">
        <v>4</v>
      </c>
      <c r="O790" s="93"/>
      <c r="P790" s="130" t="s">
        <v>72</v>
      </c>
      <c r="Q790" s="124"/>
      <c r="R790" s="105" t="s">
        <v>40</v>
      </c>
      <c r="S790" s="105" t="s">
        <v>24</v>
      </c>
      <c r="T790" s="32" t="s">
        <v>38</v>
      </c>
      <c r="U790" s="137" t="s">
        <v>90</v>
      </c>
      <c r="X790" s="105" t="s">
        <v>91</v>
      </c>
      <c r="Y790" s="94" t="s">
        <v>4</v>
      </c>
      <c r="Z790" s="92"/>
      <c r="AA790" s="9"/>
    </row>
    <row r="791" spans="1:27" x14ac:dyDescent="0.3">
      <c r="A791" s="96"/>
      <c r="B791" s="96"/>
      <c r="C791" s="93"/>
      <c r="D791" s="93"/>
      <c r="E791" s="93"/>
      <c r="F791" s="93"/>
      <c r="G791" s="93" t="s">
        <v>2</v>
      </c>
      <c r="H791" s="113">
        <f t="shared" ref="H791:H799" si="197">H790</f>
        <v>1</v>
      </c>
      <c r="I791" s="128">
        <v>2</v>
      </c>
      <c r="J791" s="131" t="s">
        <v>69</v>
      </c>
      <c r="K791" s="107" t="s">
        <v>0</v>
      </c>
      <c r="L791" s="124" t="s">
        <v>21</v>
      </c>
      <c r="M791" s="93"/>
      <c r="N791" s="104">
        <v>5</v>
      </c>
      <c r="O791" s="104"/>
      <c r="P791" s="123" t="s">
        <v>68</v>
      </c>
      <c r="Q791" s="121"/>
      <c r="R791" s="121" t="s">
        <v>40</v>
      </c>
      <c r="S791" s="105" t="s">
        <v>67</v>
      </c>
      <c r="T791" s="32" t="s">
        <v>38</v>
      </c>
      <c r="U791" s="137" t="s">
        <v>90</v>
      </c>
      <c r="X791" s="105" t="s">
        <v>91</v>
      </c>
      <c r="Y791" s="94" t="s">
        <v>4</v>
      </c>
      <c r="Z791" s="92"/>
      <c r="AA791" s="9"/>
    </row>
    <row r="792" spans="1:27" x14ac:dyDescent="0.3">
      <c r="A792" s="96"/>
      <c r="B792" s="96"/>
      <c r="C792" s="93"/>
      <c r="D792" s="93"/>
      <c r="E792" s="93"/>
      <c r="F792" s="93"/>
      <c r="G792" s="93" t="s">
        <v>2</v>
      </c>
      <c r="H792" s="113">
        <f t="shared" si="197"/>
        <v>1</v>
      </c>
      <c r="I792" s="128">
        <v>3</v>
      </c>
      <c r="J792" s="131" t="s">
        <v>66</v>
      </c>
      <c r="K792" s="113"/>
      <c r="L792" s="124" t="s">
        <v>21</v>
      </c>
      <c r="M792" s="93"/>
      <c r="N792" s="93">
        <v>5</v>
      </c>
      <c r="O792" s="93"/>
      <c r="P792" s="34" t="s">
        <v>65</v>
      </c>
      <c r="Q792" s="12"/>
      <c r="R792" s="93" t="s">
        <v>64</v>
      </c>
      <c r="S792" s="93" t="s">
        <v>24</v>
      </c>
      <c r="T792" s="33" t="s">
        <v>63</v>
      </c>
      <c r="U792" s="137" t="s">
        <v>90</v>
      </c>
      <c r="X792" s="105" t="s">
        <v>91</v>
      </c>
      <c r="Y792" s="94" t="s">
        <v>4</v>
      </c>
      <c r="Z792" s="92"/>
      <c r="AA792" s="9"/>
    </row>
    <row r="793" spans="1:27" x14ac:dyDescent="0.3">
      <c r="A793" s="96"/>
      <c r="B793" s="96"/>
      <c r="C793" s="93"/>
      <c r="D793" s="93"/>
      <c r="E793" s="93"/>
      <c r="F793" s="93"/>
      <c r="G793" s="93" t="s">
        <v>2</v>
      </c>
      <c r="H793" s="113">
        <f t="shared" si="197"/>
        <v>1</v>
      </c>
      <c r="I793" s="128">
        <v>4</v>
      </c>
      <c r="J793" s="131" t="s">
        <v>62</v>
      </c>
      <c r="K793" s="113"/>
      <c r="L793" s="124" t="s">
        <v>21</v>
      </c>
      <c r="M793" s="93"/>
      <c r="N793" s="93">
        <v>4</v>
      </c>
      <c r="O793" s="93"/>
      <c r="P793" s="130" t="s">
        <v>61</v>
      </c>
      <c r="Q793" s="124"/>
      <c r="R793" s="93" t="s">
        <v>60</v>
      </c>
      <c r="S793" s="93" t="s">
        <v>18</v>
      </c>
      <c r="T793" s="32" t="s">
        <v>59</v>
      </c>
      <c r="U793" s="137" t="s">
        <v>90</v>
      </c>
      <c r="X793" s="105" t="s">
        <v>91</v>
      </c>
      <c r="Y793" s="94" t="s">
        <v>4</v>
      </c>
      <c r="Z793" s="92"/>
      <c r="AA793" s="9"/>
    </row>
    <row r="794" spans="1:27" x14ac:dyDescent="0.3">
      <c r="A794" s="96"/>
      <c r="B794" s="96"/>
      <c r="C794" s="93"/>
      <c r="D794" s="93"/>
      <c r="E794" s="93"/>
      <c r="F794" s="93"/>
      <c r="G794" s="93" t="s">
        <v>2</v>
      </c>
      <c r="H794" s="113">
        <f t="shared" si="197"/>
        <v>1</v>
      </c>
      <c r="I794" s="128">
        <v>5</v>
      </c>
      <c r="J794" s="131" t="s">
        <v>58</v>
      </c>
      <c r="K794" s="113"/>
      <c r="L794" s="124" t="s">
        <v>21</v>
      </c>
      <c r="M794" s="93"/>
      <c r="N794" s="93"/>
      <c r="O794" s="93"/>
      <c r="P794" s="124"/>
      <c r="Q794" s="124"/>
      <c r="R794" s="93"/>
      <c r="S794" s="32"/>
      <c r="T794" s="32"/>
      <c r="U794" s="137" t="s">
        <v>90</v>
      </c>
      <c r="X794" s="92"/>
      <c r="Y794" s="94"/>
      <c r="Z794" s="92"/>
      <c r="AA794" s="9"/>
    </row>
    <row r="795" spans="1:27" x14ac:dyDescent="0.3">
      <c r="A795" s="96"/>
      <c r="B795" s="96"/>
      <c r="C795" s="93"/>
      <c r="D795" s="93"/>
      <c r="E795" s="93"/>
      <c r="F795" s="93"/>
      <c r="G795" s="93" t="s">
        <v>2</v>
      </c>
      <c r="H795" s="113">
        <f t="shared" si="197"/>
        <v>1</v>
      </c>
      <c r="I795" s="128">
        <v>6</v>
      </c>
      <c r="J795" s="131" t="s">
        <v>57</v>
      </c>
      <c r="K795" s="113"/>
      <c r="L795" s="124" t="s">
        <v>21</v>
      </c>
      <c r="M795" s="93"/>
      <c r="N795" s="93">
        <v>4</v>
      </c>
      <c r="O795" s="93"/>
      <c r="P795" s="130" t="s">
        <v>56</v>
      </c>
      <c r="Q795" s="124"/>
      <c r="R795" s="93" t="s">
        <v>55</v>
      </c>
      <c r="S795" s="32" t="s">
        <v>54</v>
      </c>
      <c r="T795" s="32"/>
      <c r="U795" s="137" t="s">
        <v>90</v>
      </c>
      <c r="X795" s="105" t="s">
        <v>91</v>
      </c>
      <c r="Y795" s="94" t="s">
        <v>4</v>
      </c>
      <c r="Z795" s="92"/>
      <c r="AA795" s="9"/>
    </row>
    <row r="796" spans="1:27" x14ac:dyDescent="0.3">
      <c r="A796" s="96"/>
      <c r="B796" s="96"/>
      <c r="C796" s="93"/>
      <c r="D796" s="93"/>
      <c r="E796" s="93"/>
      <c r="F796" s="93"/>
      <c r="G796" s="93" t="s">
        <v>2</v>
      </c>
      <c r="H796" s="113">
        <f t="shared" si="197"/>
        <v>1</v>
      </c>
      <c r="I796" s="128">
        <v>1</v>
      </c>
      <c r="J796" s="131" t="s">
        <v>53</v>
      </c>
      <c r="K796" s="113"/>
      <c r="L796" s="124" t="s">
        <v>42</v>
      </c>
      <c r="M796" s="93"/>
      <c r="N796" s="93">
        <v>4</v>
      </c>
      <c r="O796" s="93"/>
      <c r="P796" s="130" t="s">
        <v>52</v>
      </c>
      <c r="Q796" s="124"/>
      <c r="R796" s="93" t="s">
        <v>51</v>
      </c>
      <c r="S796" s="93" t="s">
        <v>24</v>
      </c>
      <c r="T796" s="32" t="s">
        <v>50</v>
      </c>
      <c r="U796" s="137" t="s">
        <v>90</v>
      </c>
      <c r="X796" s="105" t="s">
        <v>91</v>
      </c>
      <c r="Y796" s="94" t="s">
        <v>4</v>
      </c>
      <c r="Z796" s="92"/>
      <c r="AA796" s="9"/>
    </row>
    <row r="797" spans="1:27" x14ac:dyDescent="0.3">
      <c r="A797" s="96"/>
      <c r="B797" s="96"/>
      <c r="C797" s="93"/>
      <c r="D797" s="93"/>
      <c r="E797" s="93"/>
      <c r="F797" s="93"/>
      <c r="G797" s="93" t="s">
        <v>2</v>
      </c>
      <c r="H797" s="113">
        <f t="shared" si="197"/>
        <v>1</v>
      </c>
      <c r="I797" s="128">
        <v>2</v>
      </c>
      <c r="J797" s="127" t="s">
        <v>49</v>
      </c>
      <c r="K797" s="113"/>
      <c r="L797" s="124" t="s">
        <v>42</v>
      </c>
      <c r="M797" s="93"/>
      <c r="N797" s="104">
        <v>5</v>
      </c>
      <c r="O797" s="93"/>
      <c r="P797" s="123" t="s">
        <v>48</v>
      </c>
      <c r="Q797" s="121"/>
      <c r="R797" s="121" t="s">
        <v>47</v>
      </c>
      <c r="S797" s="104" t="s">
        <v>46</v>
      </c>
      <c r="T797" s="129" t="s">
        <v>45</v>
      </c>
      <c r="U797" s="137" t="s">
        <v>90</v>
      </c>
      <c r="W797" s="96"/>
      <c r="X797" s="92"/>
      <c r="Y797" s="94"/>
      <c r="Z797" s="92"/>
      <c r="AA797" s="9"/>
    </row>
    <row r="798" spans="1:27" x14ac:dyDescent="0.3">
      <c r="A798" s="96"/>
      <c r="B798" s="96"/>
      <c r="C798" s="93"/>
      <c r="D798" s="93"/>
      <c r="E798" s="93"/>
      <c r="F798" s="93"/>
      <c r="G798" s="93" t="s">
        <v>2</v>
      </c>
      <c r="H798" s="113">
        <f t="shared" si="197"/>
        <v>1</v>
      </c>
      <c r="I798" s="128">
        <v>3</v>
      </c>
      <c r="J798" s="127" t="s">
        <v>44</v>
      </c>
      <c r="K798" s="113"/>
      <c r="L798" s="124" t="s">
        <v>42</v>
      </c>
      <c r="M798" s="93"/>
      <c r="N798" s="104">
        <v>5</v>
      </c>
      <c r="O798" s="104"/>
      <c r="U798" s="137" t="s">
        <v>90</v>
      </c>
      <c r="W798" s="96"/>
      <c r="X798" s="92"/>
      <c r="Y798" s="94"/>
      <c r="Z798" s="92"/>
      <c r="AA798" s="9"/>
    </row>
    <row r="799" spans="1:27" ht="13.5" thickBot="1" x14ac:dyDescent="0.35">
      <c r="A799" s="96"/>
      <c r="B799" s="96"/>
      <c r="C799" s="93"/>
      <c r="D799" s="93"/>
      <c r="E799" s="93"/>
      <c r="F799" s="93"/>
      <c r="G799" s="93" t="s">
        <v>2</v>
      </c>
      <c r="H799" s="113">
        <f t="shared" si="197"/>
        <v>1</v>
      </c>
      <c r="I799" s="126">
        <v>4</v>
      </c>
      <c r="J799" s="125" t="s">
        <v>43</v>
      </c>
      <c r="K799" s="113"/>
      <c r="L799" s="124" t="s">
        <v>42</v>
      </c>
      <c r="M799" s="93"/>
      <c r="N799" s="104">
        <v>5</v>
      </c>
      <c r="O799" s="104"/>
      <c r="P799" s="123" t="s">
        <v>41</v>
      </c>
      <c r="Q799" s="121"/>
      <c r="R799" s="121" t="s">
        <v>40</v>
      </c>
      <c r="S799" s="104" t="s">
        <v>39</v>
      </c>
      <c r="T799" s="29" t="s">
        <v>38</v>
      </c>
      <c r="U799" s="137" t="s">
        <v>90</v>
      </c>
      <c r="W799" s="96"/>
      <c r="X799" s="92"/>
      <c r="Y799" s="94"/>
      <c r="Z799" s="92"/>
      <c r="AA799" s="9"/>
    </row>
    <row r="800" spans="1:27" ht="13.5" thickBot="1" x14ac:dyDescent="0.35">
      <c r="A800" s="96"/>
      <c r="B800" s="96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113"/>
      <c r="Z800" s="92"/>
      <c r="AA800" s="9"/>
    </row>
    <row r="801" spans="1:27" x14ac:dyDescent="0.3">
      <c r="A801" s="96"/>
      <c r="B801" s="96"/>
      <c r="C801" s="93" t="s">
        <v>73</v>
      </c>
      <c r="D801" s="93"/>
      <c r="E801" s="93"/>
      <c r="F801" s="93"/>
      <c r="G801" s="93" t="s">
        <v>2</v>
      </c>
      <c r="H801" s="120">
        <v>1</v>
      </c>
      <c r="I801" s="134">
        <v>1</v>
      </c>
      <c r="J801" s="133" t="s">
        <v>74</v>
      </c>
      <c r="K801" s="113" t="s">
        <v>73</v>
      </c>
      <c r="L801" s="124" t="s">
        <v>21</v>
      </c>
      <c r="M801" s="93"/>
      <c r="N801" s="93">
        <v>4</v>
      </c>
      <c r="O801" s="93"/>
      <c r="P801" s="130" t="s">
        <v>72</v>
      </c>
      <c r="Q801" s="124"/>
      <c r="R801" s="105" t="s">
        <v>40</v>
      </c>
      <c r="S801" s="105" t="s">
        <v>24</v>
      </c>
      <c r="T801" s="32" t="s">
        <v>38</v>
      </c>
      <c r="U801" s="137" t="s">
        <v>88</v>
      </c>
      <c r="X801" s="105" t="s">
        <v>89</v>
      </c>
      <c r="Y801" s="94" t="s">
        <v>4</v>
      </c>
      <c r="Z801" s="92"/>
      <c r="AA801" s="9"/>
    </row>
    <row r="802" spans="1:27" x14ac:dyDescent="0.3">
      <c r="A802" s="96"/>
      <c r="B802" s="96"/>
      <c r="C802" s="93"/>
      <c r="D802" s="93"/>
      <c r="E802" s="93"/>
      <c r="F802" s="93"/>
      <c r="G802" s="93" t="s">
        <v>2</v>
      </c>
      <c r="H802" s="113">
        <f t="shared" ref="H802:H810" si="198">H801</f>
        <v>1</v>
      </c>
      <c r="I802" s="128">
        <v>2</v>
      </c>
      <c r="J802" s="131" t="s">
        <v>69</v>
      </c>
      <c r="K802" s="107" t="s">
        <v>0</v>
      </c>
      <c r="L802" s="124" t="s">
        <v>21</v>
      </c>
      <c r="M802" s="93"/>
      <c r="N802" s="104">
        <v>5</v>
      </c>
      <c r="O802" s="104"/>
      <c r="P802" s="123" t="s">
        <v>68</v>
      </c>
      <c r="Q802" s="121"/>
      <c r="R802" s="121" t="s">
        <v>40</v>
      </c>
      <c r="S802" s="105" t="s">
        <v>67</v>
      </c>
      <c r="T802" s="32" t="s">
        <v>38</v>
      </c>
      <c r="U802" s="137" t="s">
        <v>88</v>
      </c>
      <c r="X802" s="105" t="s">
        <v>89</v>
      </c>
      <c r="Y802" s="94" t="s">
        <v>4</v>
      </c>
      <c r="Z802" s="92"/>
      <c r="AA802" s="9"/>
    </row>
    <row r="803" spans="1:27" x14ac:dyDescent="0.3">
      <c r="A803" s="96"/>
      <c r="B803" s="96"/>
      <c r="C803" s="93"/>
      <c r="D803" s="93"/>
      <c r="E803" s="93"/>
      <c r="F803" s="93"/>
      <c r="G803" s="93" t="s">
        <v>2</v>
      </c>
      <c r="H803" s="113">
        <f t="shared" si="198"/>
        <v>1</v>
      </c>
      <c r="I803" s="128">
        <v>3</v>
      </c>
      <c r="J803" s="131" t="s">
        <v>66</v>
      </c>
      <c r="K803" s="113"/>
      <c r="L803" s="124" t="s">
        <v>21</v>
      </c>
      <c r="M803" s="93"/>
      <c r="N803" s="93">
        <v>5</v>
      </c>
      <c r="O803" s="93"/>
      <c r="P803" s="34" t="s">
        <v>65</v>
      </c>
      <c r="Q803" s="12"/>
      <c r="R803" s="93" t="s">
        <v>64</v>
      </c>
      <c r="S803" s="93" t="s">
        <v>24</v>
      </c>
      <c r="T803" s="33" t="s">
        <v>63</v>
      </c>
      <c r="U803" s="137" t="s">
        <v>88</v>
      </c>
      <c r="X803" s="105" t="s">
        <v>89</v>
      </c>
      <c r="Y803" s="94" t="s">
        <v>4</v>
      </c>
      <c r="Z803" s="92"/>
      <c r="AA803" s="9"/>
    </row>
    <row r="804" spans="1:27" x14ac:dyDescent="0.3">
      <c r="A804" s="96"/>
      <c r="B804" s="96"/>
      <c r="C804" s="93"/>
      <c r="D804" s="93"/>
      <c r="E804" s="93"/>
      <c r="F804" s="93"/>
      <c r="G804" s="93" t="s">
        <v>2</v>
      </c>
      <c r="H804" s="113">
        <f t="shared" si="198"/>
        <v>1</v>
      </c>
      <c r="I804" s="128">
        <v>4</v>
      </c>
      <c r="J804" s="131" t="s">
        <v>62</v>
      </c>
      <c r="K804" s="113"/>
      <c r="L804" s="124" t="s">
        <v>21</v>
      </c>
      <c r="M804" s="93"/>
      <c r="N804" s="93">
        <v>4</v>
      </c>
      <c r="O804" s="93"/>
      <c r="P804" s="130" t="s">
        <v>61</v>
      </c>
      <c r="Q804" s="124"/>
      <c r="R804" s="93" t="s">
        <v>60</v>
      </c>
      <c r="S804" s="93" t="s">
        <v>18</v>
      </c>
      <c r="T804" s="32" t="s">
        <v>59</v>
      </c>
      <c r="U804" s="137" t="s">
        <v>88</v>
      </c>
      <c r="X804" s="105" t="s">
        <v>89</v>
      </c>
      <c r="Y804" s="94" t="s">
        <v>4</v>
      </c>
      <c r="Z804" s="92"/>
      <c r="AA804" s="9"/>
    </row>
    <row r="805" spans="1:27" x14ac:dyDescent="0.3">
      <c r="A805" s="96"/>
      <c r="B805" s="96"/>
      <c r="C805" s="93"/>
      <c r="D805" s="93"/>
      <c r="E805" s="93"/>
      <c r="F805" s="93"/>
      <c r="G805" s="93" t="s">
        <v>2</v>
      </c>
      <c r="H805" s="113">
        <f t="shared" si="198"/>
        <v>1</v>
      </c>
      <c r="I805" s="128">
        <v>5</v>
      </c>
      <c r="J805" s="131" t="s">
        <v>58</v>
      </c>
      <c r="K805" s="113"/>
      <c r="L805" s="124" t="s">
        <v>21</v>
      </c>
      <c r="M805" s="93"/>
      <c r="N805" s="93"/>
      <c r="O805" s="93"/>
      <c r="P805" s="124"/>
      <c r="Q805" s="124"/>
      <c r="R805" s="93"/>
      <c r="S805" s="32"/>
      <c r="T805" s="32"/>
      <c r="U805" s="137" t="s">
        <v>88</v>
      </c>
      <c r="X805" s="92"/>
      <c r="Y805" s="94"/>
      <c r="Z805" s="92"/>
      <c r="AA805" s="9"/>
    </row>
    <row r="806" spans="1:27" x14ac:dyDescent="0.3">
      <c r="A806" s="96"/>
      <c r="B806" s="96"/>
      <c r="C806" s="93"/>
      <c r="D806" s="93"/>
      <c r="E806" s="93"/>
      <c r="F806" s="93"/>
      <c r="G806" s="93" t="s">
        <v>2</v>
      </c>
      <c r="H806" s="113">
        <f t="shared" si="198"/>
        <v>1</v>
      </c>
      <c r="I806" s="128">
        <v>6</v>
      </c>
      <c r="J806" s="131" t="s">
        <v>57</v>
      </c>
      <c r="K806" s="113"/>
      <c r="L806" s="124" t="s">
        <v>21</v>
      </c>
      <c r="M806" s="93"/>
      <c r="N806" s="93">
        <v>4</v>
      </c>
      <c r="O806" s="93"/>
      <c r="P806" s="130" t="s">
        <v>56</v>
      </c>
      <c r="Q806" s="124"/>
      <c r="R806" s="93" t="s">
        <v>55</v>
      </c>
      <c r="S806" s="32" t="s">
        <v>54</v>
      </c>
      <c r="T806" s="32"/>
      <c r="U806" s="137" t="s">
        <v>88</v>
      </c>
      <c r="X806" s="105" t="s">
        <v>89</v>
      </c>
      <c r="Y806" s="94" t="s">
        <v>4</v>
      </c>
      <c r="Z806" s="92"/>
      <c r="AA806" s="9"/>
    </row>
    <row r="807" spans="1:27" x14ac:dyDescent="0.3">
      <c r="A807" s="96"/>
      <c r="B807" s="96"/>
      <c r="C807" s="93"/>
      <c r="D807" s="93"/>
      <c r="E807" s="93"/>
      <c r="F807" s="93"/>
      <c r="G807" s="93" t="s">
        <v>2</v>
      </c>
      <c r="H807" s="113">
        <f t="shared" si="198"/>
        <v>1</v>
      </c>
      <c r="I807" s="128">
        <v>1</v>
      </c>
      <c r="J807" s="131" t="s">
        <v>53</v>
      </c>
      <c r="K807" s="113"/>
      <c r="L807" s="124" t="s">
        <v>42</v>
      </c>
      <c r="M807" s="93"/>
      <c r="N807" s="93">
        <v>4</v>
      </c>
      <c r="O807" s="93"/>
      <c r="P807" s="130" t="s">
        <v>52</v>
      </c>
      <c r="Q807" s="124"/>
      <c r="R807" s="93" t="s">
        <v>51</v>
      </c>
      <c r="S807" s="93" t="s">
        <v>24</v>
      </c>
      <c r="T807" s="32" t="s">
        <v>50</v>
      </c>
      <c r="U807" s="137" t="s">
        <v>88</v>
      </c>
      <c r="X807" s="105" t="s">
        <v>89</v>
      </c>
      <c r="Y807" s="94" t="s">
        <v>4</v>
      </c>
      <c r="Z807" s="92"/>
      <c r="AA807" s="9"/>
    </row>
    <row r="808" spans="1:27" x14ac:dyDescent="0.3">
      <c r="A808" s="96"/>
      <c r="B808" s="96"/>
      <c r="C808" s="93"/>
      <c r="D808" s="93"/>
      <c r="E808" s="93"/>
      <c r="F808" s="93"/>
      <c r="G808" s="93" t="s">
        <v>2</v>
      </c>
      <c r="H808" s="113">
        <f t="shared" si="198"/>
        <v>1</v>
      </c>
      <c r="I808" s="128">
        <v>2</v>
      </c>
      <c r="J808" s="127" t="s">
        <v>49</v>
      </c>
      <c r="K808" s="113"/>
      <c r="L808" s="124" t="s">
        <v>42</v>
      </c>
      <c r="M808" s="93"/>
      <c r="N808" s="104">
        <v>5</v>
      </c>
      <c r="O808" s="93"/>
      <c r="P808" s="123" t="s">
        <v>48</v>
      </c>
      <c r="Q808" s="121"/>
      <c r="R808" s="121" t="s">
        <v>47</v>
      </c>
      <c r="S808" s="104" t="s">
        <v>46</v>
      </c>
      <c r="T808" s="129" t="s">
        <v>45</v>
      </c>
      <c r="U808" s="137" t="s">
        <v>88</v>
      </c>
      <c r="W808" s="96"/>
      <c r="X808" s="92"/>
      <c r="Y808" s="94"/>
      <c r="Z808" s="92"/>
      <c r="AA808" s="9"/>
    </row>
    <row r="809" spans="1:27" x14ac:dyDescent="0.3">
      <c r="A809" s="96"/>
      <c r="B809" s="96"/>
      <c r="C809" s="93"/>
      <c r="D809" s="93"/>
      <c r="E809" s="93"/>
      <c r="F809" s="93"/>
      <c r="G809" s="93" t="s">
        <v>2</v>
      </c>
      <c r="H809" s="113">
        <f t="shared" si="198"/>
        <v>1</v>
      </c>
      <c r="I809" s="128">
        <v>3</v>
      </c>
      <c r="J809" s="127" t="s">
        <v>44</v>
      </c>
      <c r="K809" s="113"/>
      <c r="L809" s="124" t="s">
        <v>42</v>
      </c>
      <c r="M809" s="93"/>
      <c r="N809" s="104">
        <v>5</v>
      </c>
      <c r="O809" s="104"/>
      <c r="U809" s="137" t="s">
        <v>88</v>
      </c>
      <c r="W809" s="96"/>
      <c r="X809" s="92"/>
      <c r="Y809" s="94"/>
      <c r="Z809" s="92"/>
      <c r="AA809" s="9"/>
    </row>
    <row r="810" spans="1:27" ht="13.5" thickBot="1" x14ac:dyDescent="0.35">
      <c r="A810" s="96"/>
      <c r="B810" s="96"/>
      <c r="C810" s="93"/>
      <c r="D810" s="93"/>
      <c r="E810" s="93"/>
      <c r="F810" s="93"/>
      <c r="G810" s="93" t="s">
        <v>2</v>
      </c>
      <c r="H810" s="113">
        <f t="shared" si="198"/>
        <v>1</v>
      </c>
      <c r="I810" s="126">
        <v>4</v>
      </c>
      <c r="J810" s="125" t="s">
        <v>43</v>
      </c>
      <c r="K810" s="113"/>
      <c r="L810" s="124" t="s">
        <v>42</v>
      </c>
      <c r="M810" s="93"/>
      <c r="N810" s="104">
        <v>5</v>
      </c>
      <c r="O810" s="104"/>
      <c r="P810" s="123" t="s">
        <v>41</v>
      </c>
      <c r="Q810" s="121"/>
      <c r="R810" s="121" t="s">
        <v>40</v>
      </c>
      <c r="S810" s="104" t="s">
        <v>39</v>
      </c>
      <c r="T810" s="29" t="s">
        <v>38</v>
      </c>
      <c r="U810" s="137" t="s">
        <v>88</v>
      </c>
      <c r="W810" s="96"/>
      <c r="X810" s="92"/>
      <c r="Y810" s="94"/>
      <c r="Z810" s="92"/>
      <c r="AA810" s="9"/>
    </row>
    <row r="811" spans="1:27" ht="13.5" thickBot="1" x14ac:dyDescent="0.35">
      <c r="A811" s="96"/>
      <c r="B811" s="96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113"/>
      <c r="Z811" s="92"/>
      <c r="AA811" s="9"/>
    </row>
    <row r="812" spans="1:27" x14ac:dyDescent="0.3">
      <c r="A812" s="96"/>
      <c r="B812" s="96"/>
      <c r="C812" s="93" t="s">
        <v>73</v>
      </c>
      <c r="D812" s="93"/>
      <c r="E812" s="93"/>
      <c r="F812" s="93"/>
      <c r="G812" s="93" t="s">
        <v>2</v>
      </c>
      <c r="H812" s="120">
        <v>1</v>
      </c>
      <c r="I812" s="134">
        <v>1</v>
      </c>
      <c r="J812" s="133" t="s">
        <v>74</v>
      </c>
      <c r="K812" s="113" t="s">
        <v>73</v>
      </c>
      <c r="L812" s="124" t="s">
        <v>21</v>
      </c>
      <c r="M812" s="93"/>
      <c r="N812" s="93">
        <v>4</v>
      </c>
      <c r="O812" s="93"/>
      <c r="P812" s="130" t="s">
        <v>72</v>
      </c>
      <c r="Q812" s="124"/>
      <c r="R812" s="105" t="s">
        <v>40</v>
      </c>
      <c r="S812" s="105" t="s">
        <v>24</v>
      </c>
      <c r="T812" s="32" t="s">
        <v>38</v>
      </c>
      <c r="U812" s="122" t="s">
        <v>87</v>
      </c>
      <c r="X812" s="105" t="s">
        <v>86</v>
      </c>
      <c r="Y812" s="94" t="s">
        <v>4</v>
      </c>
      <c r="Z812" s="92"/>
      <c r="AA812" s="9"/>
    </row>
    <row r="813" spans="1:27" x14ac:dyDescent="0.3">
      <c r="A813" s="96"/>
      <c r="B813" s="96"/>
      <c r="C813" s="93"/>
      <c r="D813" s="93"/>
      <c r="E813" s="93"/>
      <c r="F813" s="93"/>
      <c r="G813" s="93" t="s">
        <v>2</v>
      </c>
      <c r="H813" s="113">
        <f t="shared" ref="H813:H825" si="199">H812</f>
        <v>1</v>
      </c>
      <c r="I813" s="128">
        <v>2</v>
      </c>
      <c r="J813" s="131" t="s">
        <v>69</v>
      </c>
      <c r="K813" s="107" t="s">
        <v>0</v>
      </c>
      <c r="L813" s="124" t="s">
        <v>21</v>
      </c>
      <c r="M813" s="93"/>
      <c r="N813" s="104">
        <v>5</v>
      </c>
      <c r="O813" s="104"/>
      <c r="P813" s="123" t="s">
        <v>68</v>
      </c>
      <c r="Q813" s="121"/>
      <c r="R813" s="121" t="s">
        <v>40</v>
      </c>
      <c r="S813" s="105" t="s">
        <v>67</v>
      </c>
      <c r="T813" s="32" t="s">
        <v>38</v>
      </c>
      <c r="U813" s="122" t="str">
        <f t="shared" ref="U813:U822" si="200">+U812</f>
        <v>BCV130MT01EM01</v>
      </c>
      <c r="X813" s="105" t="str">
        <f t="shared" ref="X813:X822" si="201">+X812</f>
        <v>BR4-2110-E-00236</v>
      </c>
      <c r="Y813" s="92" t="str">
        <f t="shared" ref="Y813:Y822" si="202">+Y812</f>
        <v>A</v>
      </c>
      <c r="Z813" s="92"/>
      <c r="AA813" s="9"/>
    </row>
    <row r="814" spans="1:27" x14ac:dyDescent="0.3">
      <c r="A814" s="96"/>
      <c r="B814" s="96"/>
      <c r="C814" s="93"/>
      <c r="D814" s="93"/>
      <c r="E814" s="93"/>
      <c r="F814" s="93"/>
      <c r="G814" s="93" t="s">
        <v>2</v>
      </c>
      <c r="H814" s="113">
        <f t="shared" si="199"/>
        <v>1</v>
      </c>
      <c r="I814" s="128">
        <v>3</v>
      </c>
      <c r="J814" s="131" t="s">
        <v>66</v>
      </c>
      <c r="K814" s="113"/>
      <c r="L814" s="124" t="s">
        <v>21</v>
      </c>
      <c r="M814" s="93"/>
      <c r="N814" s="93">
        <v>5</v>
      </c>
      <c r="O814" s="93"/>
      <c r="P814" s="34" t="s">
        <v>65</v>
      </c>
      <c r="Q814" s="12"/>
      <c r="R814" s="93" t="s">
        <v>64</v>
      </c>
      <c r="S814" s="93" t="s">
        <v>24</v>
      </c>
      <c r="T814" s="33" t="s">
        <v>63</v>
      </c>
      <c r="U814" s="122" t="str">
        <f t="shared" si="200"/>
        <v>BCV130MT01EM01</v>
      </c>
      <c r="X814" s="105" t="str">
        <f t="shared" si="201"/>
        <v>BR4-2110-E-00236</v>
      </c>
      <c r="Y814" s="92" t="str">
        <f t="shared" si="202"/>
        <v>A</v>
      </c>
      <c r="Z814" s="92"/>
      <c r="AA814" s="9"/>
    </row>
    <row r="815" spans="1:27" x14ac:dyDescent="0.3">
      <c r="A815" s="96"/>
      <c r="B815" s="96"/>
      <c r="C815" s="93"/>
      <c r="D815" s="93"/>
      <c r="E815" s="93"/>
      <c r="F815" s="93"/>
      <c r="G815" s="93" t="s">
        <v>2</v>
      </c>
      <c r="H815" s="113">
        <f t="shared" si="199"/>
        <v>1</v>
      </c>
      <c r="I815" s="128">
        <v>4</v>
      </c>
      <c r="J815" s="131" t="s">
        <v>62</v>
      </c>
      <c r="K815" s="113"/>
      <c r="L815" s="124" t="s">
        <v>21</v>
      </c>
      <c r="M815" s="93"/>
      <c r="N815" s="93">
        <v>3</v>
      </c>
      <c r="O815" s="93"/>
      <c r="P815" s="130" t="s">
        <v>61</v>
      </c>
      <c r="Q815" s="124"/>
      <c r="R815" s="93" t="s">
        <v>60</v>
      </c>
      <c r="S815" s="93" t="s">
        <v>18</v>
      </c>
      <c r="T815" s="32" t="s">
        <v>59</v>
      </c>
      <c r="U815" s="122" t="str">
        <f t="shared" si="200"/>
        <v>BCV130MT01EM01</v>
      </c>
      <c r="X815" s="105" t="str">
        <f t="shared" si="201"/>
        <v>BR4-2110-E-00236</v>
      </c>
      <c r="Y815" s="92" t="str">
        <f t="shared" si="202"/>
        <v>A</v>
      </c>
      <c r="Z815" s="92"/>
      <c r="AA815" s="9"/>
    </row>
    <row r="816" spans="1:27" x14ac:dyDescent="0.3">
      <c r="A816" s="96"/>
      <c r="B816" s="96"/>
      <c r="C816" s="93"/>
      <c r="D816" s="93"/>
      <c r="E816" s="93"/>
      <c r="F816" s="93"/>
      <c r="G816" s="93" t="s">
        <v>2</v>
      </c>
      <c r="H816" s="113">
        <f t="shared" si="199"/>
        <v>1</v>
      </c>
      <c r="I816" s="128">
        <v>5</v>
      </c>
      <c r="J816" s="131" t="s">
        <v>58</v>
      </c>
      <c r="K816" s="113"/>
      <c r="L816" s="124" t="s">
        <v>21</v>
      </c>
      <c r="M816" s="93"/>
      <c r="N816" s="93"/>
      <c r="O816" s="93"/>
      <c r="P816" s="124"/>
      <c r="Q816" s="124"/>
      <c r="R816" s="93"/>
      <c r="S816" s="32"/>
      <c r="T816" s="32"/>
      <c r="U816" s="122" t="str">
        <f t="shared" si="200"/>
        <v>BCV130MT01EM01</v>
      </c>
      <c r="X816" s="105" t="str">
        <f t="shared" si="201"/>
        <v>BR4-2110-E-00236</v>
      </c>
      <c r="Y816" s="92" t="str">
        <f t="shared" si="202"/>
        <v>A</v>
      </c>
      <c r="Z816" s="92"/>
      <c r="AA816" s="9"/>
    </row>
    <row r="817" spans="1:27" x14ac:dyDescent="0.3">
      <c r="A817" s="96"/>
      <c r="B817" s="96"/>
      <c r="C817" s="93"/>
      <c r="D817" s="93"/>
      <c r="E817" s="93"/>
      <c r="F817" s="93"/>
      <c r="G817" s="93" t="s">
        <v>2</v>
      </c>
      <c r="H817" s="113">
        <f t="shared" si="199"/>
        <v>1</v>
      </c>
      <c r="I817" s="128">
        <v>6</v>
      </c>
      <c r="J817" s="131" t="s">
        <v>57</v>
      </c>
      <c r="K817" s="113"/>
      <c r="L817" s="124" t="s">
        <v>21</v>
      </c>
      <c r="M817" s="93"/>
      <c r="N817" s="93">
        <v>3</v>
      </c>
      <c r="O817" s="93"/>
      <c r="P817" s="130" t="s">
        <v>56</v>
      </c>
      <c r="Q817" s="124"/>
      <c r="R817" s="93" t="s">
        <v>55</v>
      </c>
      <c r="S817" s="32" t="s">
        <v>54</v>
      </c>
      <c r="T817" s="32"/>
      <c r="U817" s="122" t="str">
        <f t="shared" si="200"/>
        <v>BCV130MT01EM01</v>
      </c>
      <c r="X817" s="105" t="str">
        <f t="shared" si="201"/>
        <v>BR4-2110-E-00236</v>
      </c>
      <c r="Y817" s="92" t="str">
        <f t="shared" si="202"/>
        <v>A</v>
      </c>
      <c r="Z817" s="92"/>
      <c r="AA817" s="9"/>
    </row>
    <row r="818" spans="1:27" x14ac:dyDescent="0.3">
      <c r="A818" s="96"/>
      <c r="B818" s="96"/>
      <c r="C818" s="93"/>
      <c r="D818" s="93"/>
      <c r="E818" s="93"/>
      <c r="F818" s="93"/>
      <c r="G818" s="93" t="s">
        <v>2</v>
      </c>
      <c r="H818" s="113">
        <f t="shared" si="199"/>
        <v>1</v>
      </c>
      <c r="I818" s="128">
        <v>1</v>
      </c>
      <c r="J818" s="131" t="s">
        <v>53</v>
      </c>
      <c r="K818" s="113"/>
      <c r="L818" s="124" t="s">
        <v>42</v>
      </c>
      <c r="M818" s="93"/>
      <c r="N818" s="93">
        <v>3</v>
      </c>
      <c r="O818" s="93"/>
      <c r="P818" s="130" t="s">
        <v>52</v>
      </c>
      <c r="Q818" s="124"/>
      <c r="R818" s="92" t="s">
        <v>83</v>
      </c>
      <c r="S818" s="93" t="s">
        <v>24</v>
      </c>
      <c r="T818" s="32" t="s">
        <v>50</v>
      </c>
      <c r="U818" s="122" t="str">
        <f t="shared" si="200"/>
        <v>BCV130MT01EM01</v>
      </c>
      <c r="X818" s="105" t="str">
        <f t="shared" si="201"/>
        <v>BR4-2110-E-00236</v>
      </c>
      <c r="Y818" s="92" t="str">
        <f t="shared" si="202"/>
        <v>A</v>
      </c>
      <c r="Z818" s="92"/>
      <c r="AA818" s="9"/>
    </row>
    <row r="819" spans="1:27" x14ac:dyDescent="0.3">
      <c r="A819" s="96"/>
      <c r="B819" s="96"/>
      <c r="C819" s="93"/>
      <c r="D819" s="93"/>
      <c r="E819" s="93"/>
      <c r="F819" s="93"/>
      <c r="G819" s="93" t="s">
        <v>2</v>
      </c>
      <c r="H819" s="113">
        <f t="shared" si="199"/>
        <v>1</v>
      </c>
      <c r="I819" s="128">
        <v>2</v>
      </c>
      <c r="J819" s="127" t="s">
        <v>49</v>
      </c>
      <c r="K819" s="113"/>
      <c r="L819" s="124" t="s">
        <v>42</v>
      </c>
      <c r="M819" s="93"/>
      <c r="N819" s="104">
        <v>5</v>
      </c>
      <c r="O819" s="93"/>
      <c r="P819" s="136" t="s">
        <v>82</v>
      </c>
      <c r="Q819" s="93"/>
      <c r="R819" s="92" t="s">
        <v>81</v>
      </c>
      <c r="S819" s="93" t="s">
        <v>24</v>
      </c>
      <c r="T819" s="32" t="s">
        <v>45</v>
      </c>
      <c r="U819" s="122" t="str">
        <f t="shared" si="200"/>
        <v>BCV130MT01EM01</v>
      </c>
      <c r="W819" s="96"/>
      <c r="X819" s="105" t="str">
        <f t="shared" si="201"/>
        <v>BR4-2110-E-00236</v>
      </c>
      <c r="Y819" s="92" t="str">
        <f t="shared" si="202"/>
        <v>A</v>
      </c>
      <c r="Z819" s="92"/>
      <c r="AA819" s="9"/>
    </row>
    <row r="820" spans="1:27" x14ac:dyDescent="0.3">
      <c r="A820" s="96"/>
      <c r="B820" s="96"/>
      <c r="C820" s="93"/>
      <c r="D820" s="93"/>
      <c r="E820" s="93"/>
      <c r="F820" s="93"/>
      <c r="G820" s="93" t="s">
        <v>2</v>
      </c>
      <c r="H820" s="113">
        <f t="shared" si="199"/>
        <v>1</v>
      </c>
      <c r="I820" s="128">
        <v>3</v>
      </c>
      <c r="J820" s="127" t="s">
        <v>44</v>
      </c>
      <c r="K820" s="113"/>
      <c r="L820" s="124" t="s">
        <v>42</v>
      </c>
      <c r="M820" s="93"/>
      <c r="N820" s="104"/>
      <c r="O820" s="104"/>
      <c r="P820" s="121"/>
      <c r="Q820" s="121"/>
      <c r="R820" s="121"/>
      <c r="S820" s="104"/>
      <c r="T820" s="129"/>
      <c r="U820" s="122" t="str">
        <f t="shared" si="200"/>
        <v>BCV130MT01EM01</v>
      </c>
      <c r="W820" s="96"/>
      <c r="X820" s="105" t="str">
        <f t="shared" si="201"/>
        <v>BR4-2110-E-00236</v>
      </c>
      <c r="Y820" s="92" t="str">
        <f t="shared" si="202"/>
        <v>A</v>
      </c>
      <c r="Z820" s="92"/>
      <c r="AA820" s="9"/>
    </row>
    <row r="821" spans="1:27" ht="13.5" thickBot="1" x14ac:dyDescent="0.35">
      <c r="A821" s="96"/>
      <c r="B821" s="96"/>
      <c r="C821" s="93"/>
      <c r="D821" s="93"/>
      <c r="E821" s="93"/>
      <c r="F821" s="93"/>
      <c r="G821" s="93" t="s">
        <v>2</v>
      </c>
      <c r="H821" s="113">
        <f t="shared" si="199"/>
        <v>1</v>
      </c>
      <c r="I821" s="126">
        <v>4</v>
      </c>
      <c r="J821" s="125" t="s">
        <v>43</v>
      </c>
      <c r="K821" s="113"/>
      <c r="L821" s="124" t="s">
        <v>42</v>
      </c>
      <c r="M821" s="93"/>
      <c r="N821" s="104">
        <v>5</v>
      </c>
      <c r="O821" s="104"/>
      <c r="P821" s="123" t="s">
        <v>41</v>
      </c>
      <c r="Q821" s="121"/>
      <c r="R821" s="121" t="s">
        <v>40</v>
      </c>
      <c r="S821" s="104" t="s">
        <v>39</v>
      </c>
      <c r="T821" s="29" t="s">
        <v>38</v>
      </c>
      <c r="U821" s="122" t="str">
        <f t="shared" si="200"/>
        <v>BCV130MT01EM01</v>
      </c>
      <c r="W821" s="96"/>
      <c r="X821" s="105" t="str">
        <f t="shared" si="201"/>
        <v>BR4-2110-E-00236</v>
      </c>
      <c r="Y821" s="92" t="str">
        <f t="shared" si="202"/>
        <v>A</v>
      </c>
      <c r="Z821" s="92"/>
      <c r="AA821" s="9"/>
    </row>
    <row r="822" spans="1:27" x14ac:dyDescent="0.3">
      <c r="A822" s="96"/>
      <c r="B822" s="96"/>
      <c r="C822" s="93"/>
      <c r="D822" s="93"/>
      <c r="E822" s="93"/>
      <c r="F822" s="93"/>
      <c r="G822" s="93" t="s">
        <v>2</v>
      </c>
      <c r="H822" s="113">
        <f t="shared" si="199"/>
        <v>1</v>
      </c>
      <c r="I822" s="134">
        <v>7</v>
      </c>
      <c r="J822" s="133" t="s">
        <v>80</v>
      </c>
      <c r="K822" s="113"/>
      <c r="L822" s="124" t="s">
        <v>21</v>
      </c>
      <c r="M822" s="93"/>
      <c r="N822" s="104">
        <v>5</v>
      </c>
      <c r="O822" s="104"/>
      <c r="P822" s="38" t="s">
        <v>79</v>
      </c>
      <c r="Q822" s="37"/>
      <c r="R822" s="104" t="s">
        <v>64</v>
      </c>
      <c r="S822" s="104" t="s">
        <v>24</v>
      </c>
      <c r="T822" s="36" t="s">
        <v>78</v>
      </c>
      <c r="U822" s="122" t="str">
        <f t="shared" si="200"/>
        <v>BCV130MT01EM01</v>
      </c>
      <c r="X822" s="105" t="str">
        <f t="shared" si="201"/>
        <v>BR4-2110-E-00236</v>
      </c>
      <c r="Y822" s="92" t="str">
        <f t="shared" si="202"/>
        <v>A</v>
      </c>
      <c r="Z822" s="92"/>
      <c r="AA822" s="9"/>
    </row>
    <row r="823" spans="1:27" x14ac:dyDescent="0.3">
      <c r="A823" s="96"/>
      <c r="B823" s="96"/>
      <c r="C823" s="93"/>
      <c r="D823" s="93"/>
      <c r="E823" s="93"/>
      <c r="F823" s="93"/>
      <c r="G823" s="93" t="s">
        <v>2</v>
      </c>
      <c r="H823" s="113">
        <f t="shared" si="199"/>
        <v>1</v>
      </c>
      <c r="I823" s="128">
        <v>8</v>
      </c>
      <c r="J823" s="131" t="s">
        <v>77</v>
      </c>
      <c r="K823" s="113"/>
      <c r="L823" s="124" t="s">
        <v>21</v>
      </c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113"/>
      <c r="Z823" s="92"/>
      <c r="AA823" s="9"/>
    </row>
    <row r="824" spans="1:27" x14ac:dyDescent="0.3">
      <c r="A824" s="96"/>
      <c r="B824" s="96"/>
      <c r="C824" s="93"/>
      <c r="D824" s="93"/>
      <c r="E824" s="93"/>
      <c r="F824" s="93"/>
      <c r="G824" s="93" t="s">
        <v>2</v>
      </c>
      <c r="H824" s="113">
        <f t="shared" si="199"/>
        <v>1</v>
      </c>
      <c r="I824" s="128">
        <v>9</v>
      </c>
      <c r="J824" s="131" t="s">
        <v>76</v>
      </c>
      <c r="K824" s="113"/>
      <c r="L824" s="124" t="s">
        <v>21</v>
      </c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113"/>
      <c r="Z824" s="92"/>
      <c r="AA824" s="9"/>
    </row>
    <row r="825" spans="1:27" ht="13.5" thickBot="1" x14ac:dyDescent="0.35">
      <c r="A825" s="96"/>
      <c r="B825" s="96"/>
      <c r="C825" s="93"/>
      <c r="D825" s="93"/>
      <c r="E825" s="93"/>
      <c r="F825" s="93"/>
      <c r="G825" s="93" t="s">
        <v>2</v>
      </c>
      <c r="H825" s="113">
        <f t="shared" si="199"/>
        <v>1</v>
      </c>
      <c r="I825" s="126">
        <v>10</v>
      </c>
      <c r="J825" s="135" t="s">
        <v>75</v>
      </c>
      <c r="K825" s="113"/>
      <c r="L825" s="124" t="s">
        <v>21</v>
      </c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113"/>
      <c r="Z825" s="92"/>
      <c r="AA825" s="9"/>
    </row>
    <row r="826" spans="1:27" x14ac:dyDescent="0.3">
      <c r="A826" s="96"/>
      <c r="B826" s="96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113"/>
      <c r="Z826" s="92"/>
      <c r="AA826" s="9"/>
    </row>
    <row r="827" spans="1:27" x14ac:dyDescent="0.3">
      <c r="A827" s="96"/>
      <c r="B827" s="96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113"/>
      <c r="Z827" s="92"/>
      <c r="AA827" s="9"/>
    </row>
    <row r="828" spans="1:27" x14ac:dyDescent="0.3">
      <c r="A828" s="96"/>
      <c r="B828" s="96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113"/>
      <c r="Z828" s="92"/>
      <c r="AA828" s="9"/>
    </row>
    <row r="829" spans="1:27" ht="13.5" thickBot="1" x14ac:dyDescent="0.35">
      <c r="A829" s="96"/>
      <c r="B829" s="96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113"/>
      <c r="Z829" s="92"/>
      <c r="AA829" s="9"/>
    </row>
    <row r="830" spans="1:27" x14ac:dyDescent="0.3">
      <c r="A830" s="96"/>
      <c r="B830" s="96"/>
      <c r="C830" s="93" t="s">
        <v>73</v>
      </c>
      <c r="D830" s="93"/>
      <c r="E830" s="93"/>
      <c r="F830" s="93"/>
      <c r="G830" s="93" t="s">
        <v>2</v>
      </c>
      <c r="H830" s="120">
        <v>1</v>
      </c>
      <c r="I830" s="134">
        <v>1</v>
      </c>
      <c r="J830" s="133" t="s">
        <v>74</v>
      </c>
      <c r="K830" s="113" t="s">
        <v>73</v>
      </c>
      <c r="L830" s="124" t="s">
        <v>21</v>
      </c>
      <c r="M830" s="93"/>
      <c r="N830" s="93">
        <v>4</v>
      </c>
      <c r="O830" s="93"/>
      <c r="P830" s="130" t="s">
        <v>72</v>
      </c>
      <c r="Q830" s="124"/>
      <c r="R830" s="105" t="s">
        <v>40</v>
      </c>
      <c r="S830" s="105" t="s">
        <v>24</v>
      </c>
      <c r="T830" s="32" t="s">
        <v>38</v>
      </c>
      <c r="U830" s="137" t="s">
        <v>85</v>
      </c>
      <c r="X830" s="105" t="s">
        <v>84</v>
      </c>
      <c r="Y830" s="94" t="s">
        <v>4</v>
      </c>
      <c r="Z830" s="92"/>
      <c r="AA830" s="9"/>
    </row>
    <row r="831" spans="1:27" x14ac:dyDescent="0.3">
      <c r="A831" s="96"/>
      <c r="B831" s="96"/>
      <c r="C831" s="93"/>
      <c r="D831" s="93"/>
      <c r="E831" s="93"/>
      <c r="F831" s="93"/>
      <c r="G831" s="93" t="s">
        <v>2</v>
      </c>
      <c r="H831" s="113">
        <f t="shared" ref="H831:H843" si="203">H830</f>
        <v>1</v>
      </c>
      <c r="I831" s="128">
        <v>2</v>
      </c>
      <c r="J831" s="131" t="s">
        <v>69</v>
      </c>
      <c r="K831" s="107" t="s">
        <v>0</v>
      </c>
      <c r="L831" s="124" t="s">
        <v>21</v>
      </c>
      <c r="M831" s="93"/>
      <c r="N831" s="104">
        <v>5</v>
      </c>
      <c r="O831" s="104"/>
      <c r="P831" s="123" t="s">
        <v>68</v>
      </c>
      <c r="Q831" s="121"/>
      <c r="R831" s="121" t="s">
        <v>40</v>
      </c>
      <c r="S831" s="105" t="s">
        <v>67</v>
      </c>
      <c r="T831" s="32" t="s">
        <v>38</v>
      </c>
      <c r="U831" s="122" t="str">
        <f t="shared" ref="U831:U840" si="204">+U830</f>
        <v>BCV130MT01EM02</v>
      </c>
      <c r="X831" s="105" t="str">
        <f t="shared" ref="X831:X840" si="205">+X830</f>
        <v>BR4-2110-E-00237</v>
      </c>
      <c r="Y831" s="92" t="str">
        <f t="shared" ref="Y831:Y840" si="206">+Y830</f>
        <v>A</v>
      </c>
      <c r="Z831" s="92"/>
      <c r="AA831" s="9"/>
    </row>
    <row r="832" spans="1:27" x14ac:dyDescent="0.3">
      <c r="A832" s="96"/>
      <c r="B832" s="96"/>
      <c r="C832" s="93"/>
      <c r="D832" s="93"/>
      <c r="E832" s="93"/>
      <c r="F832" s="93"/>
      <c r="G832" s="93" t="s">
        <v>2</v>
      </c>
      <c r="H832" s="113">
        <f t="shared" si="203"/>
        <v>1</v>
      </c>
      <c r="I832" s="128">
        <v>3</v>
      </c>
      <c r="J832" s="131" t="s">
        <v>66</v>
      </c>
      <c r="K832" s="113"/>
      <c r="L832" s="124" t="s">
        <v>21</v>
      </c>
      <c r="M832" s="93"/>
      <c r="N832" s="93">
        <v>5</v>
      </c>
      <c r="O832" s="93"/>
      <c r="P832" s="34" t="s">
        <v>65</v>
      </c>
      <c r="Q832" s="12"/>
      <c r="R832" s="93" t="s">
        <v>64</v>
      </c>
      <c r="S832" s="93" t="s">
        <v>24</v>
      </c>
      <c r="T832" s="33" t="s">
        <v>63</v>
      </c>
      <c r="U832" s="122" t="str">
        <f t="shared" si="204"/>
        <v>BCV130MT01EM02</v>
      </c>
      <c r="X832" s="105" t="str">
        <f t="shared" si="205"/>
        <v>BR4-2110-E-00237</v>
      </c>
      <c r="Y832" s="92" t="str">
        <f t="shared" si="206"/>
        <v>A</v>
      </c>
      <c r="Z832" s="92"/>
      <c r="AA832" s="9"/>
    </row>
    <row r="833" spans="1:27" x14ac:dyDescent="0.3">
      <c r="A833" s="96"/>
      <c r="B833" s="96"/>
      <c r="C833" s="93"/>
      <c r="D833" s="93"/>
      <c r="E833" s="93"/>
      <c r="F833" s="93"/>
      <c r="G833" s="93" t="s">
        <v>2</v>
      </c>
      <c r="H833" s="113">
        <f t="shared" si="203"/>
        <v>1</v>
      </c>
      <c r="I833" s="128">
        <v>4</v>
      </c>
      <c r="J833" s="131" t="s">
        <v>62</v>
      </c>
      <c r="K833" s="113"/>
      <c r="L833" s="124" t="s">
        <v>21</v>
      </c>
      <c r="M833" s="93"/>
      <c r="N833" s="93">
        <v>3</v>
      </c>
      <c r="O833" s="93"/>
      <c r="P833" s="130" t="s">
        <v>61</v>
      </c>
      <c r="Q833" s="124"/>
      <c r="R833" s="93" t="s">
        <v>60</v>
      </c>
      <c r="S833" s="93" t="s">
        <v>18</v>
      </c>
      <c r="T833" s="32" t="s">
        <v>59</v>
      </c>
      <c r="U833" s="122" t="str">
        <f t="shared" si="204"/>
        <v>BCV130MT01EM02</v>
      </c>
      <c r="X833" s="105" t="str">
        <f t="shared" si="205"/>
        <v>BR4-2110-E-00237</v>
      </c>
      <c r="Y833" s="92" t="str">
        <f t="shared" si="206"/>
        <v>A</v>
      </c>
      <c r="Z833" s="92"/>
      <c r="AA833" s="9"/>
    </row>
    <row r="834" spans="1:27" x14ac:dyDescent="0.3">
      <c r="A834" s="96"/>
      <c r="B834" s="96"/>
      <c r="C834" s="93"/>
      <c r="D834" s="93"/>
      <c r="E834" s="93"/>
      <c r="F834" s="93"/>
      <c r="G834" s="93" t="s">
        <v>2</v>
      </c>
      <c r="H834" s="113">
        <f t="shared" si="203"/>
        <v>1</v>
      </c>
      <c r="I834" s="128">
        <v>5</v>
      </c>
      <c r="J834" s="131" t="s">
        <v>58</v>
      </c>
      <c r="K834" s="113"/>
      <c r="L834" s="124" t="s">
        <v>21</v>
      </c>
      <c r="M834" s="93"/>
      <c r="N834" s="93"/>
      <c r="O834" s="93"/>
      <c r="P834" s="124"/>
      <c r="Q834" s="124"/>
      <c r="R834" s="93"/>
      <c r="S834" s="32"/>
      <c r="T834" s="32"/>
      <c r="U834" s="122" t="str">
        <f t="shared" si="204"/>
        <v>BCV130MT01EM02</v>
      </c>
      <c r="X834" s="105" t="str">
        <f t="shared" si="205"/>
        <v>BR4-2110-E-00237</v>
      </c>
      <c r="Y834" s="92" t="str">
        <f t="shared" si="206"/>
        <v>A</v>
      </c>
      <c r="Z834" s="92"/>
      <c r="AA834" s="9"/>
    </row>
    <row r="835" spans="1:27" x14ac:dyDescent="0.3">
      <c r="A835" s="96"/>
      <c r="B835" s="96"/>
      <c r="C835" s="93"/>
      <c r="D835" s="93"/>
      <c r="E835" s="93"/>
      <c r="F835" s="93"/>
      <c r="G835" s="93" t="s">
        <v>2</v>
      </c>
      <c r="H835" s="113">
        <f t="shared" si="203"/>
        <v>1</v>
      </c>
      <c r="I835" s="128">
        <v>6</v>
      </c>
      <c r="J835" s="131" t="s">
        <v>57</v>
      </c>
      <c r="K835" s="113"/>
      <c r="L835" s="124" t="s">
        <v>21</v>
      </c>
      <c r="M835" s="93"/>
      <c r="N835" s="93">
        <v>3</v>
      </c>
      <c r="O835" s="93"/>
      <c r="P835" s="130" t="s">
        <v>56</v>
      </c>
      <c r="Q835" s="124"/>
      <c r="R835" s="93" t="s">
        <v>55</v>
      </c>
      <c r="S835" s="32" t="s">
        <v>54</v>
      </c>
      <c r="T835" s="32"/>
      <c r="U835" s="122" t="str">
        <f t="shared" si="204"/>
        <v>BCV130MT01EM02</v>
      </c>
      <c r="X835" s="105" t="str">
        <f t="shared" si="205"/>
        <v>BR4-2110-E-00237</v>
      </c>
      <c r="Y835" s="92" t="str">
        <f t="shared" si="206"/>
        <v>A</v>
      </c>
      <c r="Z835" s="92"/>
      <c r="AA835" s="9"/>
    </row>
    <row r="836" spans="1:27" x14ac:dyDescent="0.3">
      <c r="A836" s="96"/>
      <c r="B836" s="96"/>
      <c r="C836" s="93"/>
      <c r="D836" s="93"/>
      <c r="E836" s="93"/>
      <c r="F836" s="93"/>
      <c r="G836" s="93" t="s">
        <v>2</v>
      </c>
      <c r="H836" s="113">
        <f t="shared" si="203"/>
        <v>1</v>
      </c>
      <c r="I836" s="128">
        <v>1</v>
      </c>
      <c r="J836" s="131" t="s">
        <v>53</v>
      </c>
      <c r="K836" s="113"/>
      <c r="L836" s="124" t="s">
        <v>42</v>
      </c>
      <c r="M836" s="93"/>
      <c r="N836" s="93">
        <v>3</v>
      </c>
      <c r="O836" s="93"/>
      <c r="P836" s="130" t="s">
        <v>52</v>
      </c>
      <c r="Q836" s="124"/>
      <c r="R836" s="92" t="s">
        <v>83</v>
      </c>
      <c r="S836" s="93" t="s">
        <v>24</v>
      </c>
      <c r="T836" s="32" t="s">
        <v>50</v>
      </c>
      <c r="U836" s="122" t="str">
        <f t="shared" si="204"/>
        <v>BCV130MT01EM02</v>
      </c>
      <c r="X836" s="105" t="str">
        <f t="shared" si="205"/>
        <v>BR4-2110-E-00237</v>
      </c>
      <c r="Y836" s="92" t="str">
        <f t="shared" si="206"/>
        <v>A</v>
      </c>
      <c r="Z836" s="92"/>
      <c r="AA836" s="9"/>
    </row>
    <row r="837" spans="1:27" x14ac:dyDescent="0.3">
      <c r="A837" s="96"/>
      <c r="B837" s="96"/>
      <c r="C837" s="93"/>
      <c r="D837" s="93"/>
      <c r="E837" s="93"/>
      <c r="F837" s="93"/>
      <c r="G837" s="93" t="s">
        <v>2</v>
      </c>
      <c r="H837" s="113">
        <f t="shared" si="203"/>
        <v>1</v>
      </c>
      <c r="I837" s="128">
        <v>2</v>
      </c>
      <c r="J837" s="127" t="s">
        <v>49</v>
      </c>
      <c r="K837" s="113"/>
      <c r="L837" s="124" t="s">
        <v>42</v>
      </c>
      <c r="M837" s="93"/>
      <c r="N837" s="104">
        <v>5</v>
      </c>
      <c r="O837" s="93"/>
      <c r="P837" s="136" t="s">
        <v>82</v>
      </c>
      <c r="Q837" s="93"/>
      <c r="R837" s="92" t="s">
        <v>81</v>
      </c>
      <c r="S837" s="93" t="s">
        <v>24</v>
      </c>
      <c r="T837" s="32" t="s">
        <v>45</v>
      </c>
      <c r="U837" s="122" t="str">
        <f t="shared" si="204"/>
        <v>BCV130MT01EM02</v>
      </c>
      <c r="W837" s="96"/>
      <c r="X837" s="105" t="str">
        <f t="shared" si="205"/>
        <v>BR4-2110-E-00237</v>
      </c>
      <c r="Y837" s="92" t="str">
        <f t="shared" si="206"/>
        <v>A</v>
      </c>
      <c r="Z837" s="92"/>
      <c r="AA837" s="9"/>
    </row>
    <row r="838" spans="1:27" x14ac:dyDescent="0.3">
      <c r="A838" s="96"/>
      <c r="B838" s="96"/>
      <c r="C838" s="93"/>
      <c r="D838" s="93"/>
      <c r="E838" s="93"/>
      <c r="F838" s="93"/>
      <c r="G838" s="93" t="s">
        <v>2</v>
      </c>
      <c r="H838" s="113">
        <f t="shared" si="203"/>
        <v>1</v>
      </c>
      <c r="I838" s="128">
        <v>3</v>
      </c>
      <c r="J838" s="127" t="s">
        <v>44</v>
      </c>
      <c r="K838" s="113"/>
      <c r="L838" s="124" t="s">
        <v>42</v>
      </c>
      <c r="M838" s="93"/>
      <c r="N838" s="104"/>
      <c r="O838" s="104"/>
      <c r="P838" s="121"/>
      <c r="Q838" s="121"/>
      <c r="R838" s="121"/>
      <c r="S838" s="104"/>
      <c r="T838" s="129"/>
      <c r="U838" s="122" t="str">
        <f t="shared" si="204"/>
        <v>BCV130MT01EM02</v>
      </c>
      <c r="W838" s="96"/>
      <c r="X838" s="105" t="str">
        <f t="shared" si="205"/>
        <v>BR4-2110-E-00237</v>
      </c>
      <c r="Y838" s="92" t="str">
        <f t="shared" si="206"/>
        <v>A</v>
      </c>
      <c r="Z838" s="92"/>
      <c r="AA838" s="9"/>
    </row>
    <row r="839" spans="1:27" ht="13.5" thickBot="1" x14ac:dyDescent="0.35">
      <c r="A839" s="96"/>
      <c r="B839" s="96"/>
      <c r="C839" s="93"/>
      <c r="D839" s="93"/>
      <c r="E839" s="93"/>
      <c r="F839" s="93"/>
      <c r="G839" s="93" t="s">
        <v>2</v>
      </c>
      <c r="H839" s="113">
        <f t="shared" si="203"/>
        <v>1</v>
      </c>
      <c r="I839" s="126">
        <v>4</v>
      </c>
      <c r="J839" s="125" t="s">
        <v>43</v>
      </c>
      <c r="K839" s="113"/>
      <c r="L839" s="124" t="s">
        <v>42</v>
      </c>
      <c r="M839" s="93"/>
      <c r="N839" s="104">
        <v>5</v>
      </c>
      <c r="O839" s="104"/>
      <c r="P839" s="123" t="s">
        <v>41</v>
      </c>
      <c r="Q839" s="121"/>
      <c r="R839" s="121" t="s">
        <v>40</v>
      </c>
      <c r="S839" s="104" t="s">
        <v>39</v>
      </c>
      <c r="T839" s="29" t="s">
        <v>38</v>
      </c>
      <c r="U839" s="122" t="str">
        <f t="shared" si="204"/>
        <v>BCV130MT01EM02</v>
      </c>
      <c r="W839" s="96"/>
      <c r="X839" s="105" t="str">
        <f t="shared" si="205"/>
        <v>BR4-2110-E-00237</v>
      </c>
      <c r="Y839" s="92" t="str">
        <f t="shared" si="206"/>
        <v>A</v>
      </c>
      <c r="Z839" s="92"/>
      <c r="AA839" s="9"/>
    </row>
    <row r="840" spans="1:27" x14ac:dyDescent="0.3">
      <c r="A840" s="96"/>
      <c r="B840" s="96"/>
      <c r="C840" s="93"/>
      <c r="D840" s="93"/>
      <c r="E840" s="93"/>
      <c r="F840" s="93"/>
      <c r="G840" s="93" t="s">
        <v>2</v>
      </c>
      <c r="H840" s="113">
        <f t="shared" si="203"/>
        <v>1</v>
      </c>
      <c r="I840" s="134">
        <v>7</v>
      </c>
      <c r="J840" s="133" t="s">
        <v>80</v>
      </c>
      <c r="K840" s="113"/>
      <c r="L840" s="124" t="s">
        <v>21</v>
      </c>
      <c r="M840" s="93"/>
      <c r="N840" s="104">
        <v>5</v>
      </c>
      <c r="O840" s="104"/>
      <c r="P840" s="38" t="s">
        <v>79</v>
      </c>
      <c r="Q840" s="37"/>
      <c r="R840" s="104" t="s">
        <v>64</v>
      </c>
      <c r="S840" s="104" t="s">
        <v>24</v>
      </c>
      <c r="T840" s="36" t="s">
        <v>78</v>
      </c>
      <c r="U840" s="122" t="str">
        <f t="shared" si="204"/>
        <v>BCV130MT01EM02</v>
      </c>
      <c r="X840" s="105" t="str">
        <f t="shared" si="205"/>
        <v>BR4-2110-E-00237</v>
      </c>
      <c r="Y840" s="92" t="str">
        <f t="shared" si="206"/>
        <v>A</v>
      </c>
      <c r="Z840" s="92"/>
      <c r="AA840" s="9"/>
    </row>
    <row r="841" spans="1:27" x14ac:dyDescent="0.3">
      <c r="A841" s="96"/>
      <c r="B841" s="96"/>
      <c r="C841" s="93"/>
      <c r="D841" s="93"/>
      <c r="E841" s="93"/>
      <c r="F841" s="93"/>
      <c r="G841" s="93" t="s">
        <v>2</v>
      </c>
      <c r="H841" s="113">
        <f t="shared" si="203"/>
        <v>1</v>
      </c>
      <c r="I841" s="128">
        <v>8</v>
      </c>
      <c r="J841" s="131" t="s">
        <v>77</v>
      </c>
      <c r="K841" s="113"/>
      <c r="L841" s="124" t="s">
        <v>21</v>
      </c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113"/>
      <c r="Z841" s="92"/>
      <c r="AA841" s="9"/>
    </row>
    <row r="842" spans="1:27" x14ac:dyDescent="0.3">
      <c r="A842" s="96"/>
      <c r="B842" s="96"/>
      <c r="C842" s="93"/>
      <c r="D842" s="93"/>
      <c r="E842" s="93"/>
      <c r="F842" s="93"/>
      <c r="G842" s="93" t="s">
        <v>2</v>
      </c>
      <c r="H842" s="113">
        <f t="shared" si="203"/>
        <v>1</v>
      </c>
      <c r="I842" s="128">
        <v>9</v>
      </c>
      <c r="J842" s="131" t="s">
        <v>76</v>
      </c>
      <c r="K842" s="113"/>
      <c r="L842" s="124" t="s">
        <v>21</v>
      </c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113"/>
      <c r="Z842" s="92"/>
      <c r="AA842" s="9"/>
    </row>
    <row r="843" spans="1:27" ht="13.5" thickBot="1" x14ac:dyDescent="0.35">
      <c r="A843" s="96"/>
      <c r="B843" s="96"/>
      <c r="C843" s="93"/>
      <c r="D843" s="93"/>
      <c r="E843" s="93"/>
      <c r="F843" s="93"/>
      <c r="G843" s="93" t="s">
        <v>2</v>
      </c>
      <c r="H843" s="113">
        <f t="shared" si="203"/>
        <v>1</v>
      </c>
      <c r="I843" s="126">
        <v>10</v>
      </c>
      <c r="J843" s="135" t="s">
        <v>75</v>
      </c>
      <c r="K843" s="113"/>
      <c r="L843" s="124" t="s">
        <v>21</v>
      </c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113"/>
      <c r="Z843" s="92"/>
      <c r="AA843" s="9"/>
    </row>
    <row r="844" spans="1:27" x14ac:dyDescent="0.3">
      <c r="A844" s="96"/>
      <c r="B844" s="96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113"/>
      <c r="Z844" s="92"/>
      <c r="AA844" s="9"/>
    </row>
    <row r="845" spans="1:27" ht="13.5" thickBot="1" x14ac:dyDescent="0.35">
      <c r="A845" s="96"/>
      <c r="B845" s="96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113"/>
      <c r="Z845" s="92"/>
      <c r="AA845" s="9"/>
    </row>
    <row r="846" spans="1:27" x14ac:dyDescent="0.3">
      <c r="A846" s="96"/>
      <c r="B846" s="96"/>
      <c r="C846" s="93" t="s">
        <v>73</v>
      </c>
      <c r="D846" s="93"/>
      <c r="E846" s="93"/>
      <c r="F846" s="93"/>
      <c r="G846" s="93" t="s">
        <v>2</v>
      </c>
      <c r="H846" s="120">
        <v>1</v>
      </c>
      <c r="I846" s="134">
        <v>1</v>
      </c>
      <c r="J846" s="133" t="s">
        <v>74</v>
      </c>
      <c r="K846" s="113" t="s">
        <v>73</v>
      </c>
      <c r="L846" s="124" t="s">
        <v>21</v>
      </c>
      <c r="M846" s="93"/>
      <c r="N846" s="93">
        <v>4</v>
      </c>
      <c r="O846" s="93"/>
      <c r="P846" s="130" t="s">
        <v>72</v>
      </c>
      <c r="Q846" s="124"/>
      <c r="R846" s="105" t="s">
        <v>40</v>
      </c>
      <c r="S846" s="105" t="s">
        <v>24</v>
      </c>
      <c r="T846" s="32" t="s">
        <v>38</v>
      </c>
      <c r="U846" s="132" t="s">
        <v>71</v>
      </c>
      <c r="X846" s="105" t="s">
        <v>70</v>
      </c>
      <c r="Y846" s="94" t="s">
        <v>4</v>
      </c>
      <c r="Z846" s="92"/>
      <c r="AA846" s="9"/>
    </row>
    <row r="847" spans="1:27" x14ac:dyDescent="0.3">
      <c r="A847" s="96"/>
      <c r="B847" s="96"/>
      <c r="C847" s="93"/>
      <c r="D847" s="93"/>
      <c r="E847" s="93"/>
      <c r="F847" s="93"/>
      <c r="G847" s="93" t="s">
        <v>2</v>
      </c>
      <c r="H847" s="113">
        <f t="shared" ref="H847:H855" si="207">H846</f>
        <v>1</v>
      </c>
      <c r="I847" s="128">
        <v>2</v>
      </c>
      <c r="J847" s="131" t="s">
        <v>69</v>
      </c>
      <c r="K847" s="107" t="s">
        <v>0</v>
      </c>
      <c r="L847" s="124" t="s">
        <v>21</v>
      </c>
      <c r="M847" s="93"/>
      <c r="N847" s="104">
        <v>5</v>
      </c>
      <c r="O847" s="104"/>
      <c r="P847" s="123" t="s">
        <v>68</v>
      </c>
      <c r="Q847" s="121"/>
      <c r="R847" s="121" t="s">
        <v>40</v>
      </c>
      <c r="S847" s="105" t="s">
        <v>67</v>
      </c>
      <c r="T847" s="32" t="s">
        <v>38</v>
      </c>
      <c r="U847" s="122" t="str">
        <f t="shared" ref="U847:U855" si="208">+U846</f>
        <v>BBD130PP01</v>
      </c>
      <c r="X847" s="105" t="str">
        <f t="shared" ref="X847:X855" si="209">+X846</f>
        <v>BR4-2110-E-00042</v>
      </c>
      <c r="Y847" s="92" t="str">
        <f t="shared" ref="Y847:Y855" si="210">+Y846</f>
        <v>A</v>
      </c>
      <c r="Z847" s="92"/>
      <c r="AA847" s="9"/>
    </row>
    <row r="848" spans="1:27" x14ac:dyDescent="0.3">
      <c r="A848" s="96"/>
      <c r="B848" s="96"/>
      <c r="C848" s="93"/>
      <c r="D848" s="93"/>
      <c r="E848" s="93"/>
      <c r="F848" s="93"/>
      <c r="G848" s="93" t="s">
        <v>2</v>
      </c>
      <c r="H848" s="113">
        <f t="shared" si="207"/>
        <v>1</v>
      </c>
      <c r="I848" s="128">
        <v>3</v>
      </c>
      <c r="J848" s="131" t="s">
        <v>66</v>
      </c>
      <c r="K848" s="113"/>
      <c r="L848" s="124" t="s">
        <v>21</v>
      </c>
      <c r="M848" s="93"/>
      <c r="N848" s="93">
        <v>5</v>
      </c>
      <c r="O848" s="93"/>
      <c r="P848" s="34" t="s">
        <v>65</v>
      </c>
      <c r="Q848" s="12"/>
      <c r="R848" s="93" t="s">
        <v>64</v>
      </c>
      <c r="S848" s="93" t="s">
        <v>24</v>
      </c>
      <c r="T848" s="33" t="s">
        <v>63</v>
      </c>
      <c r="U848" s="122" t="str">
        <f t="shared" si="208"/>
        <v>BBD130PP01</v>
      </c>
      <c r="X848" s="105" t="str">
        <f t="shared" si="209"/>
        <v>BR4-2110-E-00042</v>
      </c>
      <c r="Y848" s="92" t="str">
        <f t="shared" si="210"/>
        <v>A</v>
      </c>
      <c r="Z848" s="92"/>
      <c r="AA848" s="9"/>
    </row>
    <row r="849" spans="1:30" x14ac:dyDescent="0.3">
      <c r="A849" s="96"/>
      <c r="B849" s="96"/>
      <c r="C849" s="93"/>
      <c r="D849" s="93"/>
      <c r="E849" s="93"/>
      <c r="F849" s="93"/>
      <c r="G849" s="93" t="s">
        <v>2</v>
      </c>
      <c r="H849" s="113">
        <f t="shared" si="207"/>
        <v>1</v>
      </c>
      <c r="I849" s="128">
        <v>4</v>
      </c>
      <c r="J849" s="131" t="s">
        <v>62</v>
      </c>
      <c r="K849" s="113"/>
      <c r="L849" s="124" t="s">
        <v>21</v>
      </c>
      <c r="M849" s="93"/>
      <c r="N849" s="93">
        <v>4</v>
      </c>
      <c r="O849" s="93"/>
      <c r="P849" s="130" t="s">
        <v>61</v>
      </c>
      <c r="Q849" s="124"/>
      <c r="R849" s="93" t="s">
        <v>60</v>
      </c>
      <c r="S849" s="93" t="s">
        <v>18</v>
      </c>
      <c r="T849" s="32" t="s">
        <v>59</v>
      </c>
      <c r="U849" s="122" t="str">
        <f t="shared" si="208"/>
        <v>BBD130PP01</v>
      </c>
      <c r="X849" s="105" t="str">
        <f t="shared" si="209"/>
        <v>BR4-2110-E-00042</v>
      </c>
      <c r="Y849" s="92" t="str">
        <f t="shared" si="210"/>
        <v>A</v>
      </c>
      <c r="Z849" s="92"/>
      <c r="AA849" s="9"/>
    </row>
    <row r="850" spans="1:30" x14ac:dyDescent="0.3">
      <c r="A850" s="96"/>
      <c r="B850" s="96"/>
      <c r="C850" s="93"/>
      <c r="D850" s="93"/>
      <c r="E850" s="93"/>
      <c r="F850" s="93"/>
      <c r="G850" s="93" t="s">
        <v>2</v>
      </c>
      <c r="H850" s="113">
        <f t="shared" si="207"/>
        <v>1</v>
      </c>
      <c r="I850" s="128">
        <v>5</v>
      </c>
      <c r="J850" s="131" t="s">
        <v>58</v>
      </c>
      <c r="K850" s="113"/>
      <c r="L850" s="124" t="s">
        <v>21</v>
      </c>
      <c r="M850" s="93"/>
      <c r="N850" s="93"/>
      <c r="O850" s="93"/>
      <c r="P850" s="124"/>
      <c r="Q850" s="124"/>
      <c r="R850" s="93"/>
      <c r="S850" s="32"/>
      <c r="T850" s="32"/>
      <c r="U850" s="122" t="str">
        <f t="shared" si="208"/>
        <v>BBD130PP01</v>
      </c>
      <c r="X850" s="105" t="str">
        <f t="shared" si="209"/>
        <v>BR4-2110-E-00042</v>
      </c>
      <c r="Y850" s="92" t="str">
        <f t="shared" si="210"/>
        <v>A</v>
      </c>
      <c r="Z850" s="92"/>
      <c r="AA850" s="9"/>
    </row>
    <row r="851" spans="1:30" x14ac:dyDescent="0.3">
      <c r="A851" s="96"/>
      <c r="B851" s="96"/>
      <c r="C851" s="93"/>
      <c r="D851" s="93"/>
      <c r="E851" s="93"/>
      <c r="F851" s="93"/>
      <c r="G851" s="93" t="s">
        <v>2</v>
      </c>
      <c r="H851" s="113">
        <f t="shared" si="207"/>
        <v>1</v>
      </c>
      <c r="I851" s="128">
        <v>6</v>
      </c>
      <c r="J851" s="131" t="s">
        <v>57</v>
      </c>
      <c r="K851" s="113"/>
      <c r="L851" s="124" t="s">
        <v>21</v>
      </c>
      <c r="M851" s="93"/>
      <c r="N851" s="93">
        <v>4</v>
      </c>
      <c r="O851" s="93"/>
      <c r="P851" s="130" t="s">
        <v>56</v>
      </c>
      <c r="Q851" s="124"/>
      <c r="R851" s="93" t="s">
        <v>55</v>
      </c>
      <c r="S851" s="32" t="s">
        <v>54</v>
      </c>
      <c r="T851" s="32"/>
      <c r="U851" s="122" t="str">
        <f t="shared" si="208"/>
        <v>BBD130PP01</v>
      </c>
      <c r="X851" s="105" t="str">
        <f t="shared" si="209"/>
        <v>BR4-2110-E-00042</v>
      </c>
      <c r="Y851" s="92" t="str">
        <f t="shared" si="210"/>
        <v>A</v>
      </c>
      <c r="Z851" s="92"/>
      <c r="AA851" s="9"/>
    </row>
    <row r="852" spans="1:30" x14ac:dyDescent="0.3">
      <c r="A852" s="96"/>
      <c r="B852" s="96"/>
      <c r="C852" s="93"/>
      <c r="D852" s="93"/>
      <c r="E852" s="93"/>
      <c r="F852" s="93"/>
      <c r="G852" s="93" t="s">
        <v>2</v>
      </c>
      <c r="H852" s="113">
        <f t="shared" si="207"/>
        <v>1</v>
      </c>
      <c r="I852" s="128">
        <v>1</v>
      </c>
      <c r="J852" s="131" t="s">
        <v>53</v>
      </c>
      <c r="K852" s="113"/>
      <c r="L852" s="124" t="s">
        <v>42</v>
      </c>
      <c r="M852" s="93"/>
      <c r="N852" s="93">
        <v>4</v>
      </c>
      <c r="O852" s="93"/>
      <c r="P852" s="130" t="s">
        <v>52</v>
      </c>
      <c r="Q852" s="124"/>
      <c r="R852" s="93" t="s">
        <v>51</v>
      </c>
      <c r="S852" s="93" t="s">
        <v>24</v>
      </c>
      <c r="T852" s="32" t="s">
        <v>50</v>
      </c>
      <c r="U852" s="122" t="str">
        <f t="shared" si="208"/>
        <v>BBD130PP01</v>
      </c>
      <c r="X852" s="105" t="str">
        <f t="shared" si="209"/>
        <v>BR4-2110-E-00042</v>
      </c>
      <c r="Y852" s="92" t="str">
        <f t="shared" si="210"/>
        <v>A</v>
      </c>
      <c r="Z852" s="92"/>
      <c r="AA852" s="9"/>
    </row>
    <row r="853" spans="1:30" x14ac:dyDescent="0.3">
      <c r="A853" s="96"/>
      <c r="B853" s="96"/>
      <c r="C853" s="93"/>
      <c r="D853" s="93"/>
      <c r="E853" s="93"/>
      <c r="F853" s="93"/>
      <c r="G853" s="93" t="s">
        <v>2</v>
      </c>
      <c r="H853" s="113">
        <f t="shared" si="207"/>
        <v>1</v>
      </c>
      <c r="I853" s="128">
        <v>2</v>
      </c>
      <c r="J853" s="127" t="s">
        <v>49</v>
      </c>
      <c r="K853" s="113"/>
      <c r="L853" s="124" t="s">
        <v>42</v>
      </c>
      <c r="M853" s="93"/>
      <c r="N853" s="104">
        <v>5</v>
      </c>
      <c r="O853" s="93"/>
      <c r="P853" s="123" t="s">
        <v>48</v>
      </c>
      <c r="Q853" s="121"/>
      <c r="R853" s="121" t="s">
        <v>47</v>
      </c>
      <c r="S853" s="104" t="s">
        <v>46</v>
      </c>
      <c r="T853" s="129" t="s">
        <v>45</v>
      </c>
      <c r="U853" s="122" t="str">
        <f t="shared" si="208"/>
        <v>BBD130PP01</v>
      </c>
      <c r="W853" s="96"/>
      <c r="X853" s="105" t="str">
        <f t="shared" si="209"/>
        <v>BR4-2110-E-00042</v>
      </c>
      <c r="Y853" s="92" t="str">
        <f t="shared" si="210"/>
        <v>A</v>
      </c>
      <c r="Z853" s="92"/>
      <c r="AA853" s="9"/>
    </row>
    <row r="854" spans="1:30" x14ac:dyDescent="0.3">
      <c r="A854" s="96"/>
      <c r="B854" s="96"/>
      <c r="C854" s="93"/>
      <c r="D854" s="93"/>
      <c r="E854" s="93"/>
      <c r="F854" s="93"/>
      <c r="G854" s="93" t="s">
        <v>2</v>
      </c>
      <c r="H854" s="113">
        <f t="shared" si="207"/>
        <v>1</v>
      </c>
      <c r="I854" s="128">
        <v>3</v>
      </c>
      <c r="J854" s="127" t="s">
        <v>44</v>
      </c>
      <c r="K854" s="113"/>
      <c r="L854" s="124" t="s">
        <v>42</v>
      </c>
      <c r="M854" s="93"/>
      <c r="N854" s="104">
        <v>5</v>
      </c>
      <c r="O854" s="104"/>
      <c r="U854" s="122" t="str">
        <f t="shared" si="208"/>
        <v>BBD130PP01</v>
      </c>
      <c r="W854" s="96"/>
      <c r="X854" s="105" t="str">
        <f t="shared" si="209"/>
        <v>BR4-2110-E-00042</v>
      </c>
      <c r="Y854" s="92" t="str">
        <f t="shared" si="210"/>
        <v>A</v>
      </c>
      <c r="Z854" s="92"/>
      <c r="AA854" s="9"/>
    </row>
    <row r="855" spans="1:30" ht="13.5" thickBot="1" x14ac:dyDescent="0.35">
      <c r="A855" s="96"/>
      <c r="B855" s="96"/>
      <c r="C855" s="93"/>
      <c r="D855" s="93"/>
      <c r="E855" s="93"/>
      <c r="F855" s="93"/>
      <c r="G855" s="93" t="s">
        <v>2</v>
      </c>
      <c r="H855" s="113">
        <f t="shared" si="207"/>
        <v>1</v>
      </c>
      <c r="I855" s="126">
        <v>4</v>
      </c>
      <c r="J855" s="125" t="s">
        <v>43</v>
      </c>
      <c r="K855" s="113"/>
      <c r="L855" s="124" t="s">
        <v>42</v>
      </c>
      <c r="M855" s="93"/>
      <c r="N855" s="104">
        <v>5</v>
      </c>
      <c r="O855" s="104"/>
      <c r="P855" s="123" t="s">
        <v>41</v>
      </c>
      <c r="Q855" s="121"/>
      <c r="R855" s="121" t="s">
        <v>40</v>
      </c>
      <c r="S855" s="104" t="s">
        <v>39</v>
      </c>
      <c r="T855" s="29" t="s">
        <v>38</v>
      </c>
      <c r="U855" s="122" t="str">
        <f t="shared" si="208"/>
        <v>BBD130PP01</v>
      </c>
      <c r="W855" s="96"/>
      <c r="X855" s="105" t="str">
        <f t="shared" si="209"/>
        <v>BR4-2110-E-00042</v>
      </c>
      <c r="Y855" s="92" t="str">
        <f t="shared" si="210"/>
        <v>A</v>
      </c>
      <c r="Z855" s="92"/>
      <c r="AA855" s="9"/>
    </row>
    <row r="856" spans="1:30" x14ac:dyDescent="0.3">
      <c r="A856" s="96"/>
      <c r="B856" s="96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113"/>
      <c r="Z856" s="92"/>
      <c r="AA856" s="9"/>
    </row>
    <row r="857" spans="1:30" x14ac:dyDescent="0.3">
      <c r="A857" s="96"/>
      <c r="B857" s="96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104">
        <v>5</v>
      </c>
      <c r="O857" s="104"/>
      <c r="P857" s="93"/>
      <c r="Q857" s="93"/>
      <c r="R857" s="93"/>
      <c r="S857" s="93"/>
      <c r="T857" s="93"/>
      <c r="U857" s="122" t="s">
        <v>37</v>
      </c>
      <c r="V857" s="104"/>
      <c r="W857" s="104"/>
      <c r="X857" s="121" t="s">
        <v>36</v>
      </c>
      <c r="Y857" s="104" t="s">
        <v>4</v>
      </c>
      <c r="Z857" s="104" t="s">
        <v>33</v>
      </c>
      <c r="AA857" s="9"/>
    </row>
    <row r="858" spans="1:30" x14ac:dyDescent="0.3">
      <c r="A858" s="96"/>
      <c r="B858" s="96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122" t="s">
        <v>35</v>
      </c>
      <c r="V858" s="93"/>
      <c r="W858" s="93"/>
      <c r="X858" s="121" t="s">
        <v>34</v>
      </c>
      <c r="Y858" s="104" t="s">
        <v>4</v>
      </c>
      <c r="Z858" s="104" t="s">
        <v>33</v>
      </c>
      <c r="AA858" s="9"/>
    </row>
    <row r="859" spans="1:30" ht="13.5" thickBot="1" x14ac:dyDescent="0.35">
      <c r="A859" s="96"/>
      <c r="B859" s="96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113"/>
      <c r="Z859" s="92"/>
      <c r="AA859" s="9"/>
    </row>
    <row r="860" spans="1:30" x14ac:dyDescent="0.3">
      <c r="C860" s="94" t="s">
        <v>31</v>
      </c>
      <c r="D860" s="94"/>
      <c r="E860" s="112"/>
      <c r="F860" s="94"/>
      <c r="G860" s="94"/>
      <c r="H860" s="120">
        <v>1</v>
      </c>
      <c r="I860" s="119">
        <v>1</v>
      </c>
      <c r="J860" s="118" t="s">
        <v>32</v>
      </c>
      <c r="K860" s="94" t="s">
        <v>31</v>
      </c>
      <c r="L860" s="105" t="s">
        <v>21</v>
      </c>
      <c r="M860" s="105"/>
      <c r="N860" s="92">
        <v>4</v>
      </c>
      <c r="O860" s="92"/>
      <c r="P860" s="105" t="s">
        <v>30</v>
      </c>
      <c r="Q860" s="105"/>
      <c r="R860" s="105" t="s">
        <v>29</v>
      </c>
      <c r="S860" s="105"/>
      <c r="U860" s="92" t="s">
        <v>17</v>
      </c>
      <c r="X860" s="105" t="s">
        <v>16</v>
      </c>
      <c r="Y860" s="112" t="s">
        <v>4</v>
      </c>
      <c r="Z860" s="111"/>
      <c r="AC860" s="106"/>
      <c r="AD860" s="95"/>
    </row>
    <row r="861" spans="1:30" x14ac:dyDescent="0.3">
      <c r="C861" s="92"/>
      <c r="D861" s="94"/>
      <c r="E861" s="112"/>
      <c r="F861" s="94"/>
      <c r="G861" s="94"/>
      <c r="H861" s="94">
        <v>1</v>
      </c>
      <c r="I861" s="117">
        <v>2</v>
      </c>
      <c r="J861" s="116" t="s">
        <v>28</v>
      </c>
      <c r="K861" s="113"/>
      <c r="L861" s="105" t="s">
        <v>21</v>
      </c>
      <c r="M861" s="105"/>
      <c r="N861" s="92"/>
      <c r="O861" s="92"/>
      <c r="P861" s="105"/>
      <c r="Q861" s="105"/>
      <c r="R861" s="105"/>
      <c r="S861" s="105"/>
      <c r="Y861" s="112"/>
      <c r="Z861" s="111"/>
      <c r="AC861" s="106"/>
      <c r="AD861" s="95"/>
    </row>
    <row r="862" spans="1:30" x14ac:dyDescent="0.3">
      <c r="C862" s="92"/>
      <c r="D862" s="94"/>
      <c r="E862" s="112"/>
      <c r="F862" s="94"/>
      <c r="G862" s="94"/>
      <c r="H862" s="94">
        <v>1</v>
      </c>
      <c r="I862" s="117">
        <v>3</v>
      </c>
      <c r="J862" s="116" t="s">
        <v>27</v>
      </c>
      <c r="K862" s="113"/>
      <c r="L862" s="105" t="s">
        <v>21</v>
      </c>
      <c r="M862" s="105"/>
      <c r="N862" s="92">
        <v>4</v>
      </c>
      <c r="O862" s="92"/>
      <c r="P862" s="105" t="s">
        <v>26</v>
      </c>
      <c r="Q862" s="105"/>
      <c r="R862" s="105" t="s">
        <v>25</v>
      </c>
      <c r="S862" s="105" t="s">
        <v>24</v>
      </c>
      <c r="U862" s="92" t="s">
        <v>17</v>
      </c>
      <c r="X862" s="105" t="s">
        <v>16</v>
      </c>
      <c r="Y862" s="112" t="s">
        <v>4</v>
      </c>
      <c r="Z862" s="111"/>
      <c r="AC862" s="106"/>
      <c r="AD862" s="95"/>
    </row>
    <row r="863" spans="1:30" x14ac:dyDescent="0.3">
      <c r="C863" s="92"/>
      <c r="D863" s="94"/>
      <c r="E863" s="112"/>
      <c r="F863" s="94"/>
      <c r="G863" s="94"/>
      <c r="H863" s="94">
        <v>1</v>
      </c>
      <c r="I863" s="117">
        <v>6</v>
      </c>
      <c r="J863" s="116" t="s">
        <v>23</v>
      </c>
      <c r="K863" s="113"/>
      <c r="L863" s="105" t="s">
        <v>21</v>
      </c>
      <c r="M863" s="105"/>
      <c r="N863" s="92"/>
      <c r="O863" s="92"/>
      <c r="P863" s="105"/>
      <c r="Q863" s="105"/>
      <c r="R863" s="105"/>
      <c r="S863" s="105"/>
      <c r="Y863" s="112"/>
      <c r="Z863" s="111"/>
      <c r="AC863" s="106"/>
      <c r="AD863" s="95"/>
    </row>
    <row r="864" spans="1:30" ht="13.5" thickBot="1" x14ac:dyDescent="0.35">
      <c r="C864" s="92"/>
      <c r="D864" s="94"/>
      <c r="E864" s="112"/>
      <c r="F864" s="94"/>
      <c r="G864" s="94"/>
      <c r="H864" s="94">
        <v>1</v>
      </c>
      <c r="I864" s="115"/>
      <c r="J864" s="114" t="s">
        <v>22</v>
      </c>
      <c r="K864" s="113"/>
      <c r="L864" s="105" t="s">
        <v>21</v>
      </c>
      <c r="M864" s="105"/>
      <c r="N864" s="92">
        <v>4</v>
      </c>
      <c r="O864" s="92"/>
      <c r="P864" s="26" t="s">
        <v>20</v>
      </c>
      <c r="Q864" s="26"/>
      <c r="R864" s="26" t="s">
        <v>19</v>
      </c>
      <c r="S864" s="26" t="s">
        <v>18</v>
      </c>
      <c r="U864" s="92" t="s">
        <v>17</v>
      </c>
      <c r="X864" s="105" t="s">
        <v>16</v>
      </c>
      <c r="Y864" s="112" t="s">
        <v>4</v>
      </c>
      <c r="Z864" s="111"/>
      <c r="AC864" s="106"/>
      <c r="AD864" s="95"/>
    </row>
    <row r="865" spans="1:30" ht="13.5" thickBot="1" x14ac:dyDescent="0.35"/>
    <row r="866" spans="1:30" x14ac:dyDescent="0.3">
      <c r="A866" s="109"/>
      <c r="B866" s="108"/>
      <c r="C866" s="17" t="s">
        <v>2</v>
      </c>
      <c r="D866" s="92"/>
      <c r="E866" s="92"/>
      <c r="F866" s="92"/>
      <c r="G866" s="92"/>
      <c r="H866" s="12">
        <v>1</v>
      </c>
      <c r="I866" s="23"/>
      <c r="J866" s="22"/>
      <c r="K866" s="21" t="s">
        <v>15</v>
      </c>
      <c r="L866" s="12"/>
      <c r="M866" s="12"/>
      <c r="N866" s="92">
        <v>4</v>
      </c>
      <c r="O866" s="92"/>
      <c r="P866" s="12"/>
      <c r="Q866" s="12"/>
      <c r="R866" s="12"/>
      <c r="U866" s="92" t="s">
        <v>14</v>
      </c>
      <c r="V866" s="96"/>
      <c r="W866" s="96"/>
      <c r="X866" s="92" t="s">
        <v>13</v>
      </c>
      <c r="Y866" s="94" t="s">
        <v>4</v>
      </c>
      <c r="Z866" s="92" t="s">
        <v>12</v>
      </c>
      <c r="AC866" s="106"/>
      <c r="AD866" s="95"/>
    </row>
    <row r="867" spans="1:30" x14ac:dyDescent="0.3">
      <c r="A867" s="109"/>
      <c r="B867" s="108"/>
      <c r="C867" s="17" t="s">
        <v>2</v>
      </c>
      <c r="D867" s="93"/>
      <c r="E867" s="93"/>
      <c r="F867" s="93"/>
      <c r="G867" s="93"/>
      <c r="H867" s="12">
        <f>+H866</f>
        <v>1</v>
      </c>
      <c r="I867" s="20"/>
      <c r="J867" s="19" t="s">
        <v>11</v>
      </c>
      <c r="K867" s="107" t="s">
        <v>0</v>
      </c>
      <c r="L867" s="13"/>
      <c r="M867" s="12"/>
      <c r="N867" s="92">
        <v>4</v>
      </c>
      <c r="O867" s="92"/>
      <c r="P867" s="12"/>
      <c r="Q867" s="12"/>
      <c r="R867" s="12"/>
      <c r="V867" s="96"/>
      <c r="W867" s="96"/>
      <c r="X867" s="92"/>
      <c r="Y867" s="94"/>
      <c r="Z867" s="92"/>
      <c r="AC867" s="106"/>
      <c r="AD867" s="95"/>
    </row>
    <row r="868" spans="1:30" ht="13.5" thickBot="1" x14ac:dyDescent="0.35">
      <c r="A868" s="109"/>
      <c r="B868" s="108"/>
      <c r="C868" s="17" t="s">
        <v>2</v>
      </c>
      <c r="D868" s="92"/>
      <c r="E868" s="92"/>
      <c r="F868" s="92"/>
      <c r="G868" s="92"/>
      <c r="H868" s="12">
        <f>+H867</f>
        <v>1</v>
      </c>
      <c r="I868" s="16"/>
      <c r="J868" s="15" t="s">
        <v>1</v>
      </c>
      <c r="K868" s="107" t="s">
        <v>0</v>
      </c>
      <c r="L868" s="13"/>
      <c r="M868" s="12"/>
      <c r="N868" s="92">
        <v>4</v>
      </c>
      <c r="O868" s="92"/>
      <c r="P868" s="12"/>
      <c r="Q868" s="12"/>
      <c r="R868" s="12"/>
      <c r="V868" s="96"/>
      <c r="W868" s="96"/>
      <c r="X868" s="92"/>
      <c r="Y868" s="94"/>
      <c r="Z868" s="92"/>
      <c r="AC868" s="106"/>
      <c r="AD868" s="95"/>
    </row>
    <row r="869" spans="1:30" ht="13.5" thickBot="1" x14ac:dyDescent="0.35">
      <c r="A869" s="109"/>
      <c r="B869" s="108"/>
      <c r="C869" s="96"/>
      <c r="D869" s="96"/>
      <c r="E869" s="103"/>
      <c r="F869" s="96"/>
      <c r="G869" s="96"/>
      <c r="H869" s="96"/>
      <c r="I869" s="96"/>
      <c r="J869" s="96"/>
      <c r="L869" s="96"/>
      <c r="M869" s="96"/>
      <c r="N869" s="92"/>
      <c r="O869" s="92"/>
      <c r="P869" s="96"/>
      <c r="Q869" s="96"/>
      <c r="R869" s="96"/>
      <c r="S869" s="96"/>
      <c r="T869" s="96"/>
      <c r="U869" s="96"/>
      <c r="V869" s="96"/>
      <c r="W869" s="96"/>
      <c r="X869" s="92"/>
      <c r="Y869" s="94"/>
      <c r="Z869" s="92"/>
      <c r="AC869" s="106"/>
      <c r="AD869" s="95"/>
    </row>
    <row r="870" spans="1:30" x14ac:dyDescent="0.3">
      <c r="A870" s="109"/>
      <c r="B870" s="108"/>
      <c r="C870" s="17" t="s">
        <v>2</v>
      </c>
      <c r="D870" s="92"/>
      <c r="E870" s="92"/>
      <c r="F870" s="92"/>
      <c r="G870" s="92"/>
      <c r="H870" s="12">
        <v>1</v>
      </c>
      <c r="I870" s="23"/>
      <c r="J870" s="22"/>
      <c r="K870" s="21" t="s">
        <v>7</v>
      </c>
      <c r="L870" s="12"/>
      <c r="M870" s="12"/>
      <c r="N870" s="92">
        <v>4</v>
      </c>
      <c r="O870" s="92"/>
      <c r="P870" s="12"/>
      <c r="Q870" s="12"/>
      <c r="R870" s="12"/>
      <c r="U870" s="92" t="s">
        <v>10</v>
      </c>
      <c r="V870" s="96"/>
      <c r="W870" s="96"/>
      <c r="X870" s="92" t="s">
        <v>9</v>
      </c>
      <c r="Y870" s="94" t="s">
        <v>4</v>
      </c>
      <c r="Z870" s="92" t="s">
        <v>8</v>
      </c>
      <c r="AC870" s="106"/>
      <c r="AD870" s="95"/>
    </row>
    <row r="871" spans="1:30" x14ac:dyDescent="0.3">
      <c r="A871" s="109"/>
      <c r="B871" s="108"/>
      <c r="C871" s="17" t="s">
        <v>2</v>
      </c>
      <c r="D871" s="93"/>
      <c r="E871" s="93"/>
      <c r="F871" s="93"/>
      <c r="G871" s="93"/>
      <c r="H871" s="12">
        <f>+H870</f>
        <v>1</v>
      </c>
      <c r="I871" s="20"/>
      <c r="J871" s="19"/>
      <c r="K871" s="110"/>
      <c r="L871" s="13"/>
      <c r="M871" s="12"/>
      <c r="N871" s="92">
        <v>4</v>
      </c>
      <c r="O871" s="92"/>
      <c r="P871" s="12"/>
      <c r="Q871" s="12"/>
      <c r="R871" s="12"/>
      <c r="V871" s="96"/>
      <c r="W871" s="96"/>
      <c r="X871" s="92"/>
      <c r="Y871" s="94"/>
      <c r="Z871" s="92"/>
      <c r="AC871" s="106"/>
      <c r="AD871" s="95"/>
    </row>
    <row r="872" spans="1:30" ht="13.5" thickBot="1" x14ac:dyDescent="0.35">
      <c r="A872" s="109"/>
      <c r="B872" s="108"/>
      <c r="C872" s="17" t="s">
        <v>2</v>
      </c>
      <c r="D872" s="92"/>
      <c r="E872" s="92"/>
      <c r="F872" s="92"/>
      <c r="G872" s="92"/>
      <c r="H872" s="12">
        <f>+H871</f>
        <v>1</v>
      </c>
      <c r="I872" s="16"/>
      <c r="J872" s="15" t="s">
        <v>1</v>
      </c>
      <c r="K872" s="107" t="s">
        <v>0</v>
      </c>
      <c r="L872" s="13"/>
      <c r="M872" s="12"/>
      <c r="N872" s="92">
        <v>4</v>
      </c>
      <c r="O872" s="92"/>
      <c r="P872" s="12"/>
      <c r="Q872" s="12"/>
      <c r="R872" s="12"/>
      <c r="V872" s="96"/>
      <c r="W872" s="96"/>
      <c r="X872" s="92"/>
      <c r="Y872" s="94"/>
      <c r="Z872" s="92"/>
      <c r="AC872" s="106"/>
      <c r="AD872" s="95"/>
    </row>
    <row r="873" spans="1:30" ht="13.5" thickBot="1" x14ac:dyDescent="0.35">
      <c r="A873" s="109"/>
      <c r="B873" s="108"/>
      <c r="C873" s="96"/>
      <c r="D873" s="96"/>
      <c r="E873" s="103"/>
      <c r="F873" s="96"/>
      <c r="G873" s="96"/>
      <c r="H873" s="96"/>
      <c r="I873" s="96"/>
      <c r="J873" s="96"/>
      <c r="L873" s="96"/>
      <c r="M873" s="96"/>
      <c r="N873" s="92"/>
      <c r="O873" s="92"/>
      <c r="P873" s="96"/>
      <c r="Q873" s="96"/>
      <c r="R873" s="96"/>
      <c r="S873" s="96"/>
      <c r="T873" s="96"/>
      <c r="U873" s="96"/>
      <c r="V873" s="96"/>
      <c r="W873" s="96"/>
      <c r="X873" s="92"/>
      <c r="Y873" s="94"/>
      <c r="Z873" s="92"/>
      <c r="AC873" s="106"/>
      <c r="AD873" s="95"/>
    </row>
    <row r="874" spans="1:30" x14ac:dyDescent="0.3">
      <c r="A874" s="109"/>
      <c r="B874" s="108"/>
      <c r="C874" s="17" t="s">
        <v>2</v>
      </c>
      <c r="D874" s="92"/>
      <c r="E874" s="92"/>
      <c r="F874" s="92"/>
      <c r="G874" s="92"/>
      <c r="H874" s="12">
        <v>1</v>
      </c>
      <c r="I874" s="23"/>
      <c r="J874" s="22"/>
      <c r="K874" s="21" t="s">
        <v>7</v>
      </c>
      <c r="L874" s="12"/>
      <c r="M874" s="12"/>
      <c r="N874" s="92">
        <v>4</v>
      </c>
      <c r="O874" s="92"/>
      <c r="P874" s="12"/>
      <c r="Q874" s="12"/>
      <c r="R874" s="12"/>
      <c r="U874" s="92" t="s">
        <v>6</v>
      </c>
      <c r="V874" s="96"/>
      <c r="W874" s="96"/>
      <c r="X874" s="92" t="s">
        <v>5</v>
      </c>
      <c r="Y874" s="94" t="s">
        <v>4</v>
      </c>
      <c r="Z874" s="92" t="s">
        <v>3</v>
      </c>
      <c r="AC874" s="106"/>
      <c r="AD874" s="95"/>
    </row>
    <row r="875" spans="1:30" x14ac:dyDescent="0.3">
      <c r="A875" s="109"/>
      <c r="B875" s="108"/>
      <c r="C875" s="17" t="s">
        <v>2</v>
      </c>
      <c r="D875" s="93"/>
      <c r="E875" s="93"/>
      <c r="F875" s="93"/>
      <c r="G875" s="93"/>
      <c r="H875" s="12">
        <f>+H874</f>
        <v>1</v>
      </c>
      <c r="I875" s="20"/>
      <c r="J875" s="19"/>
      <c r="K875" s="110"/>
      <c r="L875" s="13"/>
      <c r="M875" s="12"/>
      <c r="N875" s="92">
        <v>4</v>
      </c>
      <c r="O875" s="92"/>
      <c r="P875" s="12"/>
      <c r="Q875" s="12"/>
      <c r="R875" s="12"/>
      <c r="V875" s="96"/>
      <c r="W875" s="96"/>
      <c r="X875" s="92"/>
      <c r="Y875" s="94"/>
      <c r="Z875" s="92"/>
      <c r="AC875" s="106"/>
      <c r="AD875" s="95"/>
    </row>
    <row r="876" spans="1:30" ht="13.5" thickBot="1" x14ac:dyDescent="0.35">
      <c r="A876" s="109"/>
      <c r="B876" s="108"/>
      <c r="C876" s="17" t="s">
        <v>2</v>
      </c>
      <c r="D876" s="92"/>
      <c r="E876" s="92"/>
      <c r="F876" s="92"/>
      <c r="G876" s="92"/>
      <c r="H876" s="12">
        <f>+H875</f>
        <v>1</v>
      </c>
      <c r="I876" s="16"/>
      <c r="J876" s="15" t="s">
        <v>1</v>
      </c>
      <c r="K876" s="107" t="s">
        <v>0</v>
      </c>
      <c r="L876" s="13"/>
      <c r="M876" s="12"/>
      <c r="N876" s="92">
        <v>4</v>
      </c>
      <c r="O876" s="92"/>
      <c r="P876" s="12"/>
      <c r="Q876" s="12"/>
      <c r="R876" s="12"/>
      <c r="V876" s="96"/>
      <c r="W876" s="96"/>
      <c r="X876" s="92"/>
      <c r="Y876" s="94"/>
      <c r="Z876" s="92"/>
      <c r="AC876" s="106"/>
      <c r="AD876" s="95"/>
    </row>
    <row r="877" spans="1:30" ht="12.5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1"/>
      <c r="Z877" s="10"/>
    </row>
    <row r="878" spans="1:30" x14ac:dyDescent="0.3">
      <c r="A878" s="96"/>
      <c r="B878" s="96"/>
      <c r="C878" s="96"/>
      <c r="D878" s="96"/>
      <c r="E878" s="103"/>
      <c r="F878" s="96"/>
      <c r="G878" s="96"/>
      <c r="H878" s="96"/>
      <c r="I878" s="96"/>
      <c r="J878" s="96"/>
      <c r="L878" s="96"/>
      <c r="M878" s="96"/>
      <c r="P878" s="96"/>
      <c r="Q878" s="96"/>
      <c r="R878" s="96"/>
      <c r="S878" s="96"/>
      <c r="T878" s="96"/>
      <c r="U878" s="96"/>
      <c r="V878" s="96"/>
      <c r="W878" s="96"/>
    </row>
    <row r="879" spans="1:30" x14ac:dyDescent="0.3">
      <c r="A879" s="96"/>
      <c r="B879" s="96"/>
      <c r="C879" s="96"/>
      <c r="D879" s="96"/>
      <c r="E879" s="103"/>
      <c r="F879" s="96"/>
      <c r="G879" s="96"/>
      <c r="H879" s="96"/>
      <c r="I879" s="96"/>
      <c r="J879" s="96"/>
      <c r="L879" s="96"/>
      <c r="M879" s="96"/>
      <c r="P879" s="96"/>
      <c r="Q879" s="96"/>
      <c r="R879" s="96"/>
      <c r="S879" s="96"/>
      <c r="T879" s="96"/>
      <c r="U879" s="96"/>
      <c r="V879" s="96"/>
      <c r="W879" s="96"/>
    </row>
    <row r="880" spans="1:30" x14ac:dyDescent="0.3">
      <c r="A880" s="96"/>
      <c r="B880" s="96"/>
      <c r="C880" s="96"/>
      <c r="D880" s="96"/>
      <c r="E880" s="103"/>
      <c r="F880" s="96"/>
      <c r="G880" s="96"/>
      <c r="H880" s="96"/>
      <c r="I880" s="96"/>
      <c r="J880" s="96"/>
      <c r="L880" s="96"/>
      <c r="M880" s="96"/>
      <c r="P880" s="96"/>
      <c r="Q880" s="96"/>
      <c r="R880" s="96"/>
      <c r="S880" s="96"/>
      <c r="T880" s="96"/>
      <c r="U880" s="96"/>
      <c r="V880" s="96"/>
      <c r="W880" s="96"/>
      <c r="AA880" s="96"/>
      <c r="AB880" s="96"/>
    </row>
    <row r="881" spans="1:28" x14ac:dyDescent="0.3">
      <c r="A881" s="96"/>
      <c r="B881" s="96"/>
      <c r="C881" s="96"/>
      <c r="D881" s="96"/>
      <c r="E881" s="103"/>
      <c r="F881" s="96"/>
      <c r="G881" s="96"/>
      <c r="H881" s="96"/>
      <c r="I881" s="96"/>
      <c r="J881" s="96"/>
      <c r="L881" s="96"/>
      <c r="M881" s="96"/>
      <c r="P881" s="96"/>
      <c r="Q881" s="96"/>
      <c r="R881" s="96"/>
      <c r="S881" s="96"/>
      <c r="T881" s="96"/>
      <c r="U881" s="96"/>
      <c r="V881" s="96"/>
      <c r="W881" s="96"/>
      <c r="AA881" s="104"/>
      <c r="AB881" s="104"/>
    </row>
    <row r="882" spans="1:28" x14ac:dyDescent="0.3">
      <c r="A882" s="96"/>
      <c r="B882" s="96"/>
      <c r="C882" s="96"/>
      <c r="D882" s="96"/>
      <c r="E882" s="103"/>
      <c r="F882" s="96"/>
      <c r="G882" s="96"/>
      <c r="H882" s="96"/>
      <c r="I882" s="96"/>
      <c r="J882" s="96"/>
      <c r="L882" s="96"/>
      <c r="M882" s="96"/>
      <c r="P882" s="96"/>
      <c r="Q882" s="96"/>
      <c r="R882" s="96"/>
      <c r="S882" s="96"/>
      <c r="T882" s="96"/>
      <c r="U882" s="96"/>
      <c r="V882" s="96"/>
      <c r="W882" s="96"/>
      <c r="AA882" s="96"/>
      <c r="AB882" s="96"/>
    </row>
    <row r="883" spans="1:28" x14ac:dyDescent="0.3">
      <c r="A883" s="96"/>
      <c r="B883" s="96"/>
      <c r="C883" s="96"/>
      <c r="D883" s="96"/>
      <c r="E883" s="103"/>
      <c r="F883" s="96"/>
      <c r="G883" s="96"/>
      <c r="H883" s="96"/>
      <c r="I883" s="96"/>
      <c r="J883" s="96"/>
      <c r="L883" s="96"/>
      <c r="M883" s="96"/>
      <c r="P883" s="96"/>
      <c r="Q883" s="96"/>
      <c r="R883" s="96"/>
      <c r="S883" s="96"/>
      <c r="T883" s="96"/>
      <c r="U883" s="96"/>
      <c r="V883" s="96"/>
      <c r="W883" s="96"/>
      <c r="AA883" s="96"/>
      <c r="AB883" s="96"/>
    </row>
    <row r="884" spans="1:28" x14ac:dyDescent="0.3">
      <c r="A884" s="96"/>
      <c r="B884" s="96"/>
      <c r="C884" s="96"/>
      <c r="D884" s="96"/>
      <c r="E884" s="103"/>
      <c r="F884" s="96"/>
      <c r="G884" s="96"/>
      <c r="H884" s="96"/>
      <c r="I884" s="96"/>
      <c r="J884" s="96"/>
      <c r="L884" s="96"/>
      <c r="M884" s="96"/>
      <c r="P884" s="96"/>
      <c r="Q884" s="96"/>
      <c r="R884" s="96"/>
      <c r="S884" s="96"/>
      <c r="T884" s="96"/>
      <c r="U884" s="96"/>
      <c r="V884" s="96"/>
      <c r="W884" s="96"/>
    </row>
    <row r="885" spans="1:28" x14ac:dyDescent="0.3">
      <c r="A885" s="96"/>
      <c r="B885" s="96"/>
      <c r="C885" s="96"/>
      <c r="D885" s="96"/>
      <c r="E885" s="103"/>
      <c r="F885" s="96"/>
      <c r="G885" s="96"/>
      <c r="H885" s="96"/>
      <c r="I885" s="96"/>
      <c r="J885" s="96"/>
      <c r="L885" s="96"/>
      <c r="M885" s="96"/>
      <c r="P885" s="96"/>
      <c r="Q885" s="96"/>
      <c r="R885" s="96"/>
      <c r="S885" s="96"/>
      <c r="T885" s="96"/>
      <c r="U885" s="96"/>
      <c r="V885" s="96"/>
      <c r="W885" s="96"/>
    </row>
    <row r="886" spans="1:28" x14ac:dyDescent="0.3">
      <c r="A886" s="96"/>
      <c r="B886" s="96"/>
      <c r="C886" s="96"/>
      <c r="D886" s="96"/>
      <c r="E886" s="103"/>
      <c r="F886" s="96"/>
      <c r="G886" s="96"/>
      <c r="H886" s="96"/>
      <c r="I886" s="96"/>
      <c r="J886" s="96"/>
      <c r="L886" s="96"/>
      <c r="M886" s="96"/>
      <c r="P886" s="96"/>
      <c r="Q886" s="96"/>
      <c r="R886" s="96"/>
      <c r="S886" s="96"/>
      <c r="T886" s="96"/>
      <c r="U886" s="96"/>
      <c r="V886" s="96"/>
      <c r="W886" s="96"/>
    </row>
    <row r="887" spans="1:28" x14ac:dyDescent="0.3">
      <c r="A887" s="96"/>
      <c r="B887" s="96"/>
      <c r="C887" s="96"/>
      <c r="D887" s="96"/>
      <c r="E887" s="103"/>
      <c r="F887" s="96"/>
      <c r="G887" s="96"/>
      <c r="H887" s="96"/>
      <c r="I887" s="96"/>
      <c r="J887" s="96"/>
      <c r="L887" s="96"/>
      <c r="M887" s="96"/>
      <c r="P887" s="96"/>
      <c r="Q887" s="96"/>
      <c r="R887" s="96"/>
      <c r="S887" s="96"/>
      <c r="T887" s="96"/>
      <c r="U887" s="96"/>
      <c r="V887" s="96"/>
      <c r="W887" s="96"/>
    </row>
    <row r="888" spans="1:28" x14ac:dyDescent="0.3">
      <c r="A888" s="96"/>
      <c r="B888" s="96"/>
      <c r="C888" s="96"/>
      <c r="D888" s="96"/>
      <c r="E888" s="103"/>
      <c r="F888" s="96"/>
      <c r="G888" s="96"/>
      <c r="H888" s="96"/>
      <c r="I888" s="96"/>
      <c r="J888" s="96"/>
      <c r="L888" s="96"/>
      <c r="M888" s="96"/>
      <c r="P888" s="96"/>
      <c r="Q888" s="96"/>
      <c r="R888" s="96"/>
      <c r="S888" s="96"/>
      <c r="T888" s="96"/>
      <c r="U888" s="96"/>
      <c r="V888" s="96"/>
      <c r="W888" s="96"/>
    </row>
    <row r="889" spans="1:28" x14ac:dyDescent="0.3">
      <c r="A889" s="96"/>
      <c r="B889" s="96"/>
      <c r="C889" s="96"/>
      <c r="D889" s="96"/>
      <c r="E889" s="103"/>
      <c r="F889" s="96"/>
      <c r="G889" s="96"/>
      <c r="H889" s="96"/>
      <c r="I889" s="96"/>
      <c r="J889" s="96"/>
      <c r="L889" s="96"/>
      <c r="M889" s="96"/>
      <c r="P889" s="96"/>
      <c r="Q889" s="96"/>
      <c r="R889" s="96"/>
      <c r="S889" s="96"/>
      <c r="T889" s="96"/>
      <c r="U889" s="96"/>
      <c r="V889" s="96"/>
      <c r="W889" s="96"/>
    </row>
    <row r="890" spans="1:28" x14ac:dyDescent="0.3">
      <c r="A890" s="96"/>
      <c r="B890" s="96"/>
      <c r="C890" s="96"/>
      <c r="D890" s="96"/>
      <c r="E890" s="103"/>
      <c r="F890" s="96"/>
      <c r="G890" s="96"/>
      <c r="H890" s="96"/>
      <c r="I890" s="96"/>
      <c r="J890" s="96"/>
      <c r="L890" s="96"/>
      <c r="M890" s="96"/>
      <c r="P890" s="96"/>
      <c r="Q890" s="96"/>
      <c r="R890" s="96"/>
      <c r="S890" s="96"/>
      <c r="T890" s="96"/>
      <c r="U890" s="96"/>
      <c r="V890" s="96"/>
      <c r="W890" s="96"/>
    </row>
    <row r="891" spans="1:28" x14ac:dyDescent="0.3">
      <c r="A891" s="96"/>
      <c r="B891" s="96"/>
      <c r="C891" s="96"/>
      <c r="D891" s="96"/>
      <c r="E891" s="103"/>
      <c r="F891" s="96"/>
      <c r="G891" s="96"/>
      <c r="H891" s="96"/>
      <c r="I891" s="96"/>
      <c r="J891" s="96"/>
      <c r="L891" s="96"/>
      <c r="M891" s="96"/>
      <c r="P891" s="96"/>
      <c r="Q891" s="96"/>
      <c r="R891" s="96"/>
      <c r="S891" s="96"/>
      <c r="T891" s="96"/>
      <c r="U891" s="96"/>
      <c r="V891" s="96"/>
      <c r="W891" s="96"/>
    </row>
    <row r="892" spans="1:28" x14ac:dyDescent="0.3">
      <c r="A892" s="96"/>
      <c r="B892" s="96"/>
      <c r="C892" s="96"/>
      <c r="D892" s="96"/>
      <c r="E892" s="103"/>
      <c r="F892" s="96"/>
      <c r="G892" s="96"/>
      <c r="H892" s="96"/>
      <c r="I892" s="96"/>
      <c r="J892" s="96"/>
      <c r="L892" s="96"/>
      <c r="M892" s="96"/>
      <c r="P892" s="96"/>
      <c r="Q892" s="96"/>
      <c r="R892" s="96"/>
      <c r="S892" s="96"/>
      <c r="T892" s="96"/>
      <c r="U892" s="96"/>
      <c r="V892" s="96"/>
      <c r="W892" s="96"/>
    </row>
    <row r="893" spans="1:28" x14ac:dyDescent="0.3">
      <c r="A893" s="96"/>
      <c r="B893" s="96"/>
      <c r="C893" s="96"/>
      <c r="D893" s="96"/>
      <c r="E893" s="103"/>
      <c r="F893" s="96"/>
      <c r="G893" s="96"/>
      <c r="H893" s="96"/>
      <c r="I893" s="96"/>
      <c r="J893" s="96"/>
      <c r="L893" s="96"/>
      <c r="M893" s="96"/>
      <c r="P893" s="96"/>
      <c r="Q893" s="96"/>
      <c r="R893" s="96"/>
      <c r="S893" s="96"/>
      <c r="T893" s="96"/>
      <c r="U893" s="96"/>
      <c r="V893" s="96"/>
      <c r="W893" s="96"/>
    </row>
    <row r="894" spans="1:28" x14ac:dyDescent="0.3">
      <c r="A894" s="96"/>
      <c r="B894" s="96"/>
      <c r="C894" s="96"/>
      <c r="D894" s="96"/>
      <c r="E894" s="103"/>
      <c r="F894" s="96"/>
      <c r="G894" s="96"/>
      <c r="H894" s="96"/>
      <c r="I894" s="96"/>
      <c r="J894" s="96"/>
      <c r="L894" s="96"/>
      <c r="M894" s="96"/>
      <c r="P894" s="96"/>
      <c r="Q894" s="96"/>
      <c r="R894" s="96"/>
      <c r="S894" s="96"/>
      <c r="T894" s="96"/>
      <c r="U894" s="96"/>
      <c r="V894" s="96"/>
      <c r="W894" s="96"/>
    </row>
    <row r="895" spans="1:28" x14ac:dyDescent="0.3">
      <c r="A895" s="96"/>
      <c r="B895" s="96"/>
      <c r="C895" s="96"/>
      <c r="D895" s="96"/>
      <c r="E895" s="103"/>
      <c r="F895" s="96"/>
      <c r="G895" s="96"/>
      <c r="H895" s="96"/>
      <c r="I895" s="96"/>
      <c r="J895" s="96"/>
      <c r="L895" s="96"/>
      <c r="M895" s="96"/>
      <c r="P895" s="96"/>
      <c r="Q895" s="96"/>
      <c r="R895" s="96"/>
      <c r="S895" s="96"/>
      <c r="T895" s="96"/>
      <c r="U895" s="96"/>
      <c r="V895" s="96"/>
      <c r="W895" s="96"/>
    </row>
    <row r="896" spans="1:28" x14ac:dyDescent="0.3">
      <c r="A896" s="96"/>
      <c r="B896" s="96"/>
      <c r="C896" s="96"/>
      <c r="D896" s="96"/>
      <c r="E896" s="103"/>
      <c r="F896" s="96"/>
      <c r="G896" s="96"/>
      <c r="H896" s="96"/>
      <c r="I896" s="96"/>
      <c r="J896" s="96"/>
      <c r="L896" s="96"/>
      <c r="M896" s="96"/>
      <c r="P896" s="96"/>
      <c r="Q896" s="96"/>
      <c r="R896" s="96"/>
      <c r="S896" s="96"/>
      <c r="T896" s="96"/>
      <c r="U896" s="96"/>
      <c r="V896" s="96"/>
      <c r="W896" s="96"/>
    </row>
    <row r="897" spans="1:23" x14ac:dyDescent="0.3">
      <c r="A897" s="96"/>
      <c r="B897" s="96"/>
      <c r="C897" s="96"/>
      <c r="D897" s="96"/>
      <c r="E897" s="103"/>
      <c r="F897" s="96"/>
      <c r="G897" s="96"/>
      <c r="H897" s="96"/>
      <c r="I897" s="96"/>
      <c r="J897" s="96"/>
      <c r="L897" s="96"/>
      <c r="M897" s="96"/>
      <c r="P897" s="96"/>
      <c r="Q897" s="96"/>
      <c r="R897" s="96"/>
      <c r="S897" s="96"/>
      <c r="T897" s="96"/>
      <c r="U897" s="96"/>
      <c r="V897" s="96"/>
      <c r="W897" s="96"/>
    </row>
    <row r="898" spans="1:23" x14ac:dyDescent="0.3">
      <c r="A898" s="96"/>
      <c r="B898" s="96"/>
      <c r="C898" s="96"/>
      <c r="D898" s="96"/>
      <c r="E898" s="103"/>
      <c r="F898" s="96"/>
      <c r="G898" s="96"/>
      <c r="H898" s="96"/>
      <c r="I898" s="96"/>
      <c r="J898" s="96"/>
      <c r="L898" s="96"/>
      <c r="M898" s="96"/>
      <c r="P898" s="96"/>
      <c r="Q898" s="96"/>
      <c r="R898" s="96"/>
      <c r="S898" s="96"/>
      <c r="T898" s="96"/>
      <c r="U898" s="96"/>
      <c r="V898" s="96"/>
      <c r="W898" s="96"/>
    </row>
    <row r="899" spans="1:23" x14ac:dyDescent="0.3">
      <c r="A899" s="96"/>
      <c r="B899" s="96"/>
      <c r="C899" s="96"/>
      <c r="D899" s="96"/>
      <c r="E899" s="103"/>
      <c r="F899" s="96"/>
      <c r="G899" s="96"/>
      <c r="H899" s="96"/>
      <c r="I899" s="96"/>
      <c r="J899" s="96"/>
      <c r="L899" s="96"/>
      <c r="M899" s="96"/>
      <c r="P899" s="96"/>
      <c r="Q899" s="96"/>
      <c r="R899" s="96"/>
      <c r="S899" s="96"/>
      <c r="T899" s="96"/>
      <c r="U899" s="96"/>
      <c r="V899" s="96"/>
      <c r="W899" s="96"/>
    </row>
    <row r="900" spans="1:23" x14ac:dyDescent="0.3">
      <c r="A900" s="96"/>
      <c r="B900" s="96"/>
      <c r="C900" s="96"/>
      <c r="D900" s="96"/>
      <c r="E900" s="103"/>
      <c r="F900" s="96"/>
      <c r="G900" s="96"/>
      <c r="H900" s="96"/>
      <c r="I900" s="96"/>
      <c r="J900" s="96"/>
      <c r="L900" s="96"/>
      <c r="M900" s="96"/>
      <c r="P900" s="96"/>
      <c r="Q900" s="96"/>
      <c r="R900" s="96"/>
      <c r="S900" s="96"/>
      <c r="T900" s="96"/>
      <c r="U900" s="96"/>
      <c r="V900" s="96"/>
      <c r="W900" s="96"/>
    </row>
    <row r="901" spans="1:23" x14ac:dyDescent="0.3">
      <c r="A901" s="96"/>
      <c r="B901" s="96"/>
      <c r="C901" s="96"/>
      <c r="D901" s="96"/>
      <c r="E901" s="103"/>
      <c r="F901" s="96"/>
      <c r="G901" s="96"/>
      <c r="H901" s="96"/>
      <c r="I901" s="96"/>
      <c r="J901" s="96"/>
      <c r="L901" s="96"/>
      <c r="M901" s="96"/>
      <c r="P901" s="96"/>
      <c r="Q901" s="96"/>
      <c r="R901" s="96"/>
      <c r="S901" s="96"/>
      <c r="T901" s="96"/>
      <c r="U901" s="96"/>
      <c r="V901" s="96"/>
      <c r="W901" s="96"/>
    </row>
    <row r="902" spans="1:23" x14ac:dyDescent="0.3">
      <c r="A902" s="96"/>
      <c r="B902" s="96"/>
      <c r="C902" s="96"/>
      <c r="D902" s="96"/>
      <c r="E902" s="103"/>
      <c r="F902" s="96"/>
      <c r="G902" s="96"/>
      <c r="H902" s="96"/>
      <c r="I902" s="96"/>
      <c r="J902" s="96"/>
      <c r="L902" s="96"/>
      <c r="M902" s="96"/>
      <c r="P902" s="96"/>
      <c r="Q902" s="96"/>
      <c r="R902" s="96"/>
      <c r="S902" s="96"/>
      <c r="T902" s="96"/>
      <c r="U902" s="96"/>
      <c r="V902" s="96"/>
      <c r="W902" s="96"/>
    </row>
    <row r="903" spans="1:23" x14ac:dyDescent="0.3">
      <c r="A903" s="96"/>
      <c r="B903" s="96"/>
      <c r="C903" s="96"/>
      <c r="D903" s="96"/>
      <c r="E903" s="103"/>
      <c r="F903" s="96"/>
      <c r="G903" s="96"/>
      <c r="H903" s="96"/>
      <c r="I903" s="96"/>
      <c r="J903" s="96"/>
      <c r="L903" s="96"/>
      <c r="M903" s="96"/>
      <c r="P903" s="96"/>
      <c r="Q903" s="96"/>
      <c r="R903" s="96"/>
      <c r="S903" s="96"/>
      <c r="T903" s="96"/>
      <c r="U903" s="96"/>
      <c r="V903" s="96"/>
      <c r="W903" s="96"/>
    </row>
    <row r="904" spans="1:23" x14ac:dyDescent="0.3">
      <c r="A904" s="96"/>
      <c r="B904" s="96"/>
      <c r="C904" s="96"/>
      <c r="D904" s="96"/>
      <c r="E904" s="103"/>
      <c r="F904" s="96"/>
      <c r="G904" s="96"/>
      <c r="H904" s="96"/>
      <c r="I904" s="96"/>
      <c r="J904" s="96"/>
      <c r="L904" s="96"/>
      <c r="M904" s="96"/>
      <c r="P904" s="96"/>
      <c r="Q904" s="96"/>
      <c r="R904" s="96"/>
      <c r="S904" s="96"/>
      <c r="T904" s="96"/>
      <c r="U904" s="96"/>
      <c r="V904" s="96"/>
      <c r="W904" s="96"/>
    </row>
    <row r="905" spans="1:23" x14ac:dyDescent="0.3">
      <c r="A905" s="96"/>
      <c r="B905" s="96"/>
      <c r="C905" s="96"/>
      <c r="D905" s="96"/>
      <c r="E905" s="103"/>
      <c r="F905" s="96"/>
      <c r="G905" s="96"/>
      <c r="H905" s="96"/>
      <c r="I905" s="96"/>
      <c r="J905" s="96"/>
      <c r="L905" s="96"/>
      <c r="M905" s="96"/>
      <c r="P905" s="96"/>
      <c r="Q905" s="96"/>
      <c r="R905" s="96"/>
      <c r="S905" s="96"/>
      <c r="T905" s="96"/>
      <c r="U905" s="96"/>
      <c r="V905" s="96"/>
      <c r="W905" s="96"/>
    </row>
    <row r="906" spans="1:23" x14ac:dyDescent="0.3">
      <c r="A906" s="96"/>
      <c r="B906" s="96"/>
      <c r="C906" s="96"/>
      <c r="D906" s="96"/>
      <c r="E906" s="103"/>
      <c r="F906" s="96"/>
      <c r="G906" s="96"/>
      <c r="H906" s="96"/>
      <c r="I906" s="96"/>
      <c r="J906" s="96"/>
      <c r="L906" s="96"/>
      <c r="M906" s="96"/>
      <c r="P906" s="96"/>
      <c r="Q906" s="96"/>
      <c r="R906" s="96"/>
      <c r="S906" s="96"/>
      <c r="T906" s="96"/>
      <c r="U906" s="96"/>
      <c r="V906" s="96"/>
      <c r="W906" s="96"/>
    </row>
    <row r="907" spans="1:23" x14ac:dyDescent="0.3">
      <c r="A907" s="96"/>
      <c r="B907" s="96"/>
      <c r="C907" s="96"/>
      <c r="D907" s="96"/>
      <c r="E907" s="103"/>
      <c r="F907" s="96"/>
      <c r="G907" s="96"/>
      <c r="H907" s="96"/>
      <c r="I907" s="96"/>
      <c r="J907" s="96"/>
      <c r="L907" s="96"/>
      <c r="M907" s="96"/>
      <c r="P907" s="96"/>
      <c r="Q907" s="96"/>
      <c r="R907" s="96"/>
      <c r="S907" s="96"/>
      <c r="T907" s="96"/>
      <c r="U907" s="96"/>
      <c r="V907" s="96"/>
      <c r="W907" s="96"/>
    </row>
    <row r="908" spans="1:23" x14ac:dyDescent="0.3">
      <c r="A908" s="96"/>
      <c r="B908" s="96"/>
      <c r="C908" s="96"/>
      <c r="D908" s="96"/>
      <c r="E908" s="103"/>
      <c r="F908" s="96"/>
      <c r="G908" s="96"/>
      <c r="H908" s="96"/>
      <c r="I908" s="96"/>
      <c r="J908" s="96"/>
      <c r="L908" s="96"/>
      <c r="M908" s="96"/>
      <c r="P908" s="96"/>
      <c r="Q908" s="96"/>
      <c r="R908" s="96"/>
      <c r="S908" s="96"/>
      <c r="T908" s="96"/>
      <c r="U908" s="96"/>
      <c r="V908" s="96"/>
      <c r="W908" s="96"/>
    </row>
    <row r="909" spans="1:23" x14ac:dyDescent="0.3">
      <c r="A909" s="96"/>
      <c r="B909" s="96"/>
      <c r="C909" s="96"/>
      <c r="D909" s="96"/>
      <c r="E909" s="103"/>
      <c r="F909" s="96"/>
      <c r="G909" s="96"/>
      <c r="H909" s="96"/>
      <c r="I909" s="96"/>
      <c r="J909" s="96"/>
      <c r="L909" s="96"/>
      <c r="M909" s="96"/>
      <c r="P909" s="96"/>
      <c r="Q909" s="96"/>
      <c r="R909" s="96"/>
      <c r="S909" s="96"/>
      <c r="T909" s="96"/>
      <c r="U909" s="96"/>
      <c r="V909" s="96"/>
      <c r="W909" s="96"/>
    </row>
    <row r="910" spans="1:23" x14ac:dyDescent="0.3">
      <c r="A910" s="96"/>
      <c r="B910" s="96"/>
      <c r="C910" s="96"/>
      <c r="D910" s="96"/>
      <c r="E910" s="103"/>
      <c r="F910" s="96"/>
      <c r="G910" s="96"/>
      <c r="H910" s="96"/>
      <c r="I910" s="96"/>
      <c r="J910" s="96"/>
      <c r="L910" s="96"/>
      <c r="M910" s="96"/>
      <c r="P910" s="96"/>
      <c r="Q910" s="96"/>
      <c r="R910" s="96"/>
      <c r="S910" s="96"/>
      <c r="T910" s="96"/>
      <c r="U910" s="96"/>
      <c r="V910" s="96"/>
      <c r="W910" s="96"/>
    </row>
    <row r="911" spans="1:23" x14ac:dyDescent="0.3">
      <c r="A911" s="96"/>
      <c r="B911" s="96"/>
      <c r="C911" s="96"/>
      <c r="D911" s="96"/>
      <c r="E911" s="103"/>
      <c r="F911" s="96"/>
      <c r="G911" s="96"/>
      <c r="H911" s="96"/>
      <c r="I911" s="96"/>
      <c r="J911" s="96"/>
      <c r="L911" s="96"/>
      <c r="M911" s="96"/>
      <c r="P911" s="96"/>
      <c r="Q911" s="96"/>
      <c r="R911" s="96"/>
      <c r="S911" s="96"/>
      <c r="T911" s="96"/>
      <c r="U911" s="96"/>
      <c r="V911" s="96"/>
      <c r="W911" s="96"/>
    </row>
    <row r="912" spans="1:23" x14ac:dyDescent="0.3">
      <c r="A912" s="96"/>
      <c r="B912" s="96"/>
      <c r="C912" s="96"/>
      <c r="D912" s="96"/>
      <c r="E912" s="103"/>
      <c r="F912" s="96"/>
      <c r="G912" s="96"/>
      <c r="H912" s="96"/>
      <c r="I912" s="96"/>
      <c r="J912" s="96"/>
      <c r="L912" s="96"/>
      <c r="M912" s="96"/>
      <c r="P912" s="96"/>
      <c r="Q912" s="96"/>
      <c r="R912" s="96"/>
      <c r="S912" s="96"/>
      <c r="T912" s="96"/>
      <c r="U912" s="96"/>
      <c r="V912" s="96"/>
      <c r="W912" s="96"/>
    </row>
    <row r="913" spans="1:23" x14ac:dyDescent="0.3">
      <c r="A913" s="96"/>
      <c r="B913" s="96"/>
      <c r="C913" s="96"/>
      <c r="D913" s="96"/>
      <c r="E913" s="103"/>
      <c r="F913" s="96"/>
      <c r="G913" s="96"/>
      <c r="H913" s="96"/>
      <c r="I913" s="96"/>
      <c r="J913" s="96"/>
      <c r="L913" s="96"/>
      <c r="M913" s="96"/>
      <c r="P913" s="96"/>
      <c r="Q913" s="96"/>
      <c r="R913" s="96"/>
      <c r="S913" s="96"/>
      <c r="T913" s="96"/>
      <c r="U913" s="96"/>
      <c r="V913" s="96"/>
      <c r="W913" s="96"/>
    </row>
    <row r="914" spans="1:23" x14ac:dyDescent="0.3">
      <c r="A914" s="96"/>
      <c r="B914" s="96"/>
      <c r="C914" s="96"/>
      <c r="D914" s="96"/>
      <c r="E914" s="103"/>
      <c r="F914" s="96"/>
      <c r="G914" s="96"/>
      <c r="H914" s="96"/>
      <c r="I914" s="96"/>
      <c r="J914" s="96"/>
      <c r="L914" s="96"/>
      <c r="M914" s="96"/>
      <c r="P914" s="96"/>
      <c r="Q914" s="96"/>
      <c r="R914" s="96"/>
      <c r="S914" s="96"/>
      <c r="T914" s="96"/>
      <c r="U914" s="96"/>
      <c r="V914" s="96"/>
      <c r="W914" s="96"/>
    </row>
    <row r="915" spans="1:23" x14ac:dyDescent="0.3">
      <c r="A915" s="96"/>
      <c r="B915" s="96"/>
      <c r="C915" s="96"/>
      <c r="D915" s="96"/>
      <c r="E915" s="103"/>
      <c r="F915" s="96"/>
      <c r="G915" s="96"/>
      <c r="H915" s="96"/>
      <c r="I915" s="96"/>
      <c r="J915" s="96"/>
      <c r="L915" s="96"/>
      <c r="M915" s="96"/>
      <c r="P915" s="96"/>
      <c r="Q915" s="96"/>
      <c r="R915" s="96"/>
      <c r="S915" s="96"/>
      <c r="T915" s="96"/>
      <c r="U915" s="96"/>
      <c r="V915" s="96"/>
      <c r="W915" s="96"/>
    </row>
    <row r="916" spans="1:23" x14ac:dyDescent="0.3">
      <c r="A916" s="96"/>
      <c r="B916" s="96"/>
      <c r="C916" s="96"/>
      <c r="D916" s="96"/>
      <c r="E916" s="103"/>
      <c r="F916" s="96"/>
      <c r="G916" s="96"/>
      <c r="H916" s="96"/>
      <c r="I916" s="96"/>
      <c r="J916" s="96"/>
      <c r="L916" s="96"/>
      <c r="M916" s="96"/>
      <c r="P916" s="96"/>
      <c r="Q916" s="96"/>
      <c r="R916" s="96"/>
      <c r="S916" s="96"/>
      <c r="T916" s="96"/>
      <c r="U916" s="96"/>
      <c r="V916" s="96"/>
      <c r="W916" s="96"/>
    </row>
    <row r="917" spans="1:23" x14ac:dyDescent="0.3">
      <c r="A917" s="96"/>
      <c r="B917" s="96"/>
      <c r="C917" s="96"/>
      <c r="D917" s="96"/>
      <c r="E917" s="103"/>
      <c r="F917" s="96"/>
      <c r="G917" s="96"/>
      <c r="H917" s="96"/>
      <c r="I917" s="96"/>
      <c r="J917" s="96"/>
      <c r="L917" s="96"/>
      <c r="M917" s="96"/>
      <c r="P917" s="96"/>
      <c r="Q917" s="96"/>
      <c r="R917" s="96"/>
      <c r="S917" s="96"/>
      <c r="T917" s="96"/>
      <c r="U917" s="96"/>
      <c r="V917" s="96"/>
      <c r="W917" s="96"/>
    </row>
    <row r="918" spans="1:23" x14ac:dyDescent="0.3">
      <c r="A918" s="96"/>
      <c r="B918" s="96"/>
      <c r="C918" s="96"/>
      <c r="D918" s="96"/>
      <c r="E918" s="103"/>
      <c r="F918" s="96"/>
      <c r="G918" s="96"/>
      <c r="H918" s="96"/>
      <c r="I918" s="96"/>
      <c r="J918" s="96"/>
      <c r="L918" s="96"/>
      <c r="M918" s="96"/>
      <c r="P918" s="96"/>
      <c r="Q918" s="96"/>
      <c r="R918" s="96"/>
      <c r="S918" s="96"/>
      <c r="T918" s="96"/>
      <c r="U918" s="96"/>
      <c r="V918" s="96"/>
      <c r="W918" s="96"/>
    </row>
    <row r="919" spans="1:23" x14ac:dyDescent="0.3">
      <c r="A919" s="96"/>
      <c r="B919" s="96"/>
      <c r="C919" s="96"/>
      <c r="D919" s="96"/>
      <c r="E919" s="103"/>
      <c r="F919" s="96"/>
      <c r="G919" s="96"/>
      <c r="H919" s="96"/>
      <c r="I919" s="96"/>
      <c r="J919" s="96"/>
      <c r="L919" s="96"/>
      <c r="M919" s="96"/>
      <c r="P919" s="96"/>
      <c r="Q919" s="96"/>
      <c r="R919" s="96"/>
      <c r="S919" s="96"/>
      <c r="T919" s="96"/>
      <c r="U919" s="96"/>
      <c r="V919" s="96"/>
      <c r="W919" s="96"/>
    </row>
    <row r="920" spans="1:23" x14ac:dyDescent="0.3">
      <c r="A920" s="96"/>
      <c r="B920" s="96"/>
      <c r="C920" s="96"/>
      <c r="D920" s="96"/>
      <c r="E920" s="103"/>
      <c r="F920" s="96"/>
      <c r="G920" s="96"/>
      <c r="H920" s="96"/>
      <c r="I920" s="96"/>
      <c r="J920" s="96"/>
      <c r="L920" s="96"/>
      <c r="M920" s="96"/>
      <c r="P920" s="96"/>
      <c r="Q920" s="96"/>
      <c r="R920" s="96"/>
      <c r="S920" s="96"/>
      <c r="T920" s="96"/>
      <c r="U920" s="96"/>
      <c r="V920" s="96"/>
      <c r="W920" s="96"/>
    </row>
    <row r="921" spans="1:23" x14ac:dyDescent="0.3">
      <c r="A921" s="96"/>
      <c r="B921" s="96"/>
      <c r="C921" s="96"/>
      <c r="D921" s="96"/>
      <c r="E921" s="103"/>
      <c r="F921" s="96"/>
      <c r="G921" s="96"/>
      <c r="H921" s="96"/>
      <c r="I921" s="96"/>
      <c r="J921" s="96"/>
      <c r="L921" s="96"/>
      <c r="M921" s="96"/>
      <c r="P921" s="96"/>
      <c r="Q921" s="96"/>
      <c r="R921" s="96"/>
      <c r="S921" s="96"/>
      <c r="T921" s="96"/>
      <c r="U921" s="96"/>
      <c r="V921" s="96"/>
      <c r="W921" s="96"/>
    </row>
    <row r="922" spans="1:23" x14ac:dyDescent="0.3">
      <c r="A922" s="96"/>
      <c r="B922" s="96"/>
      <c r="C922" s="96"/>
      <c r="D922" s="96"/>
      <c r="E922" s="103"/>
      <c r="F922" s="96"/>
      <c r="G922" s="96"/>
      <c r="H922" s="96"/>
      <c r="I922" s="96"/>
      <c r="J922" s="96"/>
      <c r="L922" s="96"/>
      <c r="M922" s="96"/>
      <c r="P922" s="96"/>
      <c r="Q922" s="96"/>
      <c r="R922" s="96"/>
      <c r="S922" s="96"/>
      <c r="T922" s="96"/>
      <c r="U922" s="96"/>
      <c r="V922" s="96"/>
      <c r="W922" s="96"/>
    </row>
    <row r="923" spans="1:23" x14ac:dyDescent="0.3">
      <c r="A923" s="96"/>
      <c r="B923" s="96"/>
      <c r="C923" s="96"/>
      <c r="D923" s="96"/>
      <c r="E923" s="103"/>
      <c r="F923" s="96"/>
      <c r="G923" s="96"/>
      <c r="H923" s="96"/>
      <c r="I923" s="96"/>
      <c r="J923" s="96"/>
      <c r="L923" s="96"/>
      <c r="M923" s="96"/>
      <c r="P923" s="96"/>
      <c r="Q923" s="96"/>
      <c r="R923" s="96"/>
      <c r="S923" s="96"/>
      <c r="T923" s="96"/>
      <c r="U923" s="96"/>
      <c r="V923" s="96"/>
      <c r="W923" s="96"/>
    </row>
    <row r="924" spans="1:23" x14ac:dyDescent="0.3">
      <c r="A924" s="96"/>
      <c r="B924" s="96"/>
      <c r="C924" s="96"/>
      <c r="D924" s="96"/>
      <c r="E924" s="103"/>
      <c r="F924" s="96"/>
      <c r="G924" s="96"/>
      <c r="H924" s="96"/>
      <c r="I924" s="96"/>
      <c r="J924" s="96"/>
      <c r="L924" s="96"/>
      <c r="M924" s="96"/>
      <c r="P924" s="96"/>
      <c r="Q924" s="96"/>
      <c r="R924" s="96"/>
      <c r="S924" s="96"/>
      <c r="T924" s="96"/>
      <c r="U924" s="96"/>
      <c r="V924" s="96"/>
      <c r="W924" s="96"/>
    </row>
    <row r="925" spans="1:23" x14ac:dyDescent="0.3">
      <c r="A925" s="96"/>
      <c r="B925" s="96"/>
      <c r="C925" s="96"/>
      <c r="D925" s="96"/>
      <c r="E925" s="103"/>
      <c r="F925" s="96"/>
      <c r="G925" s="96"/>
      <c r="H925" s="96"/>
      <c r="I925" s="96"/>
      <c r="J925" s="96"/>
      <c r="L925" s="96"/>
      <c r="M925" s="96"/>
      <c r="P925" s="96"/>
      <c r="Q925" s="96"/>
      <c r="R925" s="96"/>
      <c r="S925" s="96"/>
      <c r="T925" s="96"/>
      <c r="U925" s="96"/>
      <c r="V925" s="96"/>
      <c r="W925" s="96"/>
    </row>
    <row r="926" spans="1:23" x14ac:dyDescent="0.3">
      <c r="A926" s="96"/>
      <c r="B926" s="96"/>
      <c r="C926" s="96"/>
      <c r="D926" s="96"/>
      <c r="E926" s="103"/>
      <c r="F926" s="96"/>
      <c r="G926" s="96"/>
      <c r="H926" s="96"/>
      <c r="I926" s="96"/>
      <c r="J926" s="96"/>
      <c r="L926" s="96"/>
      <c r="M926" s="96"/>
      <c r="P926" s="96"/>
      <c r="Q926" s="96"/>
      <c r="R926" s="96"/>
      <c r="S926" s="96"/>
      <c r="T926" s="96"/>
      <c r="U926" s="96"/>
      <c r="V926" s="96"/>
      <c r="W926" s="96"/>
    </row>
    <row r="927" spans="1:23" x14ac:dyDescent="0.3">
      <c r="A927" s="96"/>
      <c r="B927" s="96"/>
      <c r="C927" s="96"/>
      <c r="D927" s="96"/>
      <c r="E927" s="103"/>
      <c r="F927" s="96"/>
      <c r="G927" s="96"/>
      <c r="H927" s="96"/>
      <c r="I927" s="96"/>
      <c r="J927" s="96"/>
      <c r="L927" s="96"/>
      <c r="M927" s="96"/>
      <c r="P927" s="96"/>
      <c r="Q927" s="96"/>
      <c r="R927" s="96"/>
      <c r="S927" s="96"/>
      <c r="T927" s="96"/>
      <c r="U927" s="96"/>
      <c r="V927" s="96"/>
      <c r="W927" s="96"/>
    </row>
    <row r="928" spans="1:23" x14ac:dyDescent="0.3">
      <c r="A928" s="96"/>
      <c r="B928" s="96"/>
      <c r="C928" s="96"/>
      <c r="D928" s="96"/>
      <c r="E928" s="103"/>
      <c r="F928" s="96"/>
      <c r="G928" s="96"/>
      <c r="H928" s="96"/>
      <c r="I928" s="96"/>
      <c r="J928" s="96"/>
      <c r="L928" s="96"/>
      <c r="M928" s="96"/>
      <c r="P928" s="96"/>
      <c r="Q928" s="96"/>
      <c r="R928" s="96"/>
      <c r="S928" s="96"/>
      <c r="T928" s="96"/>
      <c r="U928" s="96"/>
      <c r="V928" s="96"/>
      <c r="W928" s="96"/>
    </row>
    <row r="929" spans="1:28" x14ac:dyDescent="0.3">
      <c r="A929" s="96"/>
      <c r="B929" s="96"/>
      <c r="C929" s="96"/>
      <c r="D929" s="96"/>
      <c r="E929" s="103"/>
      <c r="F929" s="96"/>
      <c r="G929" s="96"/>
      <c r="H929" s="96"/>
      <c r="I929" s="96"/>
      <c r="J929" s="96"/>
      <c r="L929" s="96"/>
      <c r="M929" s="96"/>
      <c r="P929" s="96"/>
      <c r="Q929" s="96"/>
      <c r="R929" s="96"/>
      <c r="S929" s="96"/>
      <c r="T929" s="96"/>
      <c r="U929" s="96"/>
      <c r="V929" s="96"/>
      <c r="W929" s="96"/>
    </row>
    <row r="930" spans="1:28" x14ac:dyDescent="0.3">
      <c r="A930" s="96"/>
      <c r="B930" s="96"/>
      <c r="C930" s="96"/>
      <c r="D930" s="96"/>
      <c r="E930" s="103"/>
      <c r="F930" s="96"/>
      <c r="G930" s="96"/>
      <c r="H930" s="96"/>
      <c r="I930" s="96"/>
      <c r="J930" s="96"/>
      <c r="L930" s="96"/>
      <c r="M930" s="96"/>
      <c r="P930" s="96"/>
      <c r="Q930" s="96"/>
      <c r="R930" s="96"/>
      <c r="S930" s="96"/>
      <c r="T930" s="96"/>
      <c r="U930" s="96"/>
      <c r="V930" s="96"/>
      <c r="W930" s="96"/>
    </row>
    <row r="931" spans="1:28" x14ac:dyDescent="0.3">
      <c r="A931" s="96"/>
      <c r="B931" s="96"/>
      <c r="C931" s="96"/>
      <c r="D931" s="96"/>
      <c r="E931" s="103"/>
      <c r="F931" s="96"/>
      <c r="G931" s="96"/>
      <c r="H931" s="96"/>
      <c r="I931" s="96"/>
      <c r="J931" s="96"/>
      <c r="L931" s="96"/>
      <c r="M931" s="96"/>
      <c r="P931" s="96"/>
      <c r="Q931" s="96"/>
      <c r="R931" s="96"/>
      <c r="S931" s="96"/>
      <c r="T931" s="96"/>
      <c r="U931" s="96"/>
      <c r="V931" s="96"/>
      <c r="W931" s="96"/>
    </row>
    <row r="932" spans="1:28" x14ac:dyDescent="0.3">
      <c r="A932" s="96"/>
      <c r="B932" s="96"/>
      <c r="C932" s="96"/>
      <c r="D932" s="96"/>
      <c r="E932" s="103"/>
      <c r="F932" s="96"/>
      <c r="G932" s="96"/>
      <c r="H932" s="96"/>
      <c r="I932" s="96"/>
      <c r="J932" s="96"/>
      <c r="L932" s="96"/>
      <c r="M932" s="96"/>
      <c r="P932" s="96"/>
      <c r="Q932" s="96"/>
      <c r="R932" s="96"/>
      <c r="S932" s="96"/>
      <c r="T932" s="96"/>
      <c r="U932" s="96"/>
      <c r="V932" s="96"/>
      <c r="W932" s="96"/>
    </row>
    <row r="933" spans="1:28" x14ac:dyDescent="0.3">
      <c r="A933" s="96"/>
      <c r="B933" s="96"/>
      <c r="C933" s="96"/>
      <c r="D933" s="96"/>
      <c r="E933" s="103"/>
      <c r="F933" s="96"/>
      <c r="G933" s="96"/>
      <c r="H933" s="96"/>
      <c r="I933" s="96"/>
      <c r="J933" s="96"/>
      <c r="L933" s="96"/>
      <c r="M933" s="96"/>
      <c r="P933" s="96"/>
      <c r="Q933" s="96"/>
      <c r="R933" s="96"/>
      <c r="S933" s="96"/>
      <c r="T933" s="96"/>
      <c r="U933" s="96"/>
      <c r="V933" s="96"/>
      <c r="W933" s="96"/>
    </row>
    <row r="934" spans="1:28" x14ac:dyDescent="0.3">
      <c r="A934" s="96"/>
      <c r="B934" s="96"/>
      <c r="C934" s="96"/>
      <c r="D934" s="96"/>
      <c r="E934" s="103"/>
      <c r="F934" s="96"/>
      <c r="G934" s="96"/>
      <c r="H934" s="96"/>
      <c r="I934" s="96"/>
      <c r="J934" s="96"/>
      <c r="L934" s="96"/>
      <c r="M934" s="96"/>
      <c r="P934" s="96"/>
      <c r="Q934" s="96"/>
      <c r="R934" s="96"/>
      <c r="S934" s="96"/>
      <c r="T934" s="96"/>
      <c r="U934" s="96"/>
      <c r="V934" s="96"/>
      <c r="W934" s="96"/>
    </row>
    <row r="935" spans="1:28" x14ac:dyDescent="0.3">
      <c r="A935" s="96"/>
      <c r="B935" s="96"/>
      <c r="C935" s="96"/>
      <c r="D935" s="96"/>
      <c r="E935" s="103"/>
      <c r="F935" s="96"/>
      <c r="G935" s="96"/>
      <c r="H935" s="96"/>
      <c r="I935" s="96"/>
      <c r="J935" s="96"/>
      <c r="L935" s="96"/>
      <c r="M935" s="96"/>
      <c r="P935" s="96"/>
      <c r="Q935" s="96"/>
      <c r="R935" s="96"/>
      <c r="S935" s="96"/>
      <c r="T935" s="96"/>
      <c r="U935" s="96"/>
      <c r="V935" s="96"/>
      <c r="W935" s="96"/>
    </row>
    <row r="936" spans="1:28" x14ac:dyDescent="0.3">
      <c r="A936" s="96"/>
      <c r="B936" s="96"/>
      <c r="C936" s="96"/>
      <c r="D936" s="96"/>
      <c r="E936" s="103"/>
      <c r="F936" s="96"/>
      <c r="G936" s="96"/>
      <c r="H936" s="96"/>
      <c r="I936" s="96"/>
      <c r="J936" s="96"/>
      <c r="L936" s="96"/>
      <c r="M936" s="96"/>
      <c r="P936" s="96"/>
      <c r="Q936" s="96"/>
      <c r="R936" s="96"/>
      <c r="S936" s="96"/>
      <c r="T936" s="96"/>
      <c r="U936" s="96"/>
      <c r="V936" s="96"/>
      <c r="W936" s="96"/>
      <c r="AA936" s="96"/>
      <c r="AB936" s="96"/>
    </row>
    <row r="937" spans="1:28" x14ac:dyDescent="0.3">
      <c r="A937" s="96"/>
      <c r="B937" s="96"/>
      <c r="C937" s="96"/>
      <c r="D937" s="96"/>
      <c r="E937" s="103"/>
      <c r="F937" s="96"/>
      <c r="G937" s="96"/>
      <c r="H937" s="96"/>
      <c r="I937" s="96"/>
      <c r="J937" s="96"/>
      <c r="L937" s="96"/>
      <c r="M937" s="96"/>
      <c r="P937" s="96"/>
      <c r="Q937" s="96"/>
      <c r="R937" s="96"/>
      <c r="S937" s="96"/>
      <c r="T937" s="96"/>
      <c r="U937" s="96"/>
      <c r="V937" s="96"/>
      <c r="W937" s="96"/>
      <c r="AA937" s="104"/>
      <c r="AB937" s="104"/>
    </row>
    <row r="938" spans="1:28" x14ac:dyDescent="0.3">
      <c r="A938" s="96"/>
      <c r="B938" s="96"/>
      <c r="C938" s="96"/>
      <c r="D938" s="96"/>
      <c r="E938" s="103"/>
      <c r="F938" s="96"/>
      <c r="G938" s="96"/>
      <c r="H938" s="96"/>
      <c r="I938" s="96"/>
      <c r="J938" s="96"/>
      <c r="L938" s="96"/>
      <c r="M938" s="96"/>
      <c r="P938" s="96"/>
      <c r="Q938" s="96"/>
      <c r="R938" s="96"/>
      <c r="S938" s="96"/>
      <c r="T938" s="96"/>
      <c r="U938" s="96"/>
      <c r="V938" s="96"/>
      <c r="W938" s="96"/>
      <c r="AA938" s="96"/>
      <c r="AB938" s="96"/>
    </row>
    <row r="939" spans="1:28" x14ac:dyDescent="0.3">
      <c r="A939" s="96"/>
      <c r="B939" s="96"/>
      <c r="C939" s="96"/>
      <c r="D939" s="96"/>
      <c r="E939" s="103"/>
      <c r="F939" s="96"/>
      <c r="G939" s="96"/>
      <c r="H939" s="96"/>
      <c r="I939" s="96"/>
      <c r="J939" s="96"/>
      <c r="L939" s="96"/>
      <c r="M939" s="96"/>
      <c r="P939" s="96"/>
      <c r="Q939" s="96"/>
      <c r="R939" s="96"/>
      <c r="S939" s="96"/>
      <c r="T939" s="96"/>
      <c r="U939" s="96"/>
      <c r="V939" s="96"/>
      <c r="W939" s="96"/>
      <c r="AA939" s="96"/>
      <c r="AB939" s="96"/>
    </row>
    <row r="940" spans="1:28" x14ac:dyDescent="0.3">
      <c r="A940" s="96"/>
      <c r="B940" s="96"/>
      <c r="C940" s="96"/>
      <c r="D940" s="96"/>
      <c r="E940" s="103"/>
      <c r="F940" s="96"/>
      <c r="G940" s="96"/>
      <c r="H940" s="96"/>
      <c r="I940" s="96"/>
      <c r="J940" s="96"/>
      <c r="L940" s="96"/>
      <c r="M940" s="96"/>
      <c r="P940" s="96"/>
      <c r="Q940" s="96"/>
      <c r="R940" s="96"/>
      <c r="S940" s="96"/>
      <c r="T940" s="96"/>
      <c r="U940" s="96"/>
      <c r="V940" s="96"/>
      <c r="W940" s="96"/>
    </row>
    <row r="941" spans="1:28" x14ac:dyDescent="0.3">
      <c r="A941" s="96"/>
      <c r="B941" s="96"/>
      <c r="C941" s="96"/>
      <c r="D941" s="96"/>
      <c r="E941" s="103"/>
      <c r="F941" s="96"/>
      <c r="G941" s="96"/>
      <c r="H941" s="96"/>
      <c r="I941" s="96"/>
      <c r="J941" s="96"/>
      <c r="L941" s="96"/>
      <c r="M941" s="96"/>
      <c r="P941" s="96"/>
      <c r="Q941" s="96"/>
      <c r="R941" s="96"/>
      <c r="S941" s="96"/>
      <c r="T941" s="96"/>
      <c r="U941" s="96"/>
      <c r="V941" s="96"/>
      <c r="W941" s="96"/>
    </row>
    <row r="942" spans="1:28" x14ac:dyDescent="0.3">
      <c r="A942" s="96"/>
      <c r="B942" s="96"/>
      <c r="C942" s="96"/>
      <c r="D942" s="96"/>
      <c r="E942" s="103"/>
      <c r="F942" s="96"/>
      <c r="G942" s="96"/>
      <c r="H942" s="96"/>
      <c r="I942" s="96"/>
      <c r="J942" s="96"/>
      <c r="L942" s="96"/>
      <c r="M942" s="96"/>
      <c r="P942" s="96"/>
      <c r="Q942" s="96"/>
      <c r="R942" s="96"/>
      <c r="S942" s="96"/>
      <c r="T942" s="96"/>
      <c r="U942" s="96"/>
      <c r="V942" s="96"/>
      <c r="W942" s="96"/>
    </row>
    <row r="943" spans="1:28" x14ac:dyDescent="0.3">
      <c r="A943" s="96"/>
      <c r="B943" s="96"/>
      <c r="C943" s="96"/>
      <c r="D943" s="96"/>
      <c r="E943" s="103"/>
      <c r="F943" s="96"/>
      <c r="G943" s="96"/>
      <c r="H943" s="96"/>
      <c r="I943" s="96"/>
      <c r="J943" s="96"/>
      <c r="L943" s="96"/>
      <c r="M943" s="96"/>
      <c r="P943" s="96"/>
      <c r="Q943" s="96"/>
      <c r="R943" s="96"/>
      <c r="S943" s="96"/>
      <c r="T943" s="96"/>
      <c r="U943" s="96"/>
      <c r="V943" s="96"/>
      <c r="W943" s="96"/>
    </row>
    <row r="944" spans="1:28" x14ac:dyDescent="0.3">
      <c r="A944" s="96"/>
      <c r="B944" s="96"/>
      <c r="C944" s="96"/>
      <c r="D944" s="96"/>
      <c r="E944" s="103"/>
      <c r="F944" s="96"/>
      <c r="G944" s="96"/>
      <c r="H944" s="96"/>
      <c r="I944" s="96"/>
      <c r="J944" s="96"/>
      <c r="L944" s="96"/>
      <c r="M944" s="96"/>
      <c r="P944" s="96"/>
      <c r="Q944" s="96"/>
      <c r="R944" s="96"/>
      <c r="S944" s="96"/>
      <c r="T944" s="96"/>
      <c r="U944" s="96"/>
      <c r="V944" s="96"/>
      <c r="W944" s="96"/>
    </row>
    <row r="945" spans="1:23" x14ac:dyDescent="0.3">
      <c r="A945" s="96"/>
      <c r="B945" s="96"/>
      <c r="C945" s="96"/>
      <c r="D945" s="96"/>
      <c r="E945" s="103"/>
      <c r="F945" s="96"/>
      <c r="G945" s="96"/>
      <c r="H945" s="96"/>
      <c r="I945" s="96"/>
      <c r="J945" s="96"/>
      <c r="L945" s="96"/>
      <c r="M945" s="96"/>
      <c r="P945" s="96"/>
      <c r="Q945" s="96"/>
      <c r="R945" s="96"/>
      <c r="S945" s="96"/>
      <c r="T945" s="96"/>
      <c r="U945" s="96"/>
      <c r="V945" s="96"/>
      <c r="W945" s="96"/>
    </row>
    <row r="946" spans="1:23" x14ac:dyDescent="0.3">
      <c r="A946" s="96"/>
      <c r="B946" s="96"/>
      <c r="C946" s="96"/>
      <c r="D946" s="96"/>
      <c r="E946" s="103"/>
      <c r="F946" s="96"/>
      <c r="G946" s="96"/>
      <c r="H946" s="96"/>
      <c r="I946" s="96"/>
      <c r="J946" s="96"/>
      <c r="L946" s="96"/>
      <c r="M946" s="96"/>
      <c r="P946" s="96"/>
      <c r="Q946" s="96"/>
      <c r="R946" s="96"/>
      <c r="S946" s="96"/>
      <c r="T946" s="96"/>
      <c r="U946" s="96"/>
      <c r="V946" s="96"/>
      <c r="W946" s="96"/>
    </row>
    <row r="947" spans="1:23" x14ac:dyDescent="0.3">
      <c r="A947" s="96"/>
      <c r="B947" s="96"/>
      <c r="C947" s="96"/>
      <c r="D947" s="96"/>
      <c r="E947" s="103"/>
      <c r="F947" s="96"/>
      <c r="G947" s="96"/>
      <c r="H947" s="96"/>
      <c r="I947" s="96"/>
      <c r="J947" s="96"/>
      <c r="L947" s="96"/>
      <c r="M947" s="96"/>
      <c r="P947" s="96"/>
      <c r="Q947" s="96"/>
      <c r="R947" s="96"/>
      <c r="S947" s="96"/>
      <c r="T947" s="96"/>
      <c r="U947" s="96"/>
      <c r="V947" s="96"/>
      <c r="W947" s="96"/>
    </row>
    <row r="948" spans="1:23" x14ac:dyDescent="0.3">
      <c r="A948" s="96"/>
      <c r="B948" s="96"/>
      <c r="C948" s="96"/>
      <c r="D948" s="96"/>
      <c r="E948" s="103"/>
      <c r="F948" s="96"/>
      <c r="G948" s="96"/>
      <c r="H948" s="96"/>
      <c r="I948" s="96"/>
      <c r="J948" s="96"/>
      <c r="L948" s="96"/>
      <c r="M948" s="96"/>
      <c r="P948" s="96"/>
      <c r="Q948" s="96"/>
      <c r="R948" s="96"/>
      <c r="S948" s="96"/>
      <c r="T948" s="96"/>
      <c r="U948" s="96"/>
      <c r="V948" s="96"/>
      <c r="W948" s="96"/>
    </row>
    <row r="949" spans="1:23" x14ac:dyDescent="0.3">
      <c r="A949" s="96"/>
      <c r="B949" s="96"/>
      <c r="C949" s="96"/>
      <c r="D949" s="96"/>
      <c r="E949" s="103"/>
      <c r="F949" s="96"/>
      <c r="G949" s="96"/>
      <c r="H949" s="96"/>
      <c r="I949" s="96"/>
      <c r="J949" s="96"/>
      <c r="L949" s="96"/>
      <c r="M949" s="96"/>
      <c r="P949" s="96"/>
      <c r="Q949" s="96"/>
      <c r="R949" s="96"/>
      <c r="S949" s="96"/>
      <c r="T949" s="96"/>
      <c r="U949" s="96"/>
      <c r="V949" s="96"/>
      <c r="W949" s="96"/>
    </row>
    <row r="950" spans="1:23" x14ac:dyDescent="0.3">
      <c r="A950" s="96"/>
      <c r="B950" s="96"/>
      <c r="C950" s="96"/>
      <c r="D950" s="96"/>
      <c r="E950" s="103"/>
      <c r="F950" s="96"/>
      <c r="G950" s="96"/>
      <c r="H950" s="96"/>
      <c r="I950" s="96"/>
      <c r="J950" s="96"/>
      <c r="L950" s="96"/>
      <c r="M950" s="96"/>
      <c r="P950" s="96"/>
      <c r="Q950" s="96"/>
      <c r="R950" s="96"/>
      <c r="S950" s="96"/>
      <c r="T950" s="96"/>
      <c r="U950" s="96"/>
      <c r="V950" s="96"/>
      <c r="W950" s="96"/>
    </row>
    <row r="951" spans="1:23" x14ac:dyDescent="0.3">
      <c r="A951" s="96"/>
      <c r="B951" s="96"/>
      <c r="C951" s="96"/>
      <c r="D951" s="96"/>
      <c r="E951" s="103"/>
      <c r="F951" s="96"/>
      <c r="G951" s="96"/>
      <c r="H951" s="96"/>
      <c r="I951" s="96"/>
      <c r="J951" s="96"/>
      <c r="L951" s="96"/>
      <c r="M951" s="96"/>
      <c r="P951" s="96"/>
      <c r="Q951" s="96"/>
      <c r="R951" s="96"/>
      <c r="S951" s="96"/>
      <c r="T951" s="96"/>
      <c r="U951" s="96"/>
      <c r="V951" s="96"/>
      <c r="W951" s="96"/>
    </row>
    <row r="952" spans="1:23" x14ac:dyDescent="0.3">
      <c r="A952" s="96"/>
      <c r="B952" s="96"/>
      <c r="C952" s="96"/>
      <c r="D952" s="96"/>
      <c r="E952" s="103"/>
      <c r="F952" s="96"/>
      <c r="G952" s="96"/>
      <c r="H952" s="96"/>
      <c r="I952" s="96"/>
      <c r="J952" s="96"/>
      <c r="L952" s="96"/>
      <c r="M952" s="96"/>
      <c r="P952" s="96"/>
      <c r="Q952" s="96"/>
      <c r="R952" s="96"/>
      <c r="S952" s="96"/>
      <c r="T952" s="96"/>
      <c r="U952" s="96"/>
      <c r="V952" s="96"/>
      <c r="W952" s="96"/>
    </row>
    <row r="953" spans="1:23" x14ac:dyDescent="0.3">
      <c r="A953" s="96"/>
      <c r="B953" s="96"/>
      <c r="C953" s="96"/>
      <c r="D953" s="96"/>
      <c r="E953" s="103"/>
      <c r="F953" s="96"/>
      <c r="G953" s="96"/>
      <c r="H953" s="96"/>
      <c r="I953" s="96"/>
      <c r="J953" s="96"/>
      <c r="L953" s="96"/>
      <c r="M953" s="96"/>
      <c r="P953" s="96"/>
      <c r="Q953" s="96"/>
      <c r="R953" s="96"/>
      <c r="S953" s="96"/>
      <c r="T953" s="96"/>
      <c r="U953" s="96"/>
      <c r="V953" s="96"/>
      <c r="W953" s="96"/>
    </row>
    <row r="954" spans="1:23" x14ac:dyDescent="0.3">
      <c r="A954" s="96"/>
      <c r="B954" s="96"/>
      <c r="C954" s="96"/>
      <c r="D954" s="96"/>
      <c r="E954" s="103"/>
      <c r="F954" s="96"/>
      <c r="G954" s="96"/>
      <c r="H954" s="96"/>
      <c r="I954" s="96"/>
      <c r="J954" s="96"/>
      <c r="L954" s="96"/>
      <c r="M954" s="96"/>
      <c r="P954" s="96"/>
      <c r="Q954" s="96"/>
      <c r="R954" s="96"/>
      <c r="S954" s="96"/>
      <c r="T954" s="96"/>
      <c r="U954" s="96"/>
      <c r="V954" s="96"/>
      <c r="W954" s="96"/>
    </row>
    <row r="955" spans="1:23" x14ac:dyDescent="0.3">
      <c r="A955" s="96"/>
      <c r="B955" s="96"/>
      <c r="C955" s="96"/>
      <c r="D955" s="96"/>
      <c r="E955" s="103"/>
      <c r="F955" s="96"/>
      <c r="G955" s="96"/>
      <c r="H955" s="96"/>
      <c r="I955" s="96"/>
      <c r="J955" s="96"/>
      <c r="L955" s="96"/>
      <c r="M955" s="96"/>
      <c r="P955" s="96"/>
      <c r="Q955" s="96"/>
      <c r="R955" s="96"/>
      <c r="S955" s="96"/>
      <c r="T955" s="96"/>
      <c r="U955" s="96"/>
      <c r="V955" s="96"/>
      <c r="W955" s="96"/>
    </row>
    <row r="956" spans="1:23" x14ac:dyDescent="0.3">
      <c r="A956" s="96"/>
      <c r="B956" s="96"/>
      <c r="C956" s="96"/>
      <c r="D956" s="96"/>
      <c r="E956" s="103"/>
      <c r="F956" s="96"/>
      <c r="G956" s="96"/>
      <c r="H956" s="96"/>
      <c r="I956" s="96"/>
      <c r="J956" s="96"/>
      <c r="L956" s="96"/>
      <c r="M956" s="96"/>
      <c r="P956" s="96"/>
      <c r="Q956" s="96"/>
      <c r="R956" s="96"/>
      <c r="S956" s="96"/>
      <c r="T956" s="96"/>
      <c r="U956" s="96"/>
      <c r="V956" s="96"/>
      <c r="W956" s="96"/>
    </row>
    <row r="957" spans="1:23" x14ac:dyDescent="0.3">
      <c r="A957" s="96"/>
      <c r="B957" s="96"/>
      <c r="C957" s="96"/>
      <c r="D957" s="96"/>
      <c r="E957" s="103"/>
      <c r="F957" s="96"/>
      <c r="G957" s="96"/>
      <c r="H957" s="96"/>
      <c r="I957" s="96"/>
      <c r="J957" s="96"/>
      <c r="L957" s="96"/>
      <c r="M957" s="96"/>
      <c r="P957" s="96"/>
      <c r="Q957" s="96"/>
      <c r="R957" s="96"/>
      <c r="S957" s="96"/>
      <c r="T957" s="96"/>
      <c r="U957" s="96"/>
      <c r="V957" s="96"/>
      <c r="W957" s="96"/>
    </row>
    <row r="958" spans="1:23" x14ac:dyDescent="0.3">
      <c r="A958" s="96"/>
      <c r="B958" s="96"/>
      <c r="C958" s="96"/>
      <c r="D958" s="96"/>
      <c r="E958" s="103"/>
      <c r="F958" s="96"/>
      <c r="G958" s="96"/>
      <c r="H958" s="96"/>
      <c r="I958" s="96"/>
      <c r="J958" s="96"/>
      <c r="L958" s="96"/>
      <c r="M958" s="96"/>
      <c r="P958" s="96"/>
      <c r="Q958" s="96"/>
      <c r="R958" s="96"/>
      <c r="S958" s="96"/>
      <c r="T958" s="96"/>
      <c r="U958" s="96"/>
      <c r="V958" s="96"/>
      <c r="W958" s="96"/>
    </row>
    <row r="959" spans="1:23" x14ac:dyDescent="0.3">
      <c r="A959" s="96"/>
      <c r="B959" s="96"/>
      <c r="C959" s="96"/>
      <c r="D959" s="96"/>
      <c r="E959" s="103"/>
      <c r="F959" s="96"/>
      <c r="G959" s="96"/>
      <c r="H959" s="96"/>
      <c r="I959" s="96"/>
      <c r="J959" s="96"/>
      <c r="L959" s="96"/>
      <c r="M959" s="96"/>
      <c r="P959" s="96"/>
      <c r="Q959" s="96"/>
      <c r="R959" s="96"/>
      <c r="S959" s="96"/>
      <c r="T959" s="96"/>
      <c r="U959" s="96"/>
      <c r="V959" s="96"/>
      <c r="W959" s="96"/>
    </row>
    <row r="960" spans="1:23" x14ac:dyDescent="0.3">
      <c r="A960" s="96"/>
      <c r="B960" s="96"/>
      <c r="C960" s="96"/>
      <c r="D960" s="96"/>
      <c r="E960" s="103"/>
      <c r="F960" s="96"/>
      <c r="G960" s="96"/>
      <c r="H960" s="96"/>
      <c r="I960" s="96"/>
      <c r="J960" s="96"/>
      <c r="L960" s="96"/>
      <c r="M960" s="96"/>
      <c r="P960" s="96"/>
      <c r="Q960" s="96"/>
      <c r="R960" s="96"/>
      <c r="S960" s="96"/>
      <c r="T960" s="96"/>
      <c r="U960" s="96"/>
      <c r="V960" s="96"/>
      <c r="W960" s="96"/>
    </row>
    <row r="961" spans="1:28" x14ac:dyDescent="0.3">
      <c r="A961" s="96"/>
      <c r="B961" s="96"/>
      <c r="C961" s="96"/>
      <c r="D961" s="96"/>
      <c r="E961" s="103"/>
      <c r="F961" s="96"/>
      <c r="G961" s="96"/>
      <c r="H961" s="96"/>
      <c r="I961" s="96"/>
      <c r="J961" s="96"/>
      <c r="L961" s="96"/>
      <c r="M961" s="96"/>
      <c r="P961" s="96"/>
      <c r="Q961" s="96"/>
      <c r="R961" s="96"/>
      <c r="S961" s="96"/>
      <c r="T961" s="96"/>
      <c r="U961" s="96"/>
      <c r="V961" s="96"/>
      <c r="W961" s="96"/>
    </row>
    <row r="962" spans="1:28" x14ac:dyDescent="0.3">
      <c r="A962" s="96"/>
      <c r="B962" s="96"/>
      <c r="C962" s="96"/>
      <c r="D962" s="96"/>
      <c r="E962" s="103"/>
      <c r="F962" s="96"/>
      <c r="G962" s="96"/>
      <c r="H962" s="96"/>
      <c r="I962" s="96"/>
      <c r="J962" s="96"/>
      <c r="L962" s="96"/>
      <c r="M962" s="96"/>
      <c r="P962" s="96"/>
      <c r="Q962" s="96"/>
      <c r="R962" s="96"/>
      <c r="S962" s="96"/>
      <c r="T962" s="96"/>
      <c r="U962" s="96"/>
      <c r="V962" s="96"/>
      <c r="W962" s="96"/>
    </row>
    <row r="963" spans="1:28" x14ac:dyDescent="0.3">
      <c r="A963" s="96"/>
      <c r="B963" s="96"/>
      <c r="C963" s="96"/>
      <c r="D963" s="96"/>
      <c r="E963" s="103"/>
      <c r="F963" s="96"/>
      <c r="G963" s="96"/>
      <c r="H963" s="96"/>
      <c r="I963" s="96"/>
      <c r="J963" s="96"/>
      <c r="L963" s="96"/>
      <c r="M963" s="96"/>
      <c r="P963" s="96"/>
      <c r="Q963" s="96"/>
      <c r="R963" s="96"/>
      <c r="S963" s="96"/>
      <c r="T963" s="96"/>
      <c r="U963" s="96"/>
      <c r="V963" s="96"/>
      <c r="W963" s="96"/>
    </row>
    <row r="964" spans="1:28" x14ac:dyDescent="0.3">
      <c r="A964" s="96"/>
      <c r="B964" s="96"/>
      <c r="C964" s="96"/>
      <c r="D964" s="96"/>
      <c r="E964" s="103"/>
      <c r="F964" s="96"/>
      <c r="G964" s="96"/>
      <c r="H964" s="96"/>
      <c r="I964" s="96"/>
      <c r="J964" s="96"/>
      <c r="L964" s="96"/>
      <c r="M964" s="96"/>
      <c r="P964" s="96"/>
      <c r="Q964" s="96"/>
      <c r="R964" s="96"/>
      <c r="S964" s="96"/>
      <c r="T964" s="96"/>
      <c r="U964" s="96"/>
      <c r="V964" s="96"/>
      <c r="W964" s="96"/>
      <c r="AA964" s="96"/>
      <c r="AB964" s="96"/>
    </row>
    <row r="965" spans="1:28" x14ac:dyDescent="0.3">
      <c r="A965" s="96"/>
      <c r="B965" s="96"/>
      <c r="C965" s="96"/>
      <c r="D965" s="96"/>
      <c r="E965" s="103"/>
      <c r="F965" s="96"/>
      <c r="G965" s="96"/>
      <c r="H965" s="96"/>
      <c r="I965" s="96"/>
      <c r="J965" s="96"/>
      <c r="L965" s="96"/>
      <c r="M965" s="96"/>
      <c r="P965" s="96"/>
      <c r="Q965" s="96"/>
      <c r="R965" s="96"/>
      <c r="S965" s="96"/>
      <c r="T965" s="96"/>
      <c r="U965" s="96"/>
      <c r="V965" s="96"/>
      <c r="W965" s="96"/>
      <c r="AA965" s="104"/>
      <c r="AB965" s="104"/>
    </row>
    <row r="966" spans="1:28" x14ac:dyDescent="0.3">
      <c r="A966" s="96"/>
      <c r="B966" s="96"/>
      <c r="C966" s="96"/>
      <c r="D966" s="96"/>
      <c r="E966" s="103"/>
      <c r="F966" s="96"/>
      <c r="G966" s="96"/>
      <c r="H966" s="96"/>
      <c r="I966" s="96"/>
      <c r="J966" s="96"/>
      <c r="L966" s="96"/>
      <c r="M966" s="96"/>
      <c r="P966" s="96"/>
      <c r="Q966" s="96"/>
      <c r="R966" s="96"/>
      <c r="S966" s="96"/>
      <c r="T966" s="96"/>
      <c r="U966" s="96"/>
      <c r="V966" s="96"/>
      <c r="W966" s="96"/>
      <c r="AA966" s="96"/>
      <c r="AB966" s="96"/>
    </row>
    <row r="967" spans="1:28" x14ac:dyDescent="0.3">
      <c r="A967" s="96"/>
      <c r="B967" s="96"/>
      <c r="C967" s="96"/>
      <c r="D967" s="96"/>
      <c r="E967" s="103"/>
      <c r="F967" s="96"/>
      <c r="G967" s="96"/>
      <c r="H967" s="96"/>
      <c r="I967" s="96"/>
      <c r="J967" s="96"/>
      <c r="L967" s="96"/>
      <c r="M967" s="96"/>
      <c r="P967" s="96"/>
      <c r="Q967" s="96"/>
      <c r="R967" s="96"/>
      <c r="S967" s="96"/>
      <c r="T967" s="96"/>
      <c r="U967" s="96"/>
      <c r="V967" s="96"/>
      <c r="W967" s="96"/>
      <c r="AA967" s="96"/>
      <c r="AB967" s="96"/>
    </row>
    <row r="968" spans="1:28" x14ac:dyDescent="0.3">
      <c r="A968" s="96"/>
      <c r="B968" s="96"/>
      <c r="C968" s="96"/>
      <c r="D968" s="96"/>
      <c r="E968" s="103"/>
      <c r="F968" s="96"/>
      <c r="G968" s="96"/>
      <c r="H968" s="96"/>
      <c r="I968" s="96"/>
      <c r="J968" s="96"/>
      <c r="L968" s="96"/>
      <c r="M968" s="96"/>
      <c r="P968" s="96"/>
      <c r="Q968" s="96"/>
      <c r="R968" s="96"/>
      <c r="S968" s="96"/>
      <c r="T968" s="96"/>
      <c r="U968" s="96"/>
      <c r="V968" s="96"/>
      <c r="W968" s="96"/>
    </row>
    <row r="969" spans="1:28" x14ac:dyDescent="0.3">
      <c r="A969" s="96"/>
      <c r="B969" s="96"/>
      <c r="C969" s="96"/>
      <c r="D969" s="96"/>
      <c r="E969" s="103"/>
      <c r="F969" s="96"/>
      <c r="G969" s="96"/>
      <c r="H969" s="96"/>
      <c r="I969" s="96"/>
      <c r="J969" s="96"/>
      <c r="L969" s="96"/>
      <c r="M969" s="96"/>
      <c r="P969" s="96"/>
      <c r="Q969" s="96"/>
      <c r="R969" s="96"/>
      <c r="S969" s="96"/>
      <c r="T969" s="96"/>
      <c r="U969" s="96"/>
      <c r="V969" s="96"/>
      <c r="W969" s="96"/>
    </row>
    <row r="970" spans="1:28" x14ac:dyDescent="0.3">
      <c r="A970" s="96"/>
      <c r="B970" s="96"/>
      <c r="C970" s="96"/>
      <c r="D970" s="96"/>
      <c r="E970" s="103"/>
      <c r="F970" s="96"/>
      <c r="G970" s="96"/>
      <c r="H970" s="96"/>
      <c r="I970" s="96"/>
      <c r="J970" s="96"/>
      <c r="L970" s="96"/>
      <c r="M970" s="96"/>
      <c r="P970" s="96"/>
      <c r="Q970" s="96"/>
      <c r="R970" s="96"/>
      <c r="S970" s="96"/>
      <c r="T970" s="96"/>
      <c r="U970" s="96"/>
      <c r="V970" s="96"/>
      <c r="W970" s="96"/>
    </row>
    <row r="971" spans="1:28" x14ac:dyDescent="0.3">
      <c r="A971" s="96"/>
      <c r="B971" s="96"/>
      <c r="C971" s="96"/>
      <c r="D971" s="96"/>
      <c r="E971" s="103"/>
      <c r="F971" s="96"/>
      <c r="G971" s="96"/>
      <c r="H971" s="96"/>
      <c r="I971" s="96"/>
      <c r="J971" s="96"/>
      <c r="L971" s="96"/>
      <c r="M971" s="96"/>
      <c r="P971" s="96"/>
      <c r="Q971" s="96"/>
      <c r="R971" s="96"/>
      <c r="S971" s="96"/>
      <c r="T971" s="96"/>
      <c r="U971" s="96"/>
      <c r="V971" s="96"/>
      <c r="W971" s="96"/>
    </row>
    <row r="972" spans="1:28" x14ac:dyDescent="0.3">
      <c r="A972" s="96"/>
      <c r="B972" s="96"/>
      <c r="C972" s="96"/>
      <c r="D972" s="96"/>
      <c r="E972" s="103"/>
      <c r="F972" s="96"/>
      <c r="G972" s="96"/>
      <c r="H972" s="96"/>
      <c r="I972" s="96"/>
      <c r="J972" s="96"/>
      <c r="L972" s="96"/>
      <c r="M972" s="96"/>
      <c r="P972" s="96"/>
      <c r="Q972" s="96"/>
      <c r="R972" s="96"/>
      <c r="S972" s="96"/>
      <c r="T972" s="96"/>
      <c r="U972" s="96"/>
      <c r="V972" s="96"/>
      <c r="W972" s="96"/>
    </row>
    <row r="973" spans="1:28" x14ac:dyDescent="0.3">
      <c r="A973" s="96"/>
      <c r="B973" s="96"/>
      <c r="C973" s="96"/>
      <c r="D973" s="96"/>
      <c r="E973" s="103"/>
      <c r="F973" s="96"/>
      <c r="G973" s="96"/>
      <c r="H973" s="96"/>
      <c r="I973" s="96"/>
      <c r="J973" s="96"/>
      <c r="L973" s="96"/>
      <c r="M973" s="96"/>
      <c r="P973" s="96"/>
      <c r="Q973" s="96"/>
      <c r="R973" s="96"/>
      <c r="S973" s="96"/>
      <c r="T973" s="96"/>
      <c r="U973" s="96"/>
      <c r="V973" s="96"/>
      <c r="W973" s="96"/>
    </row>
    <row r="974" spans="1:28" x14ac:dyDescent="0.3">
      <c r="A974" s="96"/>
      <c r="B974" s="96"/>
      <c r="C974" s="96"/>
      <c r="D974" s="96"/>
      <c r="E974" s="103"/>
      <c r="F974" s="96"/>
      <c r="G974" s="96"/>
      <c r="H974" s="96"/>
      <c r="I974" s="96"/>
      <c r="J974" s="96"/>
      <c r="L974" s="96"/>
      <c r="M974" s="96"/>
      <c r="P974" s="96"/>
      <c r="Q974" s="96"/>
      <c r="R974" s="96"/>
      <c r="S974" s="96"/>
      <c r="T974" s="96"/>
      <c r="U974" s="96"/>
      <c r="V974" s="96"/>
      <c r="W974" s="96"/>
    </row>
    <row r="975" spans="1:28" x14ac:dyDescent="0.3">
      <c r="A975" s="96"/>
      <c r="B975" s="96"/>
      <c r="C975" s="96"/>
      <c r="D975" s="96"/>
      <c r="E975" s="103"/>
      <c r="F975" s="96"/>
      <c r="G975" s="96"/>
      <c r="H975" s="96"/>
      <c r="I975" s="96"/>
      <c r="J975" s="96"/>
      <c r="L975" s="96"/>
      <c r="M975" s="96"/>
      <c r="P975" s="96"/>
      <c r="Q975" s="96"/>
      <c r="R975" s="96"/>
      <c r="S975" s="96"/>
      <c r="T975" s="96"/>
      <c r="U975" s="96"/>
      <c r="V975" s="96"/>
      <c r="W975" s="96"/>
    </row>
    <row r="976" spans="1:28" x14ac:dyDescent="0.3">
      <c r="A976" s="96"/>
      <c r="B976" s="96"/>
      <c r="C976" s="96"/>
      <c r="D976" s="96"/>
      <c r="E976" s="103"/>
      <c r="F976" s="96"/>
      <c r="G976" s="96"/>
      <c r="H976" s="96"/>
      <c r="I976" s="96"/>
      <c r="J976" s="96"/>
      <c r="L976" s="96"/>
      <c r="M976" s="96"/>
      <c r="P976" s="96"/>
      <c r="Q976" s="96"/>
      <c r="R976" s="96"/>
      <c r="S976" s="96"/>
      <c r="T976" s="96"/>
      <c r="U976" s="96"/>
      <c r="V976" s="96"/>
      <c r="W976" s="96"/>
    </row>
    <row r="977" spans="1:28" x14ac:dyDescent="0.3">
      <c r="A977" s="96"/>
      <c r="B977" s="96"/>
      <c r="C977" s="96"/>
      <c r="D977" s="96"/>
      <c r="E977" s="103"/>
      <c r="F977" s="96"/>
      <c r="G977" s="96"/>
      <c r="H977" s="96"/>
      <c r="I977" s="96"/>
      <c r="J977" s="96"/>
      <c r="L977" s="96"/>
      <c r="M977" s="96"/>
      <c r="P977" s="96"/>
      <c r="Q977" s="96"/>
      <c r="R977" s="96"/>
      <c r="S977" s="96"/>
      <c r="T977" s="96"/>
      <c r="U977" s="96"/>
      <c r="V977" s="96"/>
      <c r="W977" s="96"/>
    </row>
    <row r="978" spans="1:28" x14ac:dyDescent="0.3">
      <c r="A978" s="96"/>
      <c r="B978" s="96"/>
      <c r="C978" s="96"/>
      <c r="D978" s="96"/>
      <c r="E978" s="103"/>
      <c r="F978" s="96"/>
      <c r="G978" s="96"/>
      <c r="H978" s="96"/>
      <c r="I978" s="96"/>
      <c r="J978" s="96"/>
      <c r="L978" s="96"/>
      <c r="M978" s="96"/>
      <c r="P978" s="96"/>
      <c r="Q978" s="96"/>
      <c r="R978" s="96"/>
      <c r="S978" s="96"/>
      <c r="T978" s="96"/>
      <c r="U978" s="96"/>
      <c r="V978" s="96"/>
      <c r="W978" s="96"/>
    </row>
    <row r="979" spans="1:28" x14ac:dyDescent="0.3">
      <c r="A979" s="96"/>
      <c r="B979" s="96"/>
      <c r="C979" s="96"/>
      <c r="D979" s="96"/>
      <c r="E979" s="103"/>
      <c r="F979" s="96"/>
      <c r="G979" s="96"/>
      <c r="H979" s="96"/>
      <c r="I979" s="96"/>
      <c r="J979" s="96"/>
      <c r="L979" s="96"/>
      <c r="M979" s="96"/>
      <c r="P979" s="96"/>
      <c r="Q979" s="96"/>
      <c r="R979" s="96"/>
      <c r="S979" s="96"/>
      <c r="T979" s="96"/>
      <c r="U979" s="96"/>
      <c r="V979" s="96"/>
      <c r="W979" s="96"/>
    </row>
    <row r="980" spans="1:28" x14ac:dyDescent="0.3">
      <c r="A980" s="96"/>
      <c r="B980" s="96"/>
      <c r="C980" s="96"/>
      <c r="D980" s="96"/>
      <c r="E980" s="103"/>
      <c r="F980" s="96"/>
      <c r="G980" s="96"/>
      <c r="H980" s="96"/>
      <c r="I980" s="96"/>
      <c r="J980" s="96"/>
      <c r="L980" s="96"/>
      <c r="M980" s="96"/>
      <c r="P980" s="96"/>
      <c r="Q980" s="96"/>
      <c r="R980" s="96"/>
      <c r="S980" s="96"/>
      <c r="T980" s="96"/>
      <c r="U980" s="96"/>
      <c r="V980" s="96"/>
      <c r="W980" s="96"/>
    </row>
    <row r="981" spans="1:28" x14ac:dyDescent="0.3">
      <c r="A981" s="96"/>
      <c r="B981" s="96"/>
      <c r="C981" s="96"/>
      <c r="D981" s="96"/>
      <c r="E981" s="103"/>
      <c r="F981" s="96"/>
      <c r="G981" s="96"/>
      <c r="H981" s="96"/>
      <c r="I981" s="96"/>
      <c r="J981" s="96"/>
      <c r="L981" s="96"/>
      <c r="M981" s="96"/>
      <c r="P981" s="96"/>
      <c r="Q981" s="96"/>
      <c r="R981" s="96"/>
      <c r="S981" s="96"/>
      <c r="T981" s="96"/>
      <c r="U981" s="96"/>
      <c r="V981" s="96"/>
      <c r="W981" s="96"/>
    </row>
    <row r="982" spans="1:28" x14ac:dyDescent="0.3">
      <c r="A982" s="96"/>
      <c r="B982" s="96"/>
      <c r="C982" s="96"/>
      <c r="D982" s="96"/>
      <c r="E982" s="103"/>
      <c r="F982" s="96"/>
      <c r="G982" s="96"/>
      <c r="H982" s="96"/>
      <c r="I982" s="96"/>
      <c r="J982" s="96"/>
      <c r="L982" s="96"/>
      <c r="M982" s="96"/>
      <c r="P982" s="96"/>
      <c r="Q982" s="96"/>
      <c r="R982" s="96"/>
      <c r="S982" s="96"/>
      <c r="T982" s="96"/>
      <c r="U982" s="96"/>
      <c r="V982" s="96"/>
      <c r="W982" s="96"/>
    </row>
    <row r="983" spans="1:28" x14ac:dyDescent="0.3">
      <c r="A983" s="96"/>
      <c r="B983" s="96"/>
      <c r="C983" s="96"/>
      <c r="D983" s="96"/>
      <c r="E983" s="103"/>
      <c r="F983" s="96"/>
      <c r="G983" s="96"/>
      <c r="H983" s="96"/>
      <c r="I983" s="96"/>
      <c r="J983" s="96"/>
      <c r="L983" s="96"/>
      <c r="M983" s="96"/>
      <c r="P983" s="96"/>
      <c r="Q983" s="96"/>
      <c r="R983" s="96"/>
      <c r="S983" s="96"/>
      <c r="T983" s="96"/>
      <c r="U983" s="96"/>
      <c r="V983" s="96"/>
      <c r="W983" s="96"/>
    </row>
    <row r="984" spans="1:28" x14ac:dyDescent="0.3">
      <c r="A984" s="96"/>
      <c r="B984" s="96"/>
      <c r="C984" s="96"/>
      <c r="D984" s="96"/>
      <c r="E984" s="103"/>
      <c r="F984" s="96"/>
      <c r="G984" s="96"/>
      <c r="H984" s="96"/>
      <c r="I984" s="96"/>
      <c r="J984" s="96"/>
      <c r="L984" s="96"/>
      <c r="M984" s="96"/>
      <c r="P984" s="96"/>
      <c r="Q984" s="96"/>
      <c r="R984" s="96"/>
      <c r="S984" s="96"/>
      <c r="T984" s="96"/>
      <c r="U984" s="96"/>
      <c r="V984" s="96"/>
      <c r="W984" s="96"/>
    </row>
    <row r="985" spans="1:28" x14ac:dyDescent="0.3">
      <c r="A985" s="96"/>
      <c r="B985" s="96"/>
      <c r="C985" s="96"/>
      <c r="D985" s="96"/>
      <c r="E985" s="103"/>
      <c r="F985" s="96"/>
      <c r="G985" s="96"/>
      <c r="H985" s="96"/>
      <c r="I985" s="96"/>
      <c r="J985" s="96"/>
      <c r="L985" s="96"/>
      <c r="M985" s="96"/>
      <c r="P985" s="96"/>
      <c r="Q985" s="96"/>
      <c r="R985" s="96"/>
      <c r="S985" s="96"/>
      <c r="T985" s="96"/>
      <c r="U985" s="96"/>
      <c r="V985" s="96"/>
      <c r="W985" s="96"/>
    </row>
    <row r="986" spans="1:28" x14ac:dyDescent="0.3">
      <c r="A986" s="96"/>
      <c r="B986" s="96"/>
      <c r="C986" s="96"/>
      <c r="D986" s="96"/>
      <c r="E986" s="103"/>
      <c r="F986" s="96"/>
      <c r="G986" s="96"/>
      <c r="H986" s="96"/>
      <c r="I986" s="96"/>
      <c r="J986" s="96"/>
      <c r="L986" s="96"/>
      <c r="M986" s="96"/>
      <c r="P986" s="96"/>
      <c r="Q986" s="96"/>
      <c r="R986" s="96"/>
      <c r="S986" s="96"/>
      <c r="T986" s="96"/>
      <c r="U986" s="96"/>
      <c r="V986" s="96"/>
      <c r="W986" s="96"/>
    </row>
    <row r="987" spans="1:28" x14ac:dyDescent="0.3">
      <c r="A987" s="96"/>
      <c r="B987" s="96"/>
      <c r="C987" s="96"/>
      <c r="D987" s="96"/>
      <c r="E987" s="103"/>
      <c r="F987" s="96"/>
      <c r="G987" s="96"/>
      <c r="H987" s="96"/>
      <c r="I987" s="96"/>
      <c r="J987" s="96"/>
      <c r="L987" s="96"/>
      <c r="M987" s="96"/>
      <c r="P987" s="96"/>
      <c r="Q987" s="96"/>
      <c r="R987" s="96"/>
      <c r="S987" s="96"/>
      <c r="T987" s="96"/>
      <c r="U987" s="96"/>
      <c r="V987" s="96"/>
      <c r="W987" s="96"/>
    </row>
    <row r="988" spans="1:28" x14ac:dyDescent="0.3">
      <c r="A988" s="96"/>
      <c r="B988" s="96"/>
      <c r="C988" s="96"/>
      <c r="D988" s="96"/>
      <c r="E988" s="103"/>
      <c r="F988" s="96"/>
      <c r="G988" s="96"/>
      <c r="H988" s="96"/>
      <c r="I988" s="96"/>
      <c r="J988" s="96"/>
      <c r="L988" s="96"/>
      <c r="M988" s="96"/>
      <c r="P988" s="96"/>
      <c r="Q988" s="96"/>
      <c r="R988" s="96"/>
      <c r="S988" s="96"/>
      <c r="T988" s="96"/>
      <c r="U988" s="96"/>
      <c r="V988" s="96"/>
      <c r="W988" s="96"/>
    </row>
    <row r="989" spans="1:28" x14ac:dyDescent="0.3">
      <c r="A989" s="96"/>
      <c r="B989" s="96"/>
      <c r="C989" s="96"/>
      <c r="D989" s="96"/>
      <c r="E989" s="103"/>
      <c r="F989" s="96"/>
      <c r="G989" s="96"/>
      <c r="H989" s="96"/>
      <c r="I989" s="96"/>
      <c r="J989" s="96"/>
      <c r="L989" s="96"/>
      <c r="M989" s="96"/>
      <c r="P989" s="96"/>
      <c r="Q989" s="96"/>
      <c r="R989" s="96"/>
      <c r="S989" s="96"/>
      <c r="T989" s="96"/>
      <c r="U989" s="96"/>
      <c r="V989" s="96"/>
      <c r="W989" s="96"/>
    </row>
    <row r="990" spans="1:28" x14ac:dyDescent="0.3">
      <c r="A990" s="96"/>
      <c r="B990" s="96"/>
      <c r="C990" s="96"/>
      <c r="D990" s="96"/>
      <c r="E990" s="103"/>
      <c r="F990" s="96"/>
      <c r="G990" s="96"/>
      <c r="H990" s="96"/>
      <c r="I990" s="96"/>
      <c r="J990" s="96"/>
      <c r="L990" s="96"/>
      <c r="M990" s="96"/>
      <c r="P990" s="96"/>
      <c r="Q990" s="96"/>
      <c r="R990" s="96"/>
      <c r="S990" s="96"/>
      <c r="T990" s="96"/>
      <c r="U990" s="96"/>
      <c r="V990" s="96"/>
      <c r="W990" s="96"/>
    </row>
    <row r="991" spans="1:28" x14ac:dyDescent="0.3">
      <c r="A991" s="96"/>
      <c r="B991" s="96"/>
      <c r="C991" s="96"/>
      <c r="D991" s="96"/>
      <c r="E991" s="103"/>
      <c r="F991" s="96"/>
      <c r="G991" s="96"/>
      <c r="H991" s="96"/>
      <c r="I991" s="96"/>
      <c r="J991" s="96"/>
      <c r="L991" s="96"/>
      <c r="M991" s="96"/>
      <c r="P991" s="96"/>
      <c r="Q991" s="96"/>
      <c r="R991" s="96"/>
      <c r="S991" s="96"/>
      <c r="T991" s="96"/>
      <c r="U991" s="96"/>
      <c r="V991" s="96"/>
      <c r="W991" s="96"/>
    </row>
    <row r="992" spans="1:28" x14ac:dyDescent="0.3">
      <c r="A992" s="96"/>
      <c r="B992" s="96"/>
      <c r="C992" s="96"/>
      <c r="D992" s="96"/>
      <c r="E992" s="103"/>
      <c r="F992" s="96"/>
      <c r="G992" s="96"/>
      <c r="H992" s="96"/>
      <c r="I992" s="96"/>
      <c r="J992" s="96"/>
      <c r="L992" s="96"/>
      <c r="M992" s="96"/>
      <c r="P992" s="96"/>
      <c r="Q992" s="96"/>
      <c r="R992" s="96"/>
      <c r="S992" s="96"/>
      <c r="T992" s="96"/>
      <c r="U992" s="96"/>
      <c r="V992" s="96"/>
      <c r="W992" s="96"/>
      <c r="AA992" s="96"/>
      <c r="AB992" s="96"/>
    </row>
    <row r="993" spans="1:28" x14ac:dyDescent="0.3">
      <c r="A993" s="96"/>
      <c r="B993" s="96"/>
      <c r="C993" s="96"/>
      <c r="D993" s="96"/>
      <c r="E993" s="103"/>
      <c r="F993" s="96"/>
      <c r="G993" s="96"/>
      <c r="H993" s="96"/>
      <c r="I993" s="96"/>
      <c r="J993" s="96"/>
      <c r="L993" s="96"/>
      <c r="M993" s="96"/>
      <c r="P993" s="96"/>
      <c r="Q993" s="96"/>
      <c r="R993" s="96"/>
      <c r="S993" s="96"/>
      <c r="T993" s="96"/>
      <c r="U993" s="96"/>
      <c r="V993" s="96"/>
      <c r="W993" s="96"/>
      <c r="AA993" s="104"/>
      <c r="AB993" s="104"/>
    </row>
    <row r="994" spans="1:28" x14ac:dyDescent="0.3">
      <c r="A994" s="96"/>
      <c r="B994" s="96"/>
      <c r="C994" s="96"/>
      <c r="D994" s="96"/>
      <c r="E994" s="103"/>
      <c r="F994" s="96"/>
      <c r="G994" s="96"/>
      <c r="H994" s="96"/>
      <c r="I994" s="96"/>
      <c r="J994" s="96"/>
      <c r="L994" s="96"/>
      <c r="M994" s="96"/>
      <c r="P994" s="96"/>
      <c r="Q994" s="96"/>
      <c r="R994" s="96"/>
      <c r="S994" s="96"/>
      <c r="T994" s="96"/>
      <c r="U994" s="96"/>
      <c r="V994" s="96"/>
      <c r="W994" s="96"/>
      <c r="AA994" s="96"/>
      <c r="AB994" s="96"/>
    </row>
    <row r="995" spans="1:28" x14ac:dyDescent="0.3">
      <c r="A995" s="96"/>
      <c r="B995" s="96"/>
      <c r="C995" s="96"/>
      <c r="D995" s="96"/>
      <c r="E995" s="103"/>
      <c r="F995" s="96"/>
      <c r="G995" s="96"/>
      <c r="H995" s="96"/>
      <c r="I995" s="96"/>
      <c r="J995" s="96"/>
      <c r="L995" s="96"/>
      <c r="M995" s="96"/>
      <c r="P995" s="96"/>
      <c r="Q995" s="96"/>
      <c r="R995" s="96"/>
      <c r="S995" s="96"/>
      <c r="T995" s="96"/>
      <c r="U995" s="96"/>
      <c r="V995" s="96"/>
      <c r="W995" s="96"/>
      <c r="AA995" s="96"/>
      <c r="AB995" s="96"/>
    </row>
    <row r="996" spans="1:28" x14ac:dyDescent="0.3">
      <c r="A996" s="96"/>
      <c r="B996" s="96"/>
      <c r="C996" s="96"/>
      <c r="D996" s="96"/>
      <c r="E996" s="103"/>
      <c r="F996" s="96"/>
      <c r="G996" s="96"/>
      <c r="H996" s="96"/>
      <c r="I996" s="96"/>
      <c r="J996" s="96"/>
      <c r="L996" s="96"/>
      <c r="M996" s="96"/>
      <c r="P996" s="96"/>
      <c r="Q996" s="96"/>
      <c r="R996" s="96"/>
      <c r="S996" s="96"/>
      <c r="T996" s="96"/>
      <c r="U996" s="96"/>
      <c r="V996" s="96"/>
      <c r="W996" s="96"/>
    </row>
    <row r="997" spans="1:28" x14ac:dyDescent="0.3">
      <c r="A997" s="96"/>
      <c r="B997" s="96"/>
      <c r="C997" s="96"/>
      <c r="D997" s="96"/>
      <c r="E997" s="103"/>
      <c r="F997" s="96"/>
      <c r="G997" s="96"/>
      <c r="H997" s="96"/>
      <c r="I997" s="96"/>
      <c r="J997" s="96"/>
      <c r="L997" s="96"/>
      <c r="M997" s="96"/>
      <c r="P997" s="96"/>
      <c r="Q997" s="96"/>
      <c r="R997" s="96"/>
      <c r="S997" s="96"/>
      <c r="T997" s="96"/>
      <c r="U997" s="96"/>
      <c r="V997" s="96"/>
      <c r="W997" s="96"/>
    </row>
    <row r="998" spans="1:28" x14ac:dyDescent="0.3">
      <c r="A998" s="96"/>
      <c r="B998" s="96"/>
      <c r="C998" s="96"/>
      <c r="D998" s="96"/>
      <c r="E998" s="103"/>
      <c r="F998" s="96"/>
      <c r="G998" s="96"/>
      <c r="H998" s="96"/>
      <c r="I998" s="96"/>
      <c r="J998" s="96"/>
      <c r="L998" s="96"/>
      <c r="M998" s="96"/>
      <c r="P998" s="96"/>
      <c r="Q998" s="96"/>
      <c r="R998" s="96"/>
      <c r="S998" s="96"/>
      <c r="T998" s="96"/>
      <c r="U998" s="96"/>
      <c r="V998" s="96"/>
      <c r="W998" s="96"/>
    </row>
    <row r="999" spans="1:28" x14ac:dyDescent="0.3">
      <c r="A999" s="96"/>
      <c r="B999" s="96"/>
      <c r="C999" s="96"/>
      <c r="D999" s="96"/>
      <c r="E999" s="103"/>
      <c r="F999" s="96"/>
      <c r="G999" s="96"/>
      <c r="H999" s="96"/>
      <c r="I999" s="96"/>
      <c r="J999" s="96"/>
      <c r="L999" s="96"/>
      <c r="M999" s="96"/>
      <c r="P999" s="96"/>
      <c r="Q999" s="96"/>
      <c r="R999" s="96"/>
      <c r="S999" s="96"/>
      <c r="T999" s="96"/>
      <c r="U999" s="96"/>
      <c r="V999" s="96"/>
      <c r="W999" s="96"/>
    </row>
    <row r="1000" spans="1:28" x14ac:dyDescent="0.3">
      <c r="A1000" s="96"/>
      <c r="B1000" s="96"/>
      <c r="C1000" s="96"/>
      <c r="D1000" s="96"/>
      <c r="E1000" s="103"/>
      <c r="F1000" s="96"/>
      <c r="G1000" s="96"/>
      <c r="H1000" s="96"/>
      <c r="I1000" s="96"/>
      <c r="J1000" s="96"/>
      <c r="L1000" s="96"/>
      <c r="M1000" s="96"/>
      <c r="P1000" s="96"/>
      <c r="Q1000" s="96"/>
      <c r="R1000" s="96"/>
      <c r="S1000" s="96"/>
      <c r="T1000" s="96"/>
      <c r="U1000" s="96"/>
      <c r="V1000" s="96"/>
      <c r="W1000" s="96"/>
    </row>
    <row r="1001" spans="1:28" x14ac:dyDescent="0.3">
      <c r="A1001" s="96"/>
      <c r="B1001" s="96"/>
      <c r="C1001" s="96"/>
      <c r="D1001" s="96"/>
      <c r="E1001" s="103"/>
      <c r="F1001" s="96"/>
      <c r="G1001" s="96"/>
      <c r="H1001" s="96"/>
      <c r="I1001" s="96"/>
      <c r="J1001" s="96"/>
      <c r="L1001" s="96"/>
      <c r="M1001" s="96"/>
      <c r="P1001" s="96"/>
      <c r="Q1001" s="96"/>
      <c r="R1001" s="96"/>
      <c r="S1001" s="96"/>
      <c r="T1001" s="96"/>
      <c r="U1001" s="96"/>
      <c r="V1001" s="96"/>
      <c r="W1001" s="96"/>
    </row>
    <row r="1002" spans="1:28" x14ac:dyDescent="0.3">
      <c r="A1002" s="96"/>
      <c r="B1002" s="96"/>
      <c r="C1002" s="96"/>
      <c r="D1002" s="96"/>
      <c r="E1002" s="103"/>
      <c r="F1002" s="96"/>
      <c r="G1002" s="96"/>
      <c r="H1002" s="96"/>
      <c r="I1002" s="96"/>
      <c r="J1002" s="96"/>
      <c r="L1002" s="96"/>
      <c r="M1002" s="96"/>
      <c r="P1002" s="96"/>
      <c r="Q1002" s="96"/>
      <c r="R1002" s="96"/>
      <c r="S1002" s="96"/>
      <c r="T1002" s="96"/>
      <c r="U1002" s="96"/>
      <c r="V1002" s="96"/>
      <c r="W1002" s="96"/>
    </row>
    <row r="1003" spans="1:28" x14ac:dyDescent="0.3">
      <c r="A1003" s="96"/>
      <c r="B1003" s="96"/>
      <c r="C1003" s="96"/>
      <c r="D1003" s="96"/>
      <c r="E1003" s="103"/>
      <c r="F1003" s="96"/>
      <c r="G1003" s="96"/>
      <c r="H1003" s="96"/>
      <c r="I1003" s="96"/>
      <c r="J1003" s="96"/>
      <c r="L1003" s="96"/>
      <c r="M1003" s="96"/>
      <c r="P1003" s="96"/>
      <c r="Q1003" s="96"/>
      <c r="R1003" s="96"/>
      <c r="S1003" s="96"/>
      <c r="T1003" s="96"/>
      <c r="U1003" s="96"/>
      <c r="V1003" s="96"/>
      <c r="W1003" s="96"/>
    </row>
    <row r="1004" spans="1:28" x14ac:dyDescent="0.3">
      <c r="A1004" s="96"/>
      <c r="B1004" s="96"/>
      <c r="C1004" s="96"/>
      <c r="D1004" s="96"/>
      <c r="E1004" s="103"/>
      <c r="F1004" s="96"/>
      <c r="G1004" s="96"/>
      <c r="H1004" s="96"/>
      <c r="I1004" s="96"/>
      <c r="J1004" s="96"/>
      <c r="L1004" s="96"/>
      <c r="M1004" s="96"/>
      <c r="P1004" s="96"/>
      <c r="Q1004" s="96"/>
      <c r="R1004" s="96"/>
      <c r="S1004" s="96"/>
      <c r="T1004" s="96"/>
      <c r="U1004" s="96"/>
      <c r="V1004" s="96"/>
      <c r="W1004" s="96"/>
    </row>
    <row r="1005" spans="1:28" x14ac:dyDescent="0.3">
      <c r="A1005" s="96"/>
      <c r="B1005" s="96"/>
      <c r="C1005" s="96"/>
      <c r="D1005" s="96"/>
      <c r="E1005" s="103"/>
      <c r="F1005" s="96"/>
      <c r="G1005" s="96"/>
      <c r="H1005" s="96"/>
      <c r="I1005" s="96"/>
      <c r="J1005" s="96"/>
      <c r="L1005" s="96"/>
      <c r="M1005" s="96"/>
      <c r="P1005" s="96"/>
      <c r="Q1005" s="96"/>
      <c r="R1005" s="96"/>
      <c r="S1005" s="96"/>
      <c r="T1005" s="96"/>
      <c r="U1005" s="96"/>
      <c r="V1005" s="96"/>
      <c r="W1005" s="96"/>
    </row>
    <row r="1006" spans="1:28" x14ac:dyDescent="0.3">
      <c r="A1006" s="96"/>
      <c r="B1006" s="96"/>
      <c r="C1006" s="96"/>
      <c r="D1006" s="96"/>
      <c r="E1006" s="103"/>
      <c r="F1006" s="96"/>
      <c r="G1006" s="96"/>
      <c r="H1006" s="96"/>
      <c r="I1006" s="96"/>
      <c r="J1006" s="96"/>
      <c r="L1006" s="96"/>
      <c r="M1006" s="96"/>
      <c r="P1006" s="96"/>
      <c r="Q1006" s="96"/>
      <c r="R1006" s="96"/>
      <c r="S1006" s="96"/>
      <c r="T1006" s="96"/>
      <c r="U1006" s="96"/>
      <c r="V1006" s="96"/>
      <c r="W1006" s="96"/>
    </row>
    <row r="1007" spans="1:28" x14ac:dyDescent="0.3">
      <c r="A1007" s="96"/>
      <c r="B1007" s="96"/>
      <c r="C1007" s="96"/>
      <c r="D1007" s="96"/>
      <c r="E1007" s="103"/>
      <c r="F1007" s="96"/>
      <c r="G1007" s="96"/>
      <c r="H1007" s="96"/>
      <c r="I1007" s="96"/>
      <c r="J1007" s="96"/>
      <c r="L1007" s="96"/>
      <c r="M1007" s="96"/>
      <c r="P1007" s="96"/>
      <c r="Q1007" s="96"/>
      <c r="R1007" s="96"/>
      <c r="S1007" s="96"/>
      <c r="T1007" s="96"/>
      <c r="U1007" s="96"/>
      <c r="V1007" s="96"/>
      <c r="W1007" s="96"/>
    </row>
    <row r="1008" spans="1:28" x14ac:dyDescent="0.3">
      <c r="A1008" s="96"/>
      <c r="B1008" s="96"/>
      <c r="C1008" s="96"/>
      <c r="D1008" s="96"/>
      <c r="E1008" s="103"/>
      <c r="F1008" s="96"/>
      <c r="G1008" s="96"/>
      <c r="H1008" s="96"/>
      <c r="I1008" s="96"/>
      <c r="J1008" s="96"/>
      <c r="L1008" s="96"/>
      <c r="M1008" s="96"/>
      <c r="P1008" s="96"/>
      <c r="Q1008" s="96"/>
      <c r="R1008" s="96"/>
      <c r="S1008" s="96"/>
      <c r="T1008" s="96"/>
      <c r="U1008" s="96"/>
      <c r="V1008" s="96"/>
      <c r="W1008" s="96"/>
    </row>
    <row r="1009" spans="1:28" x14ac:dyDescent="0.3">
      <c r="A1009" s="96"/>
      <c r="B1009" s="96"/>
      <c r="C1009" s="96"/>
      <c r="D1009" s="96"/>
      <c r="E1009" s="103"/>
      <c r="F1009" s="96"/>
      <c r="G1009" s="96"/>
      <c r="H1009" s="96"/>
      <c r="I1009" s="96"/>
      <c r="J1009" s="96"/>
      <c r="L1009" s="96"/>
      <c r="M1009" s="96"/>
      <c r="P1009" s="96"/>
      <c r="Q1009" s="96"/>
      <c r="R1009" s="96"/>
      <c r="S1009" s="96"/>
      <c r="T1009" s="96"/>
      <c r="U1009" s="96"/>
      <c r="V1009" s="96"/>
      <c r="W1009" s="96"/>
    </row>
    <row r="1010" spans="1:28" x14ac:dyDescent="0.3">
      <c r="A1010" s="96"/>
      <c r="B1010" s="96"/>
      <c r="C1010" s="96"/>
      <c r="D1010" s="96"/>
      <c r="E1010" s="103"/>
      <c r="F1010" s="96"/>
      <c r="G1010" s="96"/>
      <c r="H1010" s="96"/>
      <c r="I1010" s="96"/>
      <c r="J1010" s="96"/>
      <c r="L1010" s="96"/>
      <c r="M1010" s="96"/>
      <c r="P1010" s="96"/>
      <c r="Q1010" s="96"/>
      <c r="R1010" s="96"/>
      <c r="S1010" s="96"/>
      <c r="T1010" s="96"/>
      <c r="U1010" s="96"/>
      <c r="V1010" s="96"/>
      <c r="W1010" s="96"/>
    </row>
    <row r="1011" spans="1:28" x14ac:dyDescent="0.3">
      <c r="A1011" s="96"/>
      <c r="B1011" s="96"/>
      <c r="C1011" s="96"/>
      <c r="D1011" s="96"/>
      <c r="E1011" s="103"/>
      <c r="F1011" s="96"/>
      <c r="G1011" s="96"/>
      <c r="H1011" s="96"/>
      <c r="I1011" s="96"/>
      <c r="J1011" s="96"/>
      <c r="L1011" s="96"/>
      <c r="M1011" s="96"/>
      <c r="P1011" s="96"/>
      <c r="Q1011" s="96"/>
      <c r="R1011" s="96"/>
      <c r="S1011" s="96"/>
      <c r="T1011" s="96"/>
      <c r="U1011" s="96"/>
      <c r="V1011" s="96"/>
      <c r="W1011" s="96"/>
    </row>
    <row r="1012" spans="1:28" x14ac:dyDescent="0.3">
      <c r="A1012" s="96"/>
      <c r="B1012" s="96"/>
      <c r="C1012" s="96"/>
      <c r="D1012" s="96"/>
      <c r="E1012" s="103"/>
      <c r="F1012" s="96"/>
      <c r="G1012" s="96"/>
      <c r="H1012" s="96"/>
      <c r="I1012" s="96"/>
      <c r="J1012" s="96"/>
      <c r="L1012" s="96"/>
      <c r="M1012" s="96"/>
      <c r="P1012" s="96"/>
      <c r="Q1012" s="96"/>
      <c r="R1012" s="96"/>
      <c r="S1012" s="96"/>
      <c r="T1012" s="96"/>
      <c r="U1012" s="96"/>
      <c r="V1012" s="96"/>
      <c r="W1012" s="96"/>
    </row>
    <row r="1013" spans="1:28" x14ac:dyDescent="0.3">
      <c r="A1013" s="96"/>
      <c r="B1013" s="96"/>
      <c r="C1013" s="96"/>
      <c r="D1013" s="96"/>
      <c r="E1013" s="103"/>
      <c r="F1013" s="96"/>
      <c r="G1013" s="96"/>
      <c r="H1013" s="96"/>
      <c r="I1013" s="96"/>
      <c r="J1013" s="96"/>
      <c r="L1013" s="96"/>
      <c r="M1013" s="96"/>
      <c r="P1013" s="96"/>
      <c r="Q1013" s="96"/>
      <c r="R1013" s="96"/>
      <c r="S1013" s="96"/>
      <c r="T1013" s="96"/>
      <c r="U1013" s="96"/>
      <c r="V1013" s="96"/>
      <c r="W1013" s="96"/>
    </row>
    <row r="1014" spans="1:28" x14ac:dyDescent="0.3">
      <c r="A1014" s="96"/>
      <c r="B1014" s="96"/>
      <c r="C1014" s="96"/>
      <c r="D1014" s="96"/>
      <c r="E1014" s="103"/>
      <c r="F1014" s="96"/>
      <c r="G1014" s="96"/>
      <c r="H1014" s="96"/>
      <c r="I1014" s="96"/>
      <c r="J1014" s="96"/>
      <c r="L1014" s="96"/>
      <c r="M1014" s="96"/>
      <c r="P1014" s="96"/>
      <c r="Q1014" s="96"/>
      <c r="R1014" s="96"/>
      <c r="S1014" s="96"/>
      <c r="T1014" s="96"/>
      <c r="U1014" s="96"/>
      <c r="V1014" s="96"/>
      <c r="W1014" s="96"/>
    </row>
    <row r="1015" spans="1:28" x14ac:dyDescent="0.3">
      <c r="A1015" s="96"/>
      <c r="B1015" s="96"/>
      <c r="C1015" s="96"/>
      <c r="D1015" s="96"/>
      <c r="E1015" s="103"/>
      <c r="F1015" s="96"/>
      <c r="G1015" s="96"/>
      <c r="H1015" s="96"/>
      <c r="I1015" s="96"/>
      <c r="J1015" s="96"/>
      <c r="L1015" s="96"/>
      <c r="M1015" s="96"/>
      <c r="P1015" s="96"/>
      <c r="Q1015" s="96"/>
      <c r="R1015" s="96"/>
      <c r="S1015" s="96"/>
      <c r="T1015" s="96"/>
      <c r="U1015" s="96"/>
      <c r="V1015" s="96"/>
      <c r="W1015" s="96"/>
    </row>
    <row r="1016" spans="1:28" x14ac:dyDescent="0.3">
      <c r="A1016" s="96"/>
      <c r="B1016" s="96"/>
      <c r="C1016" s="96"/>
      <c r="D1016" s="96"/>
      <c r="E1016" s="103"/>
      <c r="F1016" s="96"/>
      <c r="G1016" s="96"/>
      <c r="H1016" s="96"/>
      <c r="I1016" s="96"/>
      <c r="J1016" s="96"/>
      <c r="L1016" s="96"/>
      <c r="M1016" s="96"/>
      <c r="P1016" s="96"/>
      <c r="Q1016" s="96"/>
      <c r="R1016" s="96"/>
      <c r="S1016" s="96"/>
      <c r="T1016" s="96"/>
      <c r="U1016" s="96"/>
      <c r="V1016" s="96"/>
      <c r="W1016" s="96"/>
    </row>
    <row r="1017" spans="1:28" x14ac:dyDescent="0.3">
      <c r="A1017" s="96"/>
      <c r="B1017" s="96"/>
      <c r="C1017" s="96"/>
      <c r="D1017" s="96"/>
      <c r="E1017" s="103"/>
      <c r="F1017" s="96"/>
      <c r="G1017" s="96"/>
      <c r="H1017" s="96"/>
      <c r="I1017" s="96"/>
      <c r="J1017" s="96"/>
      <c r="L1017" s="96"/>
      <c r="M1017" s="96"/>
      <c r="P1017" s="96"/>
      <c r="Q1017" s="96"/>
      <c r="R1017" s="96"/>
      <c r="S1017" s="96"/>
      <c r="T1017" s="96"/>
      <c r="U1017" s="96"/>
      <c r="V1017" s="96"/>
      <c r="W1017" s="96"/>
    </row>
    <row r="1018" spans="1:28" x14ac:dyDescent="0.3">
      <c r="A1018" s="96"/>
      <c r="B1018" s="96"/>
      <c r="C1018" s="96"/>
      <c r="D1018" s="96"/>
      <c r="E1018" s="103"/>
      <c r="F1018" s="96"/>
      <c r="G1018" s="96"/>
      <c r="H1018" s="96"/>
      <c r="I1018" s="96"/>
      <c r="J1018" s="96"/>
      <c r="L1018" s="96"/>
      <c r="M1018" s="96"/>
      <c r="P1018" s="96"/>
      <c r="Q1018" s="96"/>
      <c r="R1018" s="96"/>
      <c r="S1018" s="96"/>
      <c r="T1018" s="96"/>
      <c r="U1018" s="96"/>
      <c r="V1018" s="96"/>
      <c r="W1018" s="96"/>
    </row>
    <row r="1019" spans="1:28" x14ac:dyDescent="0.3">
      <c r="A1019" s="96"/>
      <c r="B1019" s="96"/>
      <c r="C1019" s="96"/>
      <c r="D1019" s="96"/>
      <c r="E1019" s="103"/>
      <c r="F1019" s="96"/>
      <c r="G1019" s="96"/>
      <c r="H1019" s="96"/>
      <c r="I1019" s="96"/>
      <c r="J1019" s="96"/>
      <c r="L1019" s="96"/>
      <c r="M1019" s="96"/>
      <c r="P1019" s="96"/>
      <c r="Q1019" s="96"/>
      <c r="R1019" s="96"/>
      <c r="S1019" s="96"/>
      <c r="T1019" s="96"/>
      <c r="U1019" s="96"/>
      <c r="V1019" s="96"/>
      <c r="W1019" s="96"/>
    </row>
    <row r="1020" spans="1:28" x14ac:dyDescent="0.3">
      <c r="A1020" s="96"/>
      <c r="B1020" s="96"/>
      <c r="C1020" s="96"/>
      <c r="D1020" s="96"/>
      <c r="E1020" s="103"/>
      <c r="F1020" s="96"/>
      <c r="G1020" s="96"/>
      <c r="H1020" s="96"/>
      <c r="I1020" s="96"/>
      <c r="J1020" s="96"/>
      <c r="L1020" s="96"/>
      <c r="M1020" s="96"/>
      <c r="P1020" s="96"/>
      <c r="Q1020" s="96"/>
      <c r="R1020" s="96"/>
      <c r="S1020" s="96"/>
      <c r="T1020" s="96"/>
      <c r="U1020" s="96"/>
      <c r="V1020" s="96"/>
      <c r="W1020" s="96"/>
      <c r="AA1020" s="96"/>
      <c r="AB1020" s="96"/>
    </row>
    <row r="1021" spans="1:28" x14ac:dyDescent="0.3">
      <c r="A1021" s="96"/>
      <c r="B1021" s="96"/>
      <c r="C1021" s="96"/>
      <c r="D1021" s="96"/>
      <c r="E1021" s="103"/>
      <c r="F1021" s="96"/>
      <c r="G1021" s="96"/>
      <c r="H1021" s="96"/>
      <c r="I1021" s="96"/>
      <c r="J1021" s="96"/>
      <c r="L1021" s="96"/>
      <c r="M1021" s="96"/>
      <c r="P1021" s="96"/>
      <c r="Q1021" s="96"/>
      <c r="R1021" s="96"/>
      <c r="S1021" s="96"/>
      <c r="T1021" s="96"/>
      <c r="U1021" s="96"/>
      <c r="V1021" s="96"/>
      <c r="W1021" s="96"/>
      <c r="AA1021" s="104"/>
      <c r="AB1021" s="104"/>
    </row>
    <row r="1022" spans="1:28" x14ac:dyDescent="0.3">
      <c r="A1022" s="96"/>
      <c r="B1022" s="96"/>
      <c r="C1022" s="96"/>
      <c r="D1022" s="96"/>
      <c r="E1022" s="103"/>
      <c r="F1022" s="96"/>
      <c r="G1022" s="96"/>
      <c r="H1022" s="96"/>
      <c r="I1022" s="96"/>
      <c r="J1022" s="96"/>
      <c r="L1022" s="96"/>
      <c r="M1022" s="96"/>
      <c r="P1022" s="96"/>
      <c r="Q1022" s="96"/>
      <c r="R1022" s="96"/>
      <c r="S1022" s="96"/>
      <c r="T1022" s="96"/>
      <c r="U1022" s="96"/>
      <c r="V1022" s="96"/>
      <c r="W1022" s="96"/>
      <c r="AA1022" s="96"/>
      <c r="AB1022" s="96"/>
    </row>
    <row r="1023" spans="1:28" x14ac:dyDescent="0.3">
      <c r="A1023" s="96"/>
      <c r="B1023" s="96"/>
      <c r="C1023" s="96"/>
      <c r="D1023" s="96"/>
      <c r="E1023" s="103"/>
      <c r="F1023" s="96"/>
      <c r="G1023" s="96"/>
      <c r="H1023" s="96"/>
      <c r="I1023" s="96"/>
      <c r="J1023" s="96"/>
      <c r="L1023" s="96"/>
      <c r="M1023" s="96"/>
      <c r="P1023" s="96"/>
      <c r="Q1023" s="96"/>
      <c r="R1023" s="96"/>
      <c r="S1023" s="96"/>
      <c r="T1023" s="96"/>
      <c r="U1023" s="96"/>
      <c r="V1023" s="96"/>
      <c r="W1023" s="96"/>
      <c r="AA1023" s="96"/>
      <c r="AB1023" s="96"/>
    </row>
    <row r="1024" spans="1:28" x14ac:dyDescent="0.3">
      <c r="A1024" s="96"/>
      <c r="B1024" s="96"/>
      <c r="C1024" s="96"/>
      <c r="D1024" s="96"/>
      <c r="E1024" s="103"/>
      <c r="F1024" s="96"/>
      <c r="G1024" s="96"/>
      <c r="H1024" s="96"/>
      <c r="I1024" s="96"/>
      <c r="J1024" s="96"/>
      <c r="L1024" s="96"/>
      <c r="M1024" s="96"/>
      <c r="P1024" s="96"/>
      <c r="Q1024" s="96"/>
      <c r="R1024" s="96"/>
      <c r="S1024" s="96"/>
      <c r="T1024" s="96"/>
      <c r="U1024" s="96"/>
      <c r="V1024" s="96"/>
      <c r="W1024" s="96"/>
    </row>
    <row r="1025" spans="1:23" x14ac:dyDescent="0.3">
      <c r="A1025" s="96"/>
      <c r="B1025" s="96"/>
      <c r="C1025" s="96"/>
      <c r="D1025" s="96"/>
      <c r="E1025" s="103"/>
      <c r="F1025" s="96"/>
      <c r="G1025" s="96"/>
      <c r="H1025" s="96"/>
      <c r="I1025" s="96"/>
      <c r="J1025" s="96"/>
      <c r="L1025" s="96"/>
      <c r="M1025" s="96"/>
      <c r="P1025" s="96"/>
      <c r="Q1025" s="96"/>
      <c r="R1025" s="96"/>
      <c r="S1025" s="96"/>
      <c r="T1025" s="96"/>
      <c r="U1025" s="96"/>
      <c r="V1025" s="96"/>
      <c r="W1025" s="96"/>
    </row>
    <row r="1026" spans="1:23" x14ac:dyDescent="0.3">
      <c r="A1026" s="96"/>
      <c r="B1026" s="96"/>
      <c r="C1026" s="96"/>
      <c r="D1026" s="96"/>
      <c r="E1026" s="103"/>
      <c r="F1026" s="96"/>
      <c r="G1026" s="96"/>
      <c r="H1026" s="96"/>
      <c r="I1026" s="96"/>
      <c r="J1026" s="96"/>
      <c r="L1026" s="96"/>
      <c r="M1026" s="96"/>
      <c r="P1026" s="96"/>
      <c r="Q1026" s="96"/>
      <c r="R1026" s="96"/>
      <c r="S1026" s="96"/>
      <c r="T1026" s="96"/>
      <c r="U1026" s="96"/>
      <c r="V1026" s="96"/>
      <c r="W1026" s="96"/>
    </row>
    <row r="1027" spans="1:23" x14ac:dyDescent="0.3">
      <c r="A1027" s="96"/>
      <c r="B1027" s="96"/>
      <c r="C1027" s="96"/>
      <c r="D1027" s="96"/>
      <c r="E1027" s="103"/>
      <c r="F1027" s="96"/>
      <c r="G1027" s="96"/>
      <c r="H1027" s="96"/>
      <c r="I1027" s="96"/>
      <c r="J1027" s="96"/>
      <c r="L1027" s="96"/>
      <c r="M1027" s="96"/>
      <c r="P1027" s="96"/>
      <c r="Q1027" s="96"/>
      <c r="R1027" s="96"/>
      <c r="S1027" s="96"/>
      <c r="T1027" s="96"/>
      <c r="U1027" s="96"/>
      <c r="V1027" s="96"/>
      <c r="W1027" s="96"/>
    </row>
    <row r="1028" spans="1:23" x14ac:dyDescent="0.3">
      <c r="A1028" s="96"/>
      <c r="B1028" s="96"/>
      <c r="C1028" s="96"/>
      <c r="D1028" s="96"/>
      <c r="E1028" s="103"/>
      <c r="F1028" s="96"/>
      <c r="G1028" s="96"/>
      <c r="H1028" s="96"/>
      <c r="I1028" s="96"/>
      <c r="J1028" s="96"/>
      <c r="L1028" s="96"/>
      <c r="M1028" s="96"/>
      <c r="P1028" s="96"/>
      <c r="Q1028" s="96"/>
      <c r="R1028" s="96"/>
      <c r="S1028" s="96"/>
      <c r="T1028" s="96"/>
      <c r="U1028" s="96"/>
      <c r="V1028" s="96"/>
      <c r="W1028" s="96"/>
    </row>
    <row r="1029" spans="1:23" x14ac:dyDescent="0.3">
      <c r="A1029" s="96"/>
      <c r="B1029" s="96"/>
      <c r="C1029" s="96"/>
      <c r="D1029" s="96"/>
      <c r="E1029" s="103"/>
      <c r="F1029" s="96"/>
      <c r="G1029" s="96"/>
      <c r="H1029" s="96"/>
      <c r="I1029" s="96"/>
      <c r="J1029" s="96"/>
      <c r="L1029" s="96"/>
      <c r="M1029" s="96"/>
      <c r="P1029" s="96"/>
      <c r="Q1029" s="96"/>
      <c r="R1029" s="96"/>
      <c r="S1029" s="96"/>
      <c r="T1029" s="96"/>
      <c r="U1029" s="96"/>
      <c r="V1029" s="96"/>
      <c r="W1029" s="96"/>
    </row>
    <row r="1030" spans="1:23" x14ac:dyDescent="0.3">
      <c r="A1030" s="96"/>
      <c r="B1030" s="96"/>
      <c r="C1030" s="96"/>
      <c r="D1030" s="96"/>
      <c r="E1030" s="103"/>
      <c r="F1030" s="96"/>
      <c r="G1030" s="96"/>
      <c r="H1030" s="96"/>
      <c r="I1030" s="96"/>
      <c r="J1030" s="96"/>
      <c r="L1030" s="96"/>
      <c r="M1030" s="96"/>
      <c r="P1030" s="96"/>
      <c r="Q1030" s="96"/>
      <c r="R1030" s="96"/>
      <c r="S1030" s="96"/>
      <c r="T1030" s="96"/>
      <c r="U1030" s="96"/>
      <c r="V1030" s="96"/>
      <c r="W1030" s="96"/>
    </row>
    <row r="1031" spans="1:23" x14ac:dyDescent="0.3">
      <c r="A1031" s="96"/>
      <c r="B1031" s="96"/>
      <c r="C1031" s="96"/>
      <c r="D1031" s="96"/>
      <c r="E1031" s="103"/>
      <c r="F1031" s="96"/>
      <c r="G1031" s="96"/>
      <c r="H1031" s="96"/>
      <c r="I1031" s="96"/>
      <c r="J1031" s="96"/>
      <c r="L1031" s="96"/>
      <c r="M1031" s="96"/>
      <c r="P1031" s="96"/>
      <c r="Q1031" s="96"/>
      <c r="R1031" s="96"/>
      <c r="S1031" s="96"/>
      <c r="T1031" s="96"/>
      <c r="U1031" s="96"/>
      <c r="V1031" s="96"/>
      <c r="W1031" s="96"/>
    </row>
    <row r="1032" spans="1:23" x14ac:dyDescent="0.3">
      <c r="A1032" s="96"/>
      <c r="B1032" s="96"/>
      <c r="C1032" s="96"/>
      <c r="D1032" s="96"/>
      <c r="E1032" s="103"/>
      <c r="F1032" s="96"/>
      <c r="G1032" s="96"/>
      <c r="H1032" s="96"/>
      <c r="I1032" s="96"/>
      <c r="J1032" s="96"/>
      <c r="L1032" s="96"/>
      <c r="M1032" s="96"/>
      <c r="P1032" s="96"/>
      <c r="Q1032" s="96"/>
      <c r="R1032" s="96"/>
      <c r="S1032" s="96"/>
      <c r="T1032" s="96"/>
      <c r="U1032" s="96"/>
      <c r="V1032" s="96"/>
      <c r="W1032" s="96"/>
    </row>
    <row r="1033" spans="1:23" x14ac:dyDescent="0.3">
      <c r="A1033" s="96"/>
      <c r="B1033" s="96"/>
      <c r="C1033" s="96"/>
      <c r="D1033" s="96"/>
      <c r="E1033" s="103"/>
      <c r="F1033" s="96"/>
      <c r="G1033" s="96"/>
      <c r="H1033" s="96"/>
      <c r="I1033" s="96"/>
      <c r="J1033" s="96"/>
      <c r="L1033" s="96"/>
      <c r="M1033" s="96"/>
      <c r="P1033" s="96"/>
      <c r="Q1033" s="96"/>
      <c r="R1033" s="96"/>
      <c r="S1033" s="96"/>
      <c r="T1033" s="96"/>
      <c r="U1033" s="96"/>
      <c r="V1033" s="96"/>
      <c r="W1033" s="96"/>
    </row>
    <row r="1034" spans="1:23" x14ac:dyDescent="0.3">
      <c r="A1034" s="96"/>
      <c r="B1034" s="96"/>
      <c r="C1034" s="96"/>
      <c r="D1034" s="96"/>
      <c r="E1034" s="103"/>
      <c r="F1034" s="96"/>
      <c r="G1034" s="96"/>
      <c r="H1034" s="96"/>
      <c r="I1034" s="96"/>
      <c r="J1034" s="96"/>
      <c r="L1034" s="96"/>
      <c r="M1034" s="96"/>
      <c r="P1034" s="96"/>
      <c r="Q1034" s="96"/>
      <c r="R1034" s="96"/>
      <c r="S1034" s="96"/>
      <c r="T1034" s="96"/>
      <c r="U1034" s="96"/>
      <c r="V1034" s="96"/>
      <c r="W1034" s="96"/>
    </row>
    <row r="1035" spans="1:23" x14ac:dyDescent="0.3">
      <c r="A1035" s="96"/>
      <c r="B1035" s="96"/>
      <c r="C1035" s="96"/>
      <c r="D1035" s="96"/>
      <c r="E1035" s="103"/>
      <c r="F1035" s="96"/>
      <c r="G1035" s="96"/>
      <c r="H1035" s="96"/>
      <c r="I1035" s="96"/>
      <c r="J1035" s="96"/>
      <c r="L1035" s="96"/>
      <c r="M1035" s="96"/>
      <c r="P1035" s="96"/>
      <c r="Q1035" s="96"/>
      <c r="R1035" s="96"/>
      <c r="S1035" s="96"/>
      <c r="T1035" s="96"/>
      <c r="U1035" s="96"/>
      <c r="V1035" s="96"/>
      <c r="W1035" s="96"/>
    </row>
    <row r="1036" spans="1:23" x14ac:dyDescent="0.3">
      <c r="A1036" s="96"/>
      <c r="B1036" s="96"/>
      <c r="C1036" s="96"/>
      <c r="D1036" s="96"/>
      <c r="E1036" s="103"/>
      <c r="F1036" s="96"/>
      <c r="G1036" s="96"/>
      <c r="H1036" s="96"/>
      <c r="I1036" s="96"/>
      <c r="J1036" s="96"/>
      <c r="L1036" s="96"/>
      <c r="M1036" s="96"/>
      <c r="P1036" s="96"/>
      <c r="Q1036" s="96"/>
      <c r="R1036" s="96"/>
      <c r="S1036" s="96"/>
      <c r="T1036" s="96"/>
      <c r="U1036" s="96"/>
      <c r="V1036" s="96"/>
      <c r="W1036" s="96"/>
    </row>
    <row r="1037" spans="1:23" x14ac:dyDescent="0.3">
      <c r="A1037" s="96"/>
      <c r="B1037" s="96"/>
      <c r="C1037" s="96"/>
      <c r="D1037" s="96"/>
      <c r="E1037" s="103"/>
      <c r="F1037" s="96"/>
      <c r="G1037" s="96"/>
      <c r="H1037" s="96"/>
      <c r="I1037" s="96"/>
      <c r="J1037" s="96"/>
      <c r="L1037" s="96"/>
      <c r="M1037" s="96"/>
      <c r="P1037" s="96"/>
      <c r="Q1037" s="96"/>
      <c r="R1037" s="96"/>
      <c r="S1037" s="96"/>
      <c r="T1037" s="96"/>
      <c r="U1037" s="96"/>
      <c r="V1037" s="96"/>
      <c r="W1037" s="96"/>
    </row>
    <row r="1038" spans="1:23" x14ac:dyDescent="0.3">
      <c r="A1038" s="96"/>
      <c r="B1038" s="96"/>
      <c r="C1038" s="96"/>
      <c r="D1038" s="96"/>
      <c r="E1038" s="103"/>
      <c r="F1038" s="96"/>
      <c r="G1038" s="96"/>
      <c r="H1038" s="96"/>
      <c r="I1038" s="96"/>
      <c r="J1038" s="96"/>
      <c r="L1038" s="96"/>
      <c r="M1038" s="96"/>
      <c r="P1038" s="96"/>
      <c r="Q1038" s="96"/>
      <c r="R1038" s="96"/>
      <c r="S1038" s="96"/>
      <c r="T1038" s="96"/>
      <c r="U1038" s="96"/>
      <c r="V1038" s="96"/>
      <c r="W1038" s="96"/>
    </row>
    <row r="1039" spans="1:23" x14ac:dyDescent="0.3">
      <c r="A1039" s="96"/>
      <c r="B1039" s="96"/>
      <c r="C1039" s="96"/>
      <c r="D1039" s="96"/>
      <c r="E1039" s="103"/>
      <c r="F1039" s="96"/>
      <c r="G1039" s="96"/>
      <c r="H1039" s="96"/>
      <c r="I1039" s="96"/>
      <c r="J1039" s="96"/>
      <c r="L1039" s="96"/>
      <c r="M1039" s="96"/>
      <c r="P1039" s="96"/>
      <c r="Q1039" s="96"/>
      <c r="R1039" s="96"/>
      <c r="S1039" s="96"/>
      <c r="T1039" s="96"/>
      <c r="U1039" s="96"/>
      <c r="V1039" s="96"/>
      <c r="W1039" s="96"/>
    </row>
    <row r="1040" spans="1:23" x14ac:dyDescent="0.3">
      <c r="A1040" s="96"/>
      <c r="B1040" s="96"/>
      <c r="C1040" s="96"/>
      <c r="D1040" s="96"/>
      <c r="E1040" s="103"/>
      <c r="F1040" s="96"/>
      <c r="G1040" s="96"/>
      <c r="H1040" s="96"/>
      <c r="I1040" s="96"/>
      <c r="J1040" s="96"/>
      <c r="L1040" s="96"/>
      <c r="M1040" s="96"/>
      <c r="P1040" s="96"/>
      <c r="Q1040" s="96"/>
      <c r="R1040" s="96"/>
      <c r="S1040" s="96"/>
      <c r="T1040" s="96"/>
      <c r="U1040" s="96"/>
      <c r="V1040" s="96"/>
      <c r="W1040" s="96"/>
    </row>
    <row r="1041" spans="1:28" x14ac:dyDescent="0.3">
      <c r="A1041" s="96"/>
      <c r="B1041" s="96"/>
      <c r="C1041" s="96"/>
      <c r="D1041" s="96"/>
      <c r="E1041" s="103"/>
      <c r="F1041" s="96"/>
      <c r="G1041" s="96"/>
      <c r="H1041" s="96"/>
      <c r="I1041" s="96"/>
      <c r="J1041" s="96"/>
      <c r="L1041" s="96"/>
      <c r="M1041" s="96"/>
      <c r="P1041" s="96"/>
      <c r="Q1041" s="96"/>
      <c r="R1041" s="96"/>
      <c r="S1041" s="96"/>
      <c r="T1041" s="96"/>
      <c r="U1041" s="96"/>
      <c r="V1041" s="96"/>
      <c r="W1041" s="96"/>
    </row>
    <row r="1042" spans="1:28" x14ac:dyDescent="0.3">
      <c r="A1042" s="96"/>
      <c r="B1042" s="96"/>
      <c r="C1042" s="96"/>
      <c r="D1042" s="96"/>
      <c r="E1042" s="103"/>
      <c r="F1042" s="96"/>
      <c r="G1042" s="96"/>
      <c r="H1042" s="96"/>
      <c r="I1042" s="96"/>
      <c r="J1042" s="96"/>
      <c r="L1042" s="96"/>
      <c r="M1042" s="96"/>
      <c r="P1042" s="96"/>
      <c r="Q1042" s="96"/>
      <c r="R1042" s="96"/>
      <c r="S1042" s="96"/>
      <c r="T1042" s="96"/>
      <c r="U1042" s="96"/>
      <c r="V1042" s="96"/>
      <c r="W1042" s="96"/>
    </row>
    <row r="1043" spans="1:28" x14ac:dyDescent="0.3">
      <c r="A1043" s="96"/>
      <c r="B1043" s="96"/>
      <c r="C1043" s="96"/>
      <c r="D1043" s="96"/>
      <c r="E1043" s="103"/>
      <c r="F1043" s="96"/>
      <c r="G1043" s="96"/>
      <c r="H1043" s="96"/>
      <c r="I1043" s="96"/>
      <c r="J1043" s="96"/>
      <c r="L1043" s="96"/>
      <c r="M1043" s="96"/>
      <c r="P1043" s="96"/>
      <c r="Q1043" s="96"/>
      <c r="R1043" s="96"/>
      <c r="S1043" s="96"/>
      <c r="T1043" s="96"/>
      <c r="U1043" s="96"/>
      <c r="V1043" s="96"/>
      <c r="W1043" s="96"/>
    </row>
    <row r="1044" spans="1:28" x14ac:dyDescent="0.3">
      <c r="A1044" s="96"/>
      <c r="B1044" s="96"/>
      <c r="C1044" s="96"/>
      <c r="D1044" s="96"/>
      <c r="E1044" s="103"/>
      <c r="F1044" s="96"/>
      <c r="G1044" s="96"/>
      <c r="H1044" s="96"/>
      <c r="I1044" s="96"/>
      <c r="J1044" s="96"/>
      <c r="L1044" s="96"/>
      <c r="M1044" s="96"/>
      <c r="P1044" s="96"/>
      <c r="Q1044" s="96"/>
      <c r="R1044" s="96"/>
      <c r="S1044" s="96"/>
      <c r="T1044" s="96"/>
      <c r="U1044" s="96"/>
      <c r="V1044" s="96"/>
      <c r="W1044" s="96"/>
    </row>
    <row r="1045" spans="1:28" x14ac:dyDescent="0.3">
      <c r="A1045" s="96"/>
      <c r="B1045" s="96"/>
      <c r="C1045" s="96"/>
      <c r="D1045" s="96"/>
      <c r="E1045" s="103"/>
      <c r="F1045" s="96"/>
      <c r="G1045" s="96"/>
      <c r="H1045" s="96"/>
      <c r="I1045" s="96"/>
      <c r="J1045" s="96"/>
      <c r="L1045" s="96"/>
      <c r="M1045" s="96"/>
      <c r="P1045" s="96"/>
      <c r="Q1045" s="96"/>
      <c r="R1045" s="96"/>
      <c r="S1045" s="96"/>
      <c r="T1045" s="96"/>
      <c r="U1045" s="96"/>
      <c r="V1045" s="96"/>
      <c r="W1045" s="96"/>
    </row>
    <row r="1046" spans="1:28" x14ac:dyDescent="0.3">
      <c r="A1046" s="96"/>
      <c r="B1046" s="96"/>
      <c r="C1046" s="96"/>
      <c r="D1046" s="96"/>
      <c r="E1046" s="103"/>
      <c r="F1046" s="96"/>
      <c r="G1046" s="96"/>
      <c r="H1046" s="96"/>
      <c r="I1046" s="96"/>
      <c r="J1046" s="96"/>
      <c r="L1046" s="96"/>
      <c r="M1046" s="96"/>
      <c r="P1046" s="96"/>
      <c r="Q1046" s="96"/>
      <c r="R1046" s="96"/>
      <c r="S1046" s="96"/>
      <c r="T1046" s="96"/>
      <c r="U1046" s="96"/>
      <c r="V1046" s="96"/>
      <c r="W1046" s="96"/>
    </row>
    <row r="1047" spans="1:28" x14ac:dyDescent="0.3">
      <c r="A1047" s="96"/>
      <c r="B1047" s="96"/>
      <c r="C1047" s="96"/>
      <c r="D1047" s="96"/>
      <c r="E1047" s="103"/>
      <c r="F1047" s="96"/>
      <c r="G1047" s="96"/>
      <c r="H1047" s="96"/>
      <c r="I1047" s="96"/>
      <c r="J1047" s="96"/>
      <c r="L1047" s="96"/>
      <c r="M1047" s="96"/>
      <c r="P1047" s="96"/>
      <c r="Q1047" s="96"/>
      <c r="R1047" s="96"/>
      <c r="S1047" s="96"/>
      <c r="T1047" s="96"/>
      <c r="U1047" s="96"/>
      <c r="V1047" s="96"/>
      <c r="W1047" s="96"/>
    </row>
    <row r="1048" spans="1:28" x14ac:dyDescent="0.3">
      <c r="A1048" s="96"/>
      <c r="B1048" s="96"/>
      <c r="C1048" s="96"/>
      <c r="D1048" s="96"/>
      <c r="E1048" s="103"/>
      <c r="F1048" s="96"/>
      <c r="G1048" s="96"/>
      <c r="H1048" s="96"/>
      <c r="I1048" s="96"/>
      <c r="J1048" s="96"/>
      <c r="L1048" s="96"/>
      <c r="M1048" s="96"/>
      <c r="P1048" s="96"/>
      <c r="Q1048" s="96"/>
      <c r="R1048" s="96"/>
      <c r="S1048" s="96"/>
      <c r="T1048" s="96"/>
      <c r="U1048" s="96"/>
      <c r="V1048" s="96"/>
      <c r="W1048" s="96"/>
      <c r="AA1048" s="96"/>
      <c r="AB1048" s="96"/>
    </row>
    <row r="1049" spans="1:28" x14ac:dyDescent="0.3">
      <c r="A1049" s="96"/>
      <c r="B1049" s="96"/>
      <c r="C1049" s="96"/>
      <c r="D1049" s="96"/>
      <c r="E1049" s="103"/>
      <c r="F1049" s="96"/>
      <c r="G1049" s="96"/>
      <c r="H1049" s="96"/>
      <c r="I1049" s="96"/>
      <c r="J1049" s="96"/>
      <c r="L1049" s="96"/>
      <c r="M1049" s="96"/>
      <c r="P1049" s="96"/>
      <c r="Q1049" s="96"/>
      <c r="R1049" s="96"/>
      <c r="S1049" s="96"/>
      <c r="T1049" s="96"/>
      <c r="U1049" s="96"/>
      <c r="V1049" s="96"/>
      <c r="W1049" s="96"/>
      <c r="AA1049" s="104"/>
      <c r="AB1049" s="104"/>
    </row>
    <row r="1050" spans="1:28" x14ac:dyDescent="0.3">
      <c r="A1050" s="96"/>
      <c r="B1050" s="96"/>
      <c r="C1050" s="96"/>
      <c r="D1050" s="96"/>
      <c r="E1050" s="103"/>
      <c r="F1050" s="96"/>
      <c r="G1050" s="96"/>
      <c r="H1050" s="96"/>
      <c r="I1050" s="96"/>
      <c r="J1050" s="96"/>
      <c r="L1050" s="96"/>
      <c r="M1050" s="96"/>
      <c r="P1050" s="96"/>
      <c r="Q1050" s="96"/>
      <c r="R1050" s="96"/>
      <c r="S1050" s="96"/>
      <c r="T1050" s="96"/>
      <c r="U1050" s="96"/>
      <c r="V1050" s="96"/>
      <c r="W1050" s="96"/>
      <c r="AA1050" s="96"/>
      <c r="AB1050" s="96"/>
    </row>
    <row r="1051" spans="1:28" x14ac:dyDescent="0.3">
      <c r="A1051" s="96"/>
      <c r="B1051" s="96"/>
      <c r="C1051" s="96"/>
      <c r="D1051" s="96"/>
      <c r="E1051" s="103"/>
      <c r="F1051" s="96"/>
      <c r="G1051" s="96"/>
      <c r="H1051" s="96"/>
      <c r="I1051" s="96"/>
      <c r="J1051" s="96"/>
      <c r="L1051" s="96"/>
      <c r="M1051" s="96"/>
      <c r="P1051" s="96"/>
      <c r="Q1051" s="96"/>
      <c r="R1051" s="96"/>
      <c r="S1051" s="96"/>
      <c r="T1051" s="96"/>
      <c r="U1051" s="96"/>
      <c r="V1051" s="96"/>
      <c r="W1051" s="96"/>
      <c r="AA1051" s="96"/>
      <c r="AB1051" s="96"/>
    </row>
    <row r="1052" spans="1:28" x14ac:dyDescent="0.3">
      <c r="A1052" s="96"/>
      <c r="B1052" s="96"/>
      <c r="C1052" s="96"/>
      <c r="D1052" s="96"/>
      <c r="E1052" s="103"/>
      <c r="F1052" s="96"/>
      <c r="G1052" s="96"/>
      <c r="H1052" s="96"/>
      <c r="I1052" s="96"/>
      <c r="J1052" s="96"/>
      <c r="L1052" s="96"/>
      <c r="M1052" s="96"/>
      <c r="P1052" s="96"/>
      <c r="Q1052" s="96"/>
      <c r="R1052" s="96"/>
      <c r="S1052" s="96"/>
      <c r="T1052" s="96"/>
      <c r="U1052" s="96"/>
      <c r="V1052" s="96"/>
      <c r="W1052" s="96"/>
    </row>
    <row r="1053" spans="1:28" x14ac:dyDescent="0.3">
      <c r="A1053" s="96"/>
      <c r="B1053" s="96"/>
      <c r="C1053" s="96"/>
      <c r="D1053" s="96"/>
      <c r="E1053" s="103"/>
      <c r="F1053" s="96"/>
      <c r="G1053" s="96"/>
      <c r="H1053" s="96"/>
      <c r="I1053" s="96"/>
      <c r="J1053" s="96"/>
      <c r="L1053" s="96"/>
      <c r="M1053" s="96"/>
      <c r="P1053" s="96"/>
      <c r="Q1053" s="96"/>
      <c r="R1053" s="96"/>
      <c r="S1053" s="96"/>
      <c r="T1053" s="96"/>
      <c r="U1053" s="96"/>
      <c r="V1053" s="96"/>
      <c r="W1053" s="96"/>
    </row>
    <row r="1054" spans="1:28" x14ac:dyDescent="0.3">
      <c r="A1054" s="96"/>
      <c r="B1054" s="96"/>
      <c r="C1054" s="96"/>
      <c r="D1054" s="96"/>
      <c r="E1054" s="103"/>
      <c r="F1054" s="96"/>
      <c r="G1054" s="96"/>
      <c r="H1054" s="96"/>
      <c r="I1054" s="96"/>
      <c r="J1054" s="96"/>
      <c r="L1054" s="96"/>
      <c r="M1054" s="96"/>
      <c r="P1054" s="96"/>
      <c r="Q1054" s="96"/>
      <c r="R1054" s="96"/>
      <c r="S1054" s="96"/>
      <c r="T1054" s="96"/>
      <c r="U1054" s="96"/>
      <c r="V1054" s="96"/>
      <c r="W1054" s="96"/>
    </row>
    <row r="1055" spans="1:28" x14ac:dyDescent="0.3">
      <c r="A1055" s="96"/>
      <c r="B1055" s="96"/>
      <c r="C1055" s="96"/>
      <c r="D1055" s="96"/>
      <c r="E1055" s="103"/>
      <c r="F1055" s="96"/>
      <c r="G1055" s="96"/>
      <c r="H1055" s="96"/>
      <c r="I1055" s="96"/>
      <c r="J1055" s="96"/>
      <c r="L1055" s="96"/>
      <c r="M1055" s="96"/>
      <c r="P1055" s="96"/>
      <c r="Q1055" s="96"/>
      <c r="R1055" s="96"/>
      <c r="S1055" s="96"/>
      <c r="T1055" s="96"/>
      <c r="U1055" s="96"/>
      <c r="V1055" s="96"/>
      <c r="W1055" s="96"/>
    </row>
    <row r="1056" spans="1:28" x14ac:dyDescent="0.3">
      <c r="A1056" s="96"/>
      <c r="B1056" s="96"/>
      <c r="C1056" s="96"/>
      <c r="D1056" s="96"/>
      <c r="E1056" s="103"/>
      <c r="F1056" s="96"/>
      <c r="G1056" s="96"/>
      <c r="H1056" s="96"/>
      <c r="I1056" s="96"/>
      <c r="J1056" s="96"/>
      <c r="L1056" s="96"/>
      <c r="M1056" s="96"/>
      <c r="P1056" s="96"/>
      <c r="Q1056" s="96"/>
      <c r="R1056" s="96"/>
      <c r="S1056" s="96"/>
      <c r="T1056" s="96"/>
      <c r="U1056" s="96"/>
      <c r="V1056" s="96"/>
      <c r="W1056" s="96"/>
    </row>
    <row r="1057" spans="1:23" x14ac:dyDescent="0.3">
      <c r="A1057" s="96"/>
      <c r="B1057" s="96"/>
      <c r="C1057" s="96"/>
      <c r="D1057" s="96"/>
      <c r="E1057" s="103"/>
      <c r="F1057" s="96"/>
      <c r="G1057" s="96"/>
      <c r="H1057" s="96"/>
      <c r="I1057" s="96"/>
      <c r="J1057" s="96"/>
      <c r="L1057" s="96"/>
      <c r="M1057" s="96"/>
      <c r="P1057" s="96"/>
      <c r="Q1057" s="96"/>
      <c r="R1057" s="96"/>
      <c r="S1057" s="96"/>
      <c r="T1057" s="96"/>
      <c r="U1057" s="96"/>
      <c r="V1057" s="96"/>
      <c r="W1057" s="96"/>
    </row>
    <row r="1058" spans="1:23" x14ac:dyDescent="0.3">
      <c r="A1058" s="96"/>
      <c r="B1058" s="96"/>
      <c r="C1058" s="96"/>
      <c r="D1058" s="96"/>
      <c r="E1058" s="103"/>
      <c r="F1058" s="96"/>
      <c r="G1058" s="96"/>
      <c r="H1058" s="96"/>
      <c r="I1058" s="96"/>
      <c r="J1058" s="96"/>
      <c r="L1058" s="96"/>
      <c r="M1058" s="96"/>
      <c r="P1058" s="96"/>
      <c r="Q1058" s="96"/>
      <c r="R1058" s="96"/>
      <c r="S1058" s="96"/>
      <c r="T1058" s="96"/>
      <c r="U1058" s="96"/>
      <c r="V1058" s="96"/>
      <c r="W1058" s="96"/>
    </row>
    <row r="1059" spans="1:23" x14ac:dyDescent="0.3">
      <c r="A1059" s="96"/>
      <c r="B1059" s="96"/>
      <c r="C1059" s="96"/>
      <c r="D1059" s="96"/>
      <c r="E1059" s="103"/>
      <c r="F1059" s="96"/>
      <c r="G1059" s="96"/>
      <c r="H1059" s="96"/>
      <c r="I1059" s="96"/>
      <c r="J1059" s="96"/>
      <c r="L1059" s="96"/>
      <c r="M1059" s="96"/>
      <c r="P1059" s="96"/>
      <c r="Q1059" s="96"/>
      <c r="R1059" s="96"/>
      <c r="S1059" s="96"/>
      <c r="T1059" s="96"/>
      <c r="U1059" s="96"/>
      <c r="V1059" s="96"/>
      <c r="W1059" s="96"/>
    </row>
    <row r="1060" spans="1:23" x14ac:dyDescent="0.3">
      <c r="A1060" s="96"/>
      <c r="B1060" s="96"/>
      <c r="C1060" s="96"/>
      <c r="D1060" s="96"/>
      <c r="E1060" s="103"/>
      <c r="F1060" s="96"/>
      <c r="G1060" s="96"/>
      <c r="H1060" s="96"/>
      <c r="I1060" s="96"/>
      <c r="J1060" s="96"/>
      <c r="L1060" s="96"/>
      <c r="M1060" s="96"/>
      <c r="P1060" s="96"/>
      <c r="Q1060" s="96"/>
      <c r="R1060" s="96"/>
      <c r="S1060" s="96"/>
      <c r="T1060" s="96"/>
      <c r="U1060" s="96"/>
      <c r="V1060" s="96"/>
      <c r="W1060" s="96"/>
    </row>
    <row r="1061" spans="1:23" x14ac:dyDescent="0.3">
      <c r="A1061" s="96"/>
      <c r="B1061" s="96"/>
      <c r="C1061" s="96"/>
      <c r="D1061" s="96"/>
      <c r="E1061" s="103"/>
      <c r="F1061" s="96"/>
      <c r="G1061" s="96"/>
      <c r="H1061" s="96"/>
      <c r="I1061" s="96"/>
      <c r="J1061" s="96"/>
      <c r="L1061" s="96"/>
      <c r="M1061" s="96"/>
      <c r="P1061" s="96"/>
      <c r="Q1061" s="96"/>
      <c r="R1061" s="96"/>
      <c r="S1061" s="96"/>
      <c r="T1061" s="96"/>
      <c r="U1061" s="96"/>
      <c r="V1061" s="96"/>
      <c r="W1061" s="96"/>
    </row>
    <row r="1062" spans="1:23" x14ac:dyDescent="0.3">
      <c r="A1062" s="96"/>
      <c r="B1062" s="96"/>
      <c r="C1062" s="96"/>
      <c r="D1062" s="96"/>
      <c r="E1062" s="103"/>
      <c r="F1062" s="96"/>
      <c r="G1062" s="96"/>
      <c r="H1062" s="96"/>
      <c r="I1062" s="96"/>
      <c r="J1062" s="96"/>
      <c r="L1062" s="96"/>
      <c r="M1062" s="96"/>
      <c r="P1062" s="96"/>
      <c r="Q1062" s="96"/>
      <c r="R1062" s="96"/>
      <c r="S1062" s="96"/>
      <c r="T1062" s="96"/>
      <c r="U1062" s="96"/>
      <c r="V1062" s="96"/>
      <c r="W1062" s="96"/>
    </row>
    <row r="1063" spans="1:23" x14ac:dyDescent="0.3">
      <c r="A1063" s="96"/>
      <c r="B1063" s="96"/>
      <c r="C1063" s="96"/>
      <c r="D1063" s="96"/>
      <c r="E1063" s="103"/>
      <c r="F1063" s="96"/>
      <c r="G1063" s="96"/>
      <c r="H1063" s="96"/>
      <c r="I1063" s="96"/>
      <c r="J1063" s="96"/>
      <c r="L1063" s="96"/>
      <c r="M1063" s="96"/>
      <c r="P1063" s="96"/>
      <c r="Q1063" s="96"/>
      <c r="R1063" s="96"/>
      <c r="S1063" s="96"/>
      <c r="T1063" s="96"/>
      <c r="U1063" s="96"/>
      <c r="V1063" s="96"/>
      <c r="W1063" s="96"/>
    </row>
    <row r="1064" spans="1:23" x14ac:dyDescent="0.3">
      <c r="A1064" s="96"/>
      <c r="B1064" s="96"/>
      <c r="C1064" s="96"/>
      <c r="D1064" s="96"/>
      <c r="E1064" s="103"/>
      <c r="F1064" s="96"/>
      <c r="G1064" s="96"/>
      <c r="H1064" s="96"/>
      <c r="I1064" s="96"/>
      <c r="J1064" s="96"/>
      <c r="L1064" s="96"/>
      <c r="M1064" s="96"/>
      <c r="P1064" s="96"/>
      <c r="Q1064" s="96"/>
      <c r="R1064" s="96"/>
      <c r="S1064" s="96"/>
      <c r="T1064" s="96"/>
      <c r="U1064" s="96"/>
      <c r="V1064" s="96"/>
      <c r="W1064" s="96"/>
    </row>
    <row r="1065" spans="1:23" x14ac:dyDescent="0.3">
      <c r="A1065" s="96"/>
      <c r="B1065" s="96"/>
      <c r="C1065" s="96"/>
      <c r="D1065" s="96"/>
      <c r="E1065" s="103"/>
      <c r="F1065" s="96"/>
      <c r="G1065" s="96"/>
      <c r="H1065" s="96"/>
      <c r="I1065" s="96"/>
      <c r="J1065" s="96"/>
      <c r="L1065" s="96"/>
      <c r="M1065" s="96"/>
      <c r="P1065" s="96"/>
      <c r="Q1065" s="96"/>
      <c r="R1065" s="96"/>
      <c r="S1065" s="96"/>
      <c r="T1065" s="96"/>
      <c r="U1065" s="96"/>
      <c r="V1065" s="96"/>
      <c r="W1065" s="96"/>
    </row>
    <row r="1066" spans="1:23" x14ac:dyDescent="0.3">
      <c r="A1066" s="96"/>
      <c r="B1066" s="96"/>
      <c r="C1066" s="96"/>
      <c r="D1066" s="96"/>
      <c r="E1066" s="103"/>
      <c r="F1066" s="96"/>
      <c r="G1066" s="96"/>
      <c r="H1066" s="96"/>
      <c r="I1066" s="96"/>
      <c r="J1066" s="96"/>
      <c r="L1066" s="96"/>
      <c r="M1066" s="96"/>
      <c r="P1066" s="96"/>
      <c r="Q1066" s="96"/>
      <c r="R1066" s="96"/>
      <c r="S1066" s="96"/>
      <c r="T1066" s="96"/>
      <c r="U1066" s="96"/>
      <c r="V1066" s="96"/>
      <c r="W1066" s="96"/>
    </row>
    <row r="1067" spans="1:23" x14ac:dyDescent="0.3">
      <c r="A1067" s="96"/>
      <c r="B1067" s="96"/>
      <c r="C1067" s="96"/>
      <c r="D1067" s="96"/>
      <c r="E1067" s="103"/>
      <c r="F1067" s="96"/>
      <c r="G1067" s="96"/>
      <c r="H1067" s="96"/>
      <c r="I1067" s="96"/>
      <c r="J1067" s="96"/>
      <c r="L1067" s="96"/>
      <c r="M1067" s="96"/>
      <c r="P1067" s="96"/>
      <c r="Q1067" s="96"/>
      <c r="R1067" s="96"/>
      <c r="S1067" s="96"/>
      <c r="T1067" s="96"/>
      <c r="U1067" s="96"/>
      <c r="V1067" s="96"/>
      <c r="W1067" s="96"/>
    </row>
    <row r="1068" spans="1:23" x14ac:dyDescent="0.3">
      <c r="A1068" s="96"/>
      <c r="B1068" s="96"/>
      <c r="C1068" s="96"/>
      <c r="D1068" s="96"/>
      <c r="E1068" s="103"/>
      <c r="F1068" s="96"/>
      <c r="G1068" s="96"/>
      <c r="H1068" s="96"/>
      <c r="I1068" s="96"/>
      <c r="J1068" s="96"/>
      <c r="L1068" s="96"/>
      <c r="M1068" s="96"/>
      <c r="P1068" s="96"/>
      <c r="Q1068" s="96"/>
      <c r="R1068" s="96"/>
      <c r="S1068" s="96"/>
      <c r="T1068" s="96"/>
      <c r="U1068" s="96"/>
      <c r="V1068" s="96"/>
      <c r="W1068" s="96"/>
    </row>
    <row r="1069" spans="1:23" x14ac:dyDescent="0.3">
      <c r="A1069" s="96"/>
      <c r="B1069" s="96"/>
      <c r="C1069" s="96"/>
      <c r="D1069" s="96"/>
      <c r="E1069" s="103"/>
      <c r="F1069" s="96"/>
      <c r="G1069" s="96"/>
      <c r="H1069" s="96"/>
      <c r="I1069" s="96"/>
      <c r="J1069" s="96"/>
      <c r="L1069" s="96"/>
      <c r="M1069" s="96"/>
      <c r="P1069" s="96"/>
      <c r="Q1069" s="96"/>
      <c r="R1069" s="96"/>
      <c r="S1069" s="96"/>
      <c r="T1069" s="96"/>
      <c r="U1069" s="96"/>
      <c r="V1069" s="96"/>
      <c r="W1069" s="96"/>
    </row>
    <row r="1070" spans="1:23" x14ac:dyDescent="0.3">
      <c r="A1070" s="96"/>
      <c r="B1070" s="96"/>
      <c r="C1070" s="96"/>
      <c r="D1070" s="96"/>
      <c r="E1070" s="103"/>
      <c r="F1070" s="96"/>
      <c r="G1070" s="96"/>
      <c r="H1070" s="96"/>
      <c r="I1070" s="96"/>
      <c r="J1070" s="96"/>
      <c r="L1070" s="96"/>
      <c r="M1070" s="96"/>
      <c r="P1070" s="96"/>
      <c r="Q1070" s="96"/>
      <c r="R1070" s="96"/>
      <c r="S1070" s="96"/>
      <c r="T1070" s="96"/>
      <c r="U1070" s="96"/>
      <c r="V1070" s="96"/>
      <c r="W1070" s="96"/>
    </row>
    <row r="1071" spans="1:23" x14ac:dyDescent="0.3">
      <c r="A1071" s="96"/>
      <c r="B1071" s="96"/>
      <c r="C1071" s="96"/>
      <c r="D1071" s="96"/>
      <c r="E1071" s="103"/>
      <c r="F1071" s="96"/>
      <c r="G1071" s="96"/>
      <c r="H1071" s="96"/>
      <c r="I1071" s="96"/>
      <c r="J1071" s="96"/>
      <c r="L1071" s="96"/>
      <c r="M1071" s="96"/>
      <c r="P1071" s="96"/>
      <c r="Q1071" s="96"/>
      <c r="R1071" s="96"/>
      <c r="S1071" s="96"/>
      <c r="T1071" s="96"/>
      <c r="U1071" s="96"/>
      <c r="V1071" s="96"/>
      <c r="W1071" s="96"/>
    </row>
    <row r="1072" spans="1:23" x14ac:dyDescent="0.3">
      <c r="A1072" s="96"/>
      <c r="B1072" s="96"/>
      <c r="C1072" s="96"/>
      <c r="D1072" s="96"/>
      <c r="E1072" s="103"/>
      <c r="F1072" s="96"/>
      <c r="G1072" s="96"/>
      <c r="H1072" s="96"/>
      <c r="I1072" s="96"/>
      <c r="J1072" s="96"/>
      <c r="L1072" s="96"/>
      <c r="M1072" s="96"/>
      <c r="P1072" s="96"/>
      <c r="Q1072" s="96"/>
      <c r="R1072" s="96"/>
      <c r="S1072" s="96"/>
      <c r="T1072" s="96"/>
      <c r="U1072" s="96"/>
      <c r="V1072" s="96"/>
      <c r="W1072" s="96"/>
    </row>
    <row r="1073" spans="1:28" x14ac:dyDescent="0.3">
      <c r="A1073" s="96"/>
      <c r="B1073" s="96"/>
      <c r="C1073" s="96"/>
      <c r="D1073" s="96"/>
      <c r="E1073" s="103"/>
      <c r="F1073" s="96"/>
      <c r="G1073" s="96"/>
      <c r="H1073" s="96"/>
      <c r="I1073" s="96"/>
      <c r="J1073" s="96"/>
      <c r="L1073" s="96"/>
      <c r="M1073" s="96"/>
      <c r="P1073" s="96"/>
      <c r="Q1073" s="96"/>
      <c r="R1073" s="96"/>
      <c r="S1073" s="96"/>
      <c r="T1073" s="96"/>
      <c r="U1073" s="96"/>
      <c r="V1073" s="96"/>
      <c r="W1073" s="96"/>
    </row>
    <row r="1074" spans="1:28" x14ac:dyDescent="0.3">
      <c r="A1074" s="96"/>
      <c r="B1074" s="96"/>
      <c r="C1074" s="96"/>
      <c r="D1074" s="96"/>
      <c r="E1074" s="103"/>
      <c r="F1074" s="96"/>
      <c r="G1074" s="96"/>
      <c r="H1074" s="96"/>
      <c r="I1074" s="96"/>
      <c r="J1074" s="96"/>
      <c r="L1074" s="96"/>
      <c r="M1074" s="96"/>
      <c r="P1074" s="96"/>
      <c r="Q1074" s="96"/>
      <c r="R1074" s="96"/>
      <c r="S1074" s="96"/>
      <c r="T1074" s="96"/>
      <c r="U1074" s="96"/>
      <c r="V1074" s="96"/>
      <c r="W1074" s="96"/>
    </row>
    <row r="1075" spans="1:28" x14ac:dyDescent="0.3">
      <c r="A1075" s="96"/>
      <c r="B1075" s="96"/>
      <c r="C1075" s="96"/>
      <c r="D1075" s="96"/>
      <c r="E1075" s="103"/>
      <c r="F1075" s="96"/>
      <c r="G1075" s="96"/>
      <c r="H1075" s="96"/>
      <c r="I1075" s="96"/>
      <c r="J1075" s="96"/>
      <c r="L1075" s="96"/>
      <c r="M1075" s="96"/>
      <c r="P1075" s="96"/>
      <c r="Q1075" s="96"/>
      <c r="R1075" s="96"/>
      <c r="S1075" s="96"/>
      <c r="T1075" s="96"/>
      <c r="U1075" s="96"/>
      <c r="V1075" s="96"/>
      <c r="W1075" s="96"/>
    </row>
    <row r="1076" spans="1:28" x14ac:dyDescent="0.3">
      <c r="A1076" s="96"/>
      <c r="B1076" s="96"/>
      <c r="C1076" s="96"/>
      <c r="D1076" s="96"/>
      <c r="E1076" s="103"/>
      <c r="F1076" s="96"/>
      <c r="G1076" s="96"/>
      <c r="H1076" s="96"/>
      <c r="I1076" s="96"/>
      <c r="J1076" s="96"/>
      <c r="L1076" s="96"/>
      <c r="M1076" s="96"/>
      <c r="P1076" s="96"/>
      <c r="Q1076" s="96"/>
      <c r="R1076" s="96"/>
      <c r="S1076" s="96"/>
      <c r="T1076" s="96"/>
      <c r="U1076" s="96"/>
      <c r="V1076" s="96"/>
      <c r="W1076" s="96"/>
      <c r="AA1076" s="96"/>
      <c r="AB1076" s="96"/>
    </row>
    <row r="1077" spans="1:28" x14ac:dyDescent="0.3">
      <c r="A1077" s="96"/>
      <c r="B1077" s="96"/>
      <c r="C1077" s="96"/>
      <c r="D1077" s="96"/>
      <c r="E1077" s="103"/>
      <c r="F1077" s="96"/>
      <c r="G1077" s="96"/>
      <c r="H1077" s="96"/>
      <c r="I1077" s="96"/>
      <c r="J1077" s="96"/>
      <c r="L1077" s="96"/>
      <c r="M1077" s="96"/>
      <c r="P1077" s="96"/>
      <c r="Q1077" s="96"/>
      <c r="R1077" s="96"/>
      <c r="S1077" s="96"/>
      <c r="T1077" s="96"/>
      <c r="U1077" s="96"/>
      <c r="V1077" s="96"/>
      <c r="W1077" s="96"/>
      <c r="AA1077" s="104"/>
      <c r="AB1077" s="104"/>
    </row>
    <row r="1078" spans="1:28" x14ac:dyDescent="0.3">
      <c r="A1078" s="96"/>
      <c r="B1078" s="96"/>
      <c r="C1078" s="96"/>
      <c r="D1078" s="96"/>
      <c r="E1078" s="103"/>
      <c r="F1078" s="96"/>
      <c r="G1078" s="96"/>
      <c r="H1078" s="96"/>
      <c r="I1078" s="96"/>
      <c r="J1078" s="96"/>
      <c r="L1078" s="96"/>
      <c r="M1078" s="96"/>
      <c r="P1078" s="96"/>
      <c r="Q1078" s="96"/>
      <c r="R1078" s="96"/>
      <c r="S1078" s="96"/>
      <c r="T1078" s="96"/>
      <c r="U1078" s="96"/>
      <c r="V1078" s="96"/>
      <c r="W1078" s="96"/>
      <c r="AA1078" s="96"/>
      <c r="AB1078" s="96"/>
    </row>
    <row r="1079" spans="1:28" x14ac:dyDescent="0.3">
      <c r="A1079" s="96"/>
      <c r="B1079" s="96"/>
      <c r="C1079" s="96"/>
      <c r="D1079" s="96"/>
      <c r="E1079" s="103"/>
      <c r="F1079" s="96"/>
      <c r="G1079" s="96"/>
      <c r="H1079" s="96"/>
      <c r="I1079" s="96"/>
      <c r="J1079" s="96"/>
      <c r="L1079" s="96"/>
      <c r="M1079" s="96"/>
      <c r="P1079" s="96"/>
      <c r="Q1079" s="96"/>
      <c r="R1079" s="96"/>
      <c r="S1079" s="96"/>
      <c r="T1079" s="96"/>
      <c r="U1079" s="96"/>
      <c r="V1079" s="96"/>
      <c r="W1079" s="96"/>
      <c r="AA1079" s="96"/>
      <c r="AB1079" s="96"/>
    </row>
    <row r="1080" spans="1:28" x14ac:dyDescent="0.3">
      <c r="A1080" s="96"/>
      <c r="B1080" s="96"/>
      <c r="C1080" s="96"/>
      <c r="D1080" s="96"/>
      <c r="E1080" s="103"/>
      <c r="F1080" s="96"/>
      <c r="G1080" s="96"/>
      <c r="H1080" s="96"/>
      <c r="I1080" s="96"/>
      <c r="J1080" s="96"/>
      <c r="L1080" s="96"/>
      <c r="M1080" s="96"/>
      <c r="P1080" s="96"/>
      <c r="Q1080" s="96"/>
      <c r="R1080" s="96"/>
      <c r="S1080" s="96"/>
      <c r="T1080" s="96"/>
      <c r="U1080" s="96"/>
      <c r="V1080" s="96"/>
      <c r="W1080" s="96"/>
    </row>
    <row r="1081" spans="1:28" x14ac:dyDescent="0.3">
      <c r="A1081" s="96"/>
      <c r="B1081" s="96"/>
      <c r="C1081" s="96"/>
      <c r="D1081" s="96"/>
      <c r="E1081" s="103"/>
      <c r="F1081" s="96"/>
      <c r="G1081" s="96"/>
      <c r="H1081" s="96"/>
      <c r="I1081" s="96"/>
      <c r="J1081" s="96"/>
      <c r="L1081" s="96"/>
      <c r="M1081" s="96"/>
      <c r="P1081" s="96"/>
      <c r="Q1081" s="96"/>
      <c r="R1081" s="96"/>
      <c r="S1081" s="96"/>
      <c r="T1081" s="96"/>
      <c r="U1081" s="96"/>
      <c r="V1081" s="96"/>
      <c r="W1081" s="96"/>
    </row>
    <row r="1082" spans="1:28" x14ac:dyDescent="0.3">
      <c r="A1082" s="96"/>
      <c r="B1082" s="96"/>
      <c r="C1082" s="96"/>
      <c r="D1082" s="96"/>
      <c r="E1082" s="103"/>
      <c r="F1082" s="96"/>
      <c r="G1082" s="96"/>
      <c r="H1082" s="96"/>
      <c r="I1082" s="96"/>
      <c r="J1082" s="96"/>
      <c r="L1082" s="96"/>
      <c r="M1082" s="96"/>
      <c r="P1082" s="96"/>
      <c r="Q1082" s="96"/>
      <c r="R1082" s="96"/>
      <c r="S1082" s="96"/>
      <c r="T1082" s="96"/>
      <c r="U1082" s="96"/>
      <c r="V1082" s="96"/>
      <c r="W1082" s="96"/>
    </row>
    <row r="1083" spans="1:28" x14ac:dyDescent="0.3">
      <c r="A1083" s="96"/>
      <c r="B1083" s="96"/>
      <c r="C1083" s="96"/>
      <c r="D1083" s="96"/>
      <c r="E1083" s="103"/>
      <c r="F1083" s="96"/>
      <c r="G1083" s="96"/>
      <c r="H1083" s="96"/>
      <c r="I1083" s="96"/>
      <c r="J1083" s="96"/>
      <c r="L1083" s="96"/>
      <c r="M1083" s="96"/>
      <c r="P1083" s="96"/>
      <c r="Q1083" s="96"/>
      <c r="R1083" s="96"/>
      <c r="S1083" s="96"/>
      <c r="T1083" s="96"/>
      <c r="U1083" s="96"/>
      <c r="V1083" s="96"/>
      <c r="W1083" s="96"/>
    </row>
    <row r="1084" spans="1:28" x14ac:dyDescent="0.3">
      <c r="A1084" s="96"/>
      <c r="B1084" s="96"/>
      <c r="C1084" s="96"/>
      <c r="D1084" s="96"/>
      <c r="E1084" s="103"/>
      <c r="F1084" s="96"/>
      <c r="G1084" s="96"/>
      <c r="H1084" s="96"/>
      <c r="I1084" s="96"/>
      <c r="J1084" s="96"/>
      <c r="L1084" s="96"/>
      <c r="M1084" s="96"/>
      <c r="P1084" s="96"/>
      <c r="Q1084" s="96"/>
      <c r="R1084" s="96"/>
      <c r="S1084" s="96"/>
      <c r="T1084" s="96"/>
      <c r="U1084" s="96"/>
      <c r="V1084" s="96"/>
      <c r="W1084" s="96"/>
    </row>
    <row r="1085" spans="1:28" x14ac:dyDescent="0.3">
      <c r="A1085" s="96"/>
      <c r="B1085" s="96"/>
      <c r="C1085" s="96"/>
      <c r="D1085" s="96"/>
      <c r="E1085" s="103"/>
      <c r="F1085" s="96"/>
      <c r="G1085" s="96"/>
      <c r="H1085" s="96"/>
      <c r="I1085" s="96"/>
      <c r="J1085" s="96"/>
      <c r="L1085" s="96"/>
      <c r="M1085" s="96"/>
      <c r="P1085" s="96"/>
      <c r="Q1085" s="96"/>
      <c r="R1085" s="96"/>
      <c r="S1085" s="96"/>
      <c r="T1085" s="96"/>
      <c r="U1085" s="96"/>
      <c r="V1085" s="96"/>
      <c r="W1085" s="96"/>
    </row>
    <row r="1086" spans="1:28" x14ac:dyDescent="0.3">
      <c r="A1086" s="96"/>
      <c r="B1086" s="96"/>
      <c r="C1086" s="96"/>
      <c r="D1086" s="96"/>
      <c r="E1086" s="103"/>
      <c r="F1086" s="96"/>
      <c r="G1086" s="96"/>
      <c r="H1086" s="96"/>
      <c r="I1086" s="96"/>
      <c r="J1086" s="96"/>
      <c r="L1086" s="96"/>
      <c r="M1086" s="96"/>
      <c r="P1086" s="96"/>
      <c r="Q1086" s="96"/>
      <c r="R1086" s="96"/>
      <c r="S1086" s="96"/>
      <c r="T1086" s="96"/>
      <c r="U1086" s="96"/>
      <c r="V1086" s="96"/>
      <c r="W1086" s="96"/>
    </row>
    <row r="1087" spans="1:28" x14ac:dyDescent="0.3">
      <c r="A1087" s="96"/>
      <c r="B1087" s="96"/>
      <c r="C1087" s="96"/>
      <c r="D1087" s="96"/>
      <c r="E1087" s="103"/>
      <c r="F1087" s="96"/>
      <c r="G1087" s="96"/>
      <c r="H1087" s="96"/>
      <c r="I1087" s="96"/>
      <c r="J1087" s="96"/>
      <c r="L1087" s="96"/>
      <c r="M1087" s="96"/>
      <c r="P1087" s="96"/>
      <c r="Q1087" s="96"/>
      <c r="R1087" s="96"/>
      <c r="S1087" s="96"/>
      <c r="T1087" s="96"/>
      <c r="U1087" s="96"/>
      <c r="V1087" s="96"/>
      <c r="W1087" s="96"/>
    </row>
    <row r="1088" spans="1:28" x14ac:dyDescent="0.3">
      <c r="A1088" s="96"/>
      <c r="B1088" s="96"/>
      <c r="C1088" s="96"/>
      <c r="D1088" s="96"/>
      <c r="E1088" s="103"/>
      <c r="F1088" s="96"/>
      <c r="G1088" s="96"/>
      <c r="H1088" s="96"/>
      <c r="I1088" s="96"/>
      <c r="J1088" s="96"/>
      <c r="L1088" s="96"/>
      <c r="M1088" s="96"/>
      <c r="P1088" s="96"/>
      <c r="Q1088" s="96"/>
      <c r="R1088" s="96"/>
      <c r="S1088" s="96"/>
      <c r="T1088" s="96"/>
      <c r="U1088" s="96"/>
      <c r="V1088" s="96"/>
      <c r="W1088" s="96"/>
    </row>
    <row r="1089" spans="1:28" x14ac:dyDescent="0.3">
      <c r="A1089" s="96"/>
      <c r="B1089" s="96"/>
      <c r="C1089" s="96"/>
      <c r="D1089" s="96"/>
      <c r="E1089" s="103"/>
      <c r="F1089" s="96"/>
      <c r="G1089" s="96"/>
      <c r="H1089" s="96"/>
      <c r="I1089" s="96"/>
      <c r="J1089" s="96"/>
      <c r="L1089" s="96"/>
      <c r="M1089" s="96"/>
      <c r="P1089" s="96"/>
      <c r="Q1089" s="96"/>
      <c r="R1089" s="96"/>
      <c r="S1089" s="96"/>
      <c r="T1089" s="96"/>
      <c r="U1089" s="96"/>
      <c r="V1089" s="96"/>
      <c r="W1089" s="96"/>
    </row>
    <row r="1090" spans="1:28" x14ac:dyDescent="0.3">
      <c r="A1090" s="96"/>
      <c r="B1090" s="96"/>
      <c r="C1090" s="96"/>
      <c r="D1090" s="96"/>
      <c r="E1090" s="103"/>
      <c r="F1090" s="96"/>
      <c r="G1090" s="96"/>
      <c r="H1090" s="96"/>
      <c r="I1090" s="96"/>
      <c r="J1090" s="96"/>
      <c r="L1090" s="96"/>
      <c r="M1090" s="96"/>
      <c r="P1090" s="96"/>
      <c r="Q1090" s="96"/>
      <c r="R1090" s="96"/>
      <c r="S1090" s="96"/>
      <c r="T1090" s="96"/>
      <c r="U1090" s="96"/>
      <c r="V1090" s="96"/>
      <c r="W1090" s="96"/>
    </row>
    <row r="1091" spans="1:28" x14ac:dyDescent="0.3">
      <c r="A1091" s="96"/>
      <c r="B1091" s="96"/>
      <c r="C1091" s="96"/>
      <c r="D1091" s="96"/>
      <c r="E1091" s="103"/>
      <c r="F1091" s="96"/>
      <c r="G1091" s="96"/>
      <c r="H1091" s="96"/>
      <c r="I1091" s="96"/>
      <c r="J1091" s="96"/>
      <c r="L1091" s="96"/>
      <c r="M1091" s="96"/>
      <c r="P1091" s="96"/>
      <c r="Q1091" s="96"/>
      <c r="R1091" s="96"/>
      <c r="S1091" s="96"/>
      <c r="T1091" s="96"/>
      <c r="U1091" s="96"/>
      <c r="V1091" s="96"/>
      <c r="W1091" s="96"/>
    </row>
    <row r="1092" spans="1:28" x14ac:dyDescent="0.3">
      <c r="A1092" s="96"/>
      <c r="B1092" s="96"/>
      <c r="C1092" s="96"/>
      <c r="D1092" s="96"/>
      <c r="E1092" s="103"/>
      <c r="F1092" s="96"/>
      <c r="G1092" s="96"/>
      <c r="H1092" s="96"/>
      <c r="I1092" s="96"/>
      <c r="J1092" s="96"/>
      <c r="L1092" s="96"/>
      <c r="M1092" s="96"/>
      <c r="P1092" s="96"/>
      <c r="Q1092" s="96"/>
      <c r="R1092" s="96"/>
      <c r="S1092" s="96"/>
      <c r="T1092" s="96"/>
      <c r="U1092" s="96"/>
      <c r="V1092" s="96"/>
      <c r="W1092" s="96"/>
    </row>
    <row r="1093" spans="1:28" x14ac:dyDescent="0.3">
      <c r="A1093" s="96"/>
      <c r="B1093" s="96"/>
      <c r="C1093" s="96"/>
      <c r="D1093" s="96"/>
      <c r="E1093" s="103"/>
      <c r="F1093" s="96"/>
      <c r="G1093" s="96"/>
      <c r="H1093" s="96"/>
      <c r="I1093" s="96"/>
      <c r="J1093" s="96"/>
      <c r="L1093" s="96"/>
      <c r="M1093" s="96"/>
      <c r="P1093" s="96"/>
      <c r="Q1093" s="96"/>
      <c r="R1093" s="96"/>
      <c r="S1093" s="96"/>
      <c r="T1093" s="96"/>
      <c r="U1093" s="96"/>
      <c r="V1093" s="96"/>
      <c r="W1093" s="96"/>
    </row>
    <row r="1094" spans="1:28" x14ac:dyDescent="0.3">
      <c r="A1094" s="96"/>
      <c r="B1094" s="96"/>
      <c r="C1094" s="96"/>
      <c r="D1094" s="96"/>
      <c r="E1094" s="103"/>
      <c r="F1094" s="96"/>
      <c r="G1094" s="96"/>
      <c r="H1094" s="96"/>
      <c r="I1094" s="96"/>
      <c r="J1094" s="96"/>
      <c r="L1094" s="96"/>
      <c r="M1094" s="96"/>
      <c r="P1094" s="96"/>
      <c r="Q1094" s="96"/>
      <c r="R1094" s="96"/>
      <c r="S1094" s="96"/>
      <c r="T1094" s="96"/>
      <c r="U1094" s="96"/>
      <c r="V1094" s="96"/>
      <c r="W1094" s="96"/>
    </row>
    <row r="1095" spans="1:28" x14ac:dyDescent="0.3">
      <c r="A1095" s="96"/>
      <c r="B1095" s="96"/>
      <c r="C1095" s="96"/>
      <c r="D1095" s="96"/>
      <c r="E1095" s="103"/>
      <c r="F1095" s="96"/>
      <c r="G1095" s="96"/>
      <c r="H1095" s="96"/>
      <c r="I1095" s="96"/>
      <c r="J1095" s="96"/>
      <c r="L1095" s="96"/>
      <c r="M1095" s="96"/>
      <c r="P1095" s="96"/>
      <c r="Q1095" s="96"/>
      <c r="R1095" s="96"/>
      <c r="S1095" s="96"/>
      <c r="T1095" s="96"/>
      <c r="U1095" s="96"/>
      <c r="V1095" s="96"/>
      <c r="W1095" s="96"/>
    </row>
    <row r="1096" spans="1:28" x14ac:dyDescent="0.3">
      <c r="A1096" s="96"/>
      <c r="B1096" s="96"/>
      <c r="C1096" s="96"/>
      <c r="D1096" s="96"/>
      <c r="E1096" s="103"/>
      <c r="F1096" s="96"/>
      <c r="G1096" s="96"/>
      <c r="H1096" s="96"/>
      <c r="I1096" s="96"/>
      <c r="J1096" s="96"/>
      <c r="L1096" s="96"/>
      <c r="M1096" s="96"/>
      <c r="P1096" s="96"/>
      <c r="Q1096" s="96"/>
      <c r="R1096" s="96"/>
      <c r="S1096" s="96"/>
      <c r="T1096" s="96"/>
      <c r="U1096" s="96"/>
      <c r="V1096" s="96"/>
      <c r="W1096" s="96"/>
    </row>
    <row r="1097" spans="1:28" x14ac:dyDescent="0.3">
      <c r="A1097" s="96"/>
      <c r="B1097" s="96"/>
      <c r="C1097" s="96"/>
      <c r="D1097" s="96"/>
      <c r="E1097" s="103"/>
      <c r="F1097" s="96"/>
      <c r="G1097" s="96"/>
      <c r="H1097" s="96"/>
      <c r="I1097" s="96"/>
      <c r="J1097" s="96"/>
      <c r="L1097" s="96"/>
      <c r="M1097" s="96"/>
      <c r="P1097" s="96"/>
      <c r="Q1097" s="96"/>
      <c r="R1097" s="96"/>
      <c r="S1097" s="96"/>
      <c r="T1097" s="96"/>
      <c r="U1097" s="96"/>
      <c r="V1097" s="96"/>
      <c r="W1097" s="96"/>
    </row>
    <row r="1098" spans="1:28" x14ac:dyDescent="0.3">
      <c r="A1098" s="96"/>
      <c r="B1098" s="96"/>
      <c r="C1098" s="96"/>
      <c r="D1098" s="96"/>
      <c r="E1098" s="103"/>
      <c r="F1098" s="96"/>
      <c r="G1098" s="96"/>
      <c r="H1098" s="96"/>
      <c r="I1098" s="96"/>
      <c r="J1098" s="96"/>
      <c r="L1098" s="96"/>
      <c r="M1098" s="96"/>
      <c r="P1098" s="96"/>
      <c r="Q1098" s="96"/>
      <c r="R1098" s="96"/>
      <c r="S1098" s="96"/>
      <c r="T1098" s="96"/>
      <c r="U1098" s="96"/>
      <c r="V1098" s="96"/>
      <c r="W1098" s="96"/>
    </row>
    <row r="1099" spans="1:28" x14ac:dyDescent="0.3">
      <c r="A1099" s="96"/>
      <c r="B1099" s="96"/>
      <c r="C1099" s="96"/>
      <c r="D1099" s="96"/>
      <c r="E1099" s="103"/>
      <c r="F1099" s="96"/>
      <c r="G1099" s="96"/>
      <c r="H1099" s="96"/>
      <c r="I1099" s="96"/>
      <c r="J1099" s="96"/>
      <c r="L1099" s="96"/>
      <c r="M1099" s="96"/>
      <c r="P1099" s="96"/>
      <c r="Q1099" s="96"/>
      <c r="R1099" s="96"/>
      <c r="S1099" s="96"/>
      <c r="T1099" s="96"/>
      <c r="U1099" s="96"/>
      <c r="V1099" s="96"/>
      <c r="W1099" s="96"/>
    </row>
    <row r="1100" spans="1:28" x14ac:dyDescent="0.3">
      <c r="A1100" s="96"/>
      <c r="B1100" s="96"/>
      <c r="C1100" s="96"/>
      <c r="D1100" s="96"/>
      <c r="E1100" s="103"/>
      <c r="F1100" s="96"/>
      <c r="G1100" s="96"/>
      <c r="H1100" s="96"/>
      <c r="I1100" s="96"/>
      <c r="J1100" s="96"/>
      <c r="L1100" s="96"/>
      <c r="M1100" s="96"/>
      <c r="P1100" s="96"/>
      <c r="Q1100" s="96"/>
      <c r="R1100" s="96"/>
      <c r="S1100" s="96"/>
      <c r="T1100" s="96"/>
      <c r="U1100" s="96"/>
      <c r="V1100" s="96"/>
      <c r="W1100" s="96"/>
    </row>
    <row r="1101" spans="1:28" x14ac:dyDescent="0.3">
      <c r="A1101" s="96"/>
      <c r="B1101" s="96"/>
      <c r="C1101" s="96"/>
      <c r="D1101" s="96"/>
      <c r="E1101" s="103"/>
      <c r="F1101" s="96"/>
      <c r="G1101" s="96"/>
      <c r="H1101" s="96"/>
      <c r="I1101" s="96"/>
      <c r="J1101" s="96"/>
      <c r="L1101" s="96"/>
      <c r="M1101" s="96"/>
      <c r="P1101" s="96"/>
      <c r="Q1101" s="96"/>
      <c r="R1101" s="96"/>
      <c r="S1101" s="96"/>
      <c r="T1101" s="96"/>
      <c r="U1101" s="96"/>
      <c r="V1101" s="96"/>
      <c r="W1101" s="96"/>
    </row>
    <row r="1102" spans="1:28" x14ac:dyDescent="0.3">
      <c r="A1102" s="96"/>
      <c r="B1102" s="96"/>
      <c r="C1102" s="96"/>
      <c r="D1102" s="96"/>
      <c r="E1102" s="103"/>
      <c r="F1102" s="96"/>
      <c r="G1102" s="96"/>
      <c r="H1102" s="96"/>
      <c r="I1102" s="96"/>
      <c r="J1102" s="96"/>
      <c r="L1102" s="96"/>
      <c r="M1102" s="96"/>
      <c r="P1102" s="96"/>
      <c r="Q1102" s="96"/>
      <c r="R1102" s="96"/>
      <c r="S1102" s="96"/>
      <c r="T1102" s="96"/>
      <c r="U1102" s="96"/>
      <c r="V1102" s="96"/>
      <c r="W1102" s="96"/>
    </row>
    <row r="1103" spans="1:28" x14ac:dyDescent="0.3">
      <c r="A1103" s="96"/>
      <c r="B1103" s="96"/>
      <c r="C1103" s="96"/>
      <c r="D1103" s="96"/>
      <c r="E1103" s="103"/>
      <c r="F1103" s="96"/>
      <c r="G1103" s="96"/>
      <c r="H1103" s="96"/>
      <c r="I1103" s="96"/>
      <c r="J1103" s="96"/>
      <c r="L1103" s="96"/>
      <c r="M1103" s="96"/>
      <c r="P1103" s="96"/>
      <c r="Q1103" s="96"/>
      <c r="R1103" s="96"/>
      <c r="S1103" s="96"/>
      <c r="T1103" s="96"/>
      <c r="U1103" s="96"/>
      <c r="V1103" s="96"/>
      <c r="W1103" s="96"/>
    </row>
    <row r="1104" spans="1:28" x14ac:dyDescent="0.3">
      <c r="A1104" s="96"/>
      <c r="B1104" s="96"/>
      <c r="C1104" s="96"/>
      <c r="D1104" s="96"/>
      <c r="E1104" s="103"/>
      <c r="F1104" s="96"/>
      <c r="G1104" s="96"/>
      <c r="H1104" s="96"/>
      <c r="I1104" s="96"/>
      <c r="J1104" s="96"/>
      <c r="L1104" s="96"/>
      <c r="M1104" s="96"/>
      <c r="P1104" s="96"/>
      <c r="Q1104" s="96"/>
      <c r="R1104" s="96"/>
      <c r="S1104" s="96"/>
      <c r="T1104" s="96"/>
      <c r="U1104" s="96"/>
      <c r="V1104" s="96"/>
      <c r="W1104" s="96"/>
      <c r="AA1104" s="96"/>
      <c r="AB1104" s="96"/>
    </row>
    <row r="1105" spans="1:28" x14ac:dyDescent="0.3">
      <c r="A1105" s="96"/>
      <c r="B1105" s="96"/>
      <c r="C1105" s="96"/>
      <c r="D1105" s="96"/>
      <c r="E1105" s="103"/>
      <c r="F1105" s="96"/>
      <c r="G1105" s="96"/>
      <c r="H1105" s="96"/>
      <c r="I1105" s="96"/>
      <c r="J1105" s="96"/>
      <c r="L1105" s="96"/>
      <c r="M1105" s="96"/>
      <c r="P1105" s="96"/>
      <c r="Q1105" s="96"/>
      <c r="R1105" s="96"/>
      <c r="S1105" s="96"/>
      <c r="T1105" s="96"/>
      <c r="U1105" s="96"/>
      <c r="V1105" s="96"/>
      <c r="W1105" s="96"/>
      <c r="AA1105" s="104"/>
      <c r="AB1105" s="104"/>
    </row>
    <row r="1106" spans="1:28" x14ac:dyDescent="0.3">
      <c r="A1106" s="96"/>
      <c r="B1106" s="96"/>
      <c r="C1106" s="96"/>
      <c r="D1106" s="96"/>
      <c r="E1106" s="103"/>
      <c r="F1106" s="96"/>
      <c r="G1106" s="96"/>
      <c r="H1106" s="96"/>
      <c r="I1106" s="96"/>
      <c r="J1106" s="96"/>
      <c r="L1106" s="96"/>
      <c r="M1106" s="96"/>
      <c r="P1106" s="96"/>
      <c r="Q1106" s="96"/>
      <c r="R1106" s="96"/>
      <c r="S1106" s="96"/>
      <c r="T1106" s="96"/>
      <c r="U1106" s="96"/>
      <c r="V1106" s="96"/>
      <c r="W1106" s="96"/>
      <c r="AA1106" s="96"/>
      <c r="AB1106" s="96"/>
    </row>
    <row r="1107" spans="1:28" x14ac:dyDescent="0.3">
      <c r="A1107" s="96"/>
      <c r="B1107" s="96"/>
      <c r="C1107" s="96"/>
      <c r="D1107" s="96"/>
      <c r="E1107" s="103"/>
      <c r="F1107" s="96"/>
      <c r="G1107" s="96"/>
      <c r="H1107" s="96"/>
      <c r="I1107" s="96"/>
      <c r="J1107" s="96"/>
      <c r="L1107" s="96"/>
      <c r="M1107" s="96"/>
      <c r="P1107" s="96"/>
      <c r="Q1107" s="96"/>
      <c r="R1107" s="96"/>
      <c r="S1107" s="96"/>
      <c r="T1107" s="96"/>
      <c r="U1107" s="96"/>
      <c r="V1107" s="96"/>
      <c r="W1107" s="96"/>
      <c r="AA1107" s="96"/>
      <c r="AB1107" s="96"/>
    </row>
    <row r="1108" spans="1:28" x14ac:dyDescent="0.3">
      <c r="A1108" s="96"/>
      <c r="B1108" s="96"/>
      <c r="C1108" s="96"/>
      <c r="D1108" s="96"/>
      <c r="E1108" s="103"/>
      <c r="F1108" s="96"/>
      <c r="G1108" s="96"/>
      <c r="H1108" s="96"/>
      <c r="I1108" s="96"/>
      <c r="J1108" s="96"/>
      <c r="L1108" s="96"/>
      <c r="M1108" s="96"/>
      <c r="P1108" s="96"/>
      <c r="Q1108" s="96"/>
      <c r="R1108" s="96"/>
      <c r="S1108" s="96"/>
      <c r="T1108" s="96"/>
      <c r="U1108" s="96"/>
      <c r="V1108" s="96"/>
      <c r="W1108" s="96"/>
    </row>
    <row r="1109" spans="1:28" x14ac:dyDescent="0.3">
      <c r="A1109" s="96"/>
      <c r="B1109" s="96"/>
      <c r="C1109" s="96"/>
      <c r="D1109" s="96"/>
      <c r="E1109" s="103"/>
      <c r="F1109" s="96"/>
      <c r="G1109" s="96"/>
      <c r="H1109" s="96"/>
      <c r="I1109" s="96"/>
      <c r="J1109" s="96"/>
      <c r="L1109" s="96"/>
      <c r="M1109" s="96"/>
      <c r="P1109" s="96"/>
      <c r="Q1109" s="96"/>
      <c r="R1109" s="96"/>
      <c r="S1109" s="96"/>
      <c r="T1109" s="96"/>
      <c r="U1109" s="96"/>
      <c r="V1109" s="96"/>
      <c r="W1109" s="96"/>
    </row>
    <row r="1110" spans="1:28" x14ac:dyDescent="0.3">
      <c r="A1110" s="96"/>
      <c r="B1110" s="96"/>
      <c r="C1110" s="96"/>
      <c r="D1110" s="96"/>
      <c r="E1110" s="103"/>
      <c r="F1110" s="96"/>
      <c r="G1110" s="96"/>
      <c r="H1110" s="96"/>
      <c r="I1110" s="96"/>
      <c r="J1110" s="96"/>
      <c r="L1110" s="96"/>
      <c r="M1110" s="96"/>
      <c r="P1110" s="96"/>
      <c r="Q1110" s="96"/>
      <c r="R1110" s="96"/>
      <c r="S1110" s="96"/>
      <c r="T1110" s="96"/>
      <c r="U1110" s="96"/>
      <c r="V1110" s="96"/>
      <c r="W1110" s="96"/>
      <c r="AA1110" s="9"/>
      <c r="AB1110" s="9"/>
    </row>
    <row r="1111" spans="1:28" x14ac:dyDescent="0.3">
      <c r="A1111" s="96"/>
      <c r="B1111" s="96"/>
      <c r="C1111" s="96"/>
      <c r="D1111" s="96"/>
      <c r="E1111" s="103"/>
      <c r="F1111" s="96"/>
      <c r="G1111" s="96"/>
      <c r="H1111" s="96"/>
      <c r="I1111" s="96"/>
      <c r="J1111" s="96"/>
      <c r="L1111" s="96"/>
      <c r="M1111" s="96"/>
      <c r="P1111" s="96"/>
      <c r="Q1111" s="96"/>
      <c r="R1111" s="96"/>
      <c r="S1111" s="96"/>
      <c r="T1111" s="96"/>
      <c r="U1111" s="96"/>
      <c r="V1111" s="96"/>
      <c r="W1111" s="96"/>
      <c r="AA1111" s="7"/>
      <c r="AB1111" s="7"/>
    </row>
    <row r="1112" spans="1:28" x14ac:dyDescent="0.3">
      <c r="A1112" s="96"/>
      <c r="B1112" s="96"/>
      <c r="C1112" s="96"/>
      <c r="D1112" s="96"/>
      <c r="E1112" s="103"/>
      <c r="F1112" s="96"/>
      <c r="G1112" s="96"/>
      <c r="H1112" s="96"/>
      <c r="I1112" s="96"/>
      <c r="J1112" s="96"/>
      <c r="L1112" s="96"/>
      <c r="M1112" s="96"/>
      <c r="P1112" s="96"/>
      <c r="Q1112" s="96"/>
      <c r="R1112" s="96"/>
      <c r="S1112" s="96"/>
      <c r="T1112" s="96"/>
      <c r="U1112" s="96"/>
      <c r="V1112" s="96"/>
      <c r="W1112" s="96"/>
      <c r="AA1112" s="7"/>
      <c r="AB1112" s="7"/>
    </row>
    <row r="1113" spans="1:28" x14ac:dyDescent="0.3">
      <c r="A1113" s="96"/>
      <c r="B1113" s="96"/>
      <c r="C1113" s="96"/>
      <c r="D1113" s="96"/>
      <c r="E1113" s="103"/>
      <c r="F1113" s="96"/>
      <c r="G1113" s="96"/>
      <c r="H1113" s="96"/>
      <c r="I1113" s="96"/>
      <c r="J1113" s="96"/>
      <c r="L1113" s="96"/>
      <c r="M1113" s="96"/>
      <c r="P1113" s="96"/>
      <c r="Q1113" s="96"/>
      <c r="R1113" s="96"/>
      <c r="S1113" s="96"/>
      <c r="T1113" s="96"/>
      <c r="U1113" s="96"/>
      <c r="V1113" s="96"/>
      <c r="W1113" s="96"/>
      <c r="AA1113" s="7"/>
      <c r="AB1113" s="7"/>
    </row>
    <row r="1114" spans="1:28" x14ac:dyDescent="0.3">
      <c r="A1114" s="96"/>
      <c r="B1114" s="96"/>
      <c r="C1114" s="96"/>
      <c r="D1114" s="96"/>
      <c r="E1114" s="103"/>
      <c r="F1114" s="96"/>
      <c r="G1114" s="96"/>
      <c r="H1114" s="96"/>
      <c r="I1114" s="96"/>
      <c r="J1114" s="96"/>
      <c r="L1114" s="96"/>
      <c r="M1114" s="96"/>
      <c r="P1114" s="96"/>
      <c r="Q1114" s="96"/>
      <c r="R1114" s="96"/>
      <c r="S1114" s="96"/>
      <c r="T1114" s="96"/>
      <c r="U1114" s="96"/>
      <c r="V1114" s="96"/>
      <c r="W1114" s="96"/>
      <c r="AA1114" s="7"/>
      <c r="AB1114" s="7"/>
    </row>
    <row r="1115" spans="1:28" x14ac:dyDescent="0.3">
      <c r="A1115" s="96"/>
      <c r="B1115" s="96"/>
      <c r="C1115" s="96"/>
      <c r="D1115" s="96"/>
      <c r="E1115" s="103"/>
      <c r="F1115" s="96"/>
      <c r="G1115" s="96"/>
      <c r="H1115" s="96"/>
      <c r="I1115" s="96"/>
      <c r="J1115" s="96"/>
      <c r="L1115" s="96"/>
      <c r="M1115" s="96"/>
      <c r="P1115" s="96"/>
      <c r="Q1115" s="96"/>
      <c r="R1115" s="96"/>
      <c r="S1115" s="96"/>
      <c r="T1115" s="96"/>
      <c r="U1115" s="96"/>
      <c r="V1115" s="96"/>
      <c r="W1115" s="96"/>
      <c r="AA1115" s="7"/>
      <c r="AB1115" s="7"/>
    </row>
    <row r="1116" spans="1:28" x14ac:dyDescent="0.3">
      <c r="A1116" s="96"/>
      <c r="B1116" s="96"/>
      <c r="C1116" s="96"/>
      <c r="D1116" s="96"/>
      <c r="E1116" s="103"/>
      <c r="F1116" s="96"/>
      <c r="G1116" s="96"/>
      <c r="H1116" s="96"/>
      <c r="I1116" s="96"/>
      <c r="J1116" s="96"/>
      <c r="L1116" s="96"/>
      <c r="M1116" s="96"/>
      <c r="P1116" s="96"/>
      <c r="Q1116" s="96"/>
      <c r="R1116" s="96"/>
      <c r="S1116" s="96"/>
      <c r="T1116" s="96"/>
      <c r="U1116" s="96"/>
      <c r="V1116" s="96"/>
      <c r="W1116" s="96"/>
      <c r="AA1116" s="7"/>
      <c r="AB1116" s="7"/>
    </row>
    <row r="1117" spans="1:28" x14ac:dyDescent="0.3">
      <c r="A1117" s="96"/>
      <c r="B1117" s="96"/>
      <c r="C1117" s="96"/>
      <c r="D1117" s="96"/>
      <c r="E1117" s="103"/>
      <c r="F1117" s="96"/>
      <c r="G1117" s="96"/>
      <c r="H1117" s="96"/>
      <c r="I1117" s="96"/>
      <c r="J1117" s="96"/>
      <c r="L1117" s="96"/>
      <c r="M1117" s="96"/>
      <c r="P1117" s="96"/>
      <c r="Q1117" s="96"/>
      <c r="R1117" s="96"/>
      <c r="S1117" s="96"/>
      <c r="T1117" s="96"/>
      <c r="U1117" s="96"/>
      <c r="V1117" s="96"/>
      <c r="W1117" s="96"/>
      <c r="AA1117" s="7"/>
      <c r="AB1117" s="7"/>
    </row>
    <row r="1118" spans="1:28" x14ac:dyDescent="0.3">
      <c r="A1118" s="96"/>
      <c r="B1118" s="96"/>
      <c r="C1118" s="96"/>
      <c r="D1118" s="96"/>
      <c r="E1118" s="103"/>
      <c r="F1118" s="96"/>
      <c r="G1118" s="96"/>
      <c r="H1118" s="96"/>
      <c r="I1118" s="96"/>
      <c r="J1118" s="96"/>
      <c r="L1118" s="96"/>
      <c r="M1118" s="96"/>
      <c r="P1118" s="96"/>
      <c r="Q1118" s="96"/>
      <c r="R1118" s="96"/>
      <c r="S1118" s="96"/>
      <c r="T1118" s="96"/>
      <c r="U1118" s="96"/>
      <c r="V1118" s="96"/>
      <c r="W1118" s="96"/>
      <c r="AA1118" s="7"/>
      <c r="AB1118" s="7"/>
    </row>
    <row r="1119" spans="1:28" x14ac:dyDescent="0.3">
      <c r="A1119" s="96"/>
      <c r="B1119" s="96"/>
      <c r="C1119" s="96"/>
      <c r="D1119" s="96"/>
      <c r="E1119" s="103"/>
      <c r="F1119" s="96"/>
      <c r="G1119" s="96"/>
      <c r="H1119" s="96"/>
      <c r="I1119" s="96"/>
      <c r="J1119" s="96"/>
      <c r="L1119" s="96"/>
      <c r="M1119" s="96"/>
      <c r="P1119" s="96"/>
      <c r="Q1119" s="96"/>
      <c r="R1119" s="96"/>
      <c r="S1119" s="96"/>
      <c r="T1119" s="96"/>
      <c r="U1119" s="96"/>
      <c r="V1119" s="96"/>
      <c r="W1119" s="96"/>
      <c r="AA1119" s="7"/>
      <c r="AB1119" s="7"/>
    </row>
    <row r="1120" spans="1:28" x14ac:dyDescent="0.3">
      <c r="A1120" s="96"/>
      <c r="B1120" s="96"/>
      <c r="C1120" s="96"/>
      <c r="D1120" s="96"/>
      <c r="E1120" s="103"/>
      <c r="F1120" s="96"/>
      <c r="G1120" s="96"/>
      <c r="H1120" s="96"/>
      <c r="I1120" s="96"/>
      <c r="J1120" s="96"/>
      <c r="L1120" s="96"/>
      <c r="M1120" s="96"/>
      <c r="P1120" s="96"/>
      <c r="Q1120" s="96"/>
      <c r="R1120" s="96"/>
      <c r="S1120" s="96"/>
      <c r="T1120" s="96"/>
      <c r="U1120" s="96"/>
      <c r="V1120" s="96"/>
      <c r="W1120" s="96"/>
      <c r="AA1120" s="7"/>
      <c r="AB1120" s="7"/>
    </row>
    <row r="1121" spans="1:28" x14ac:dyDescent="0.3">
      <c r="A1121" s="96"/>
      <c r="B1121" s="96"/>
      <c r="C1121" s="96"/>
      <c r="D1121" s="96"/>
      <c r="E1121" s="103"/>
      <c r="F1121" s="96"/>
      <c r="G1121" s="96"/>
      <c r="H1121" s="96"/>
      <c r="I1121" s="96"/>
      <c r="J1121" s="96"/>
      <c r="L1121" s="96"/>
      <c r="M1121" s="96"/>
      <c r="P1121" s="96"/>
      <c r="Q1121" s="96"/>
      <c r="R1121" s="96"/>
      <c r="S1121" s="96"/>
      <c r="T1121" s="96"/>
      <c r="U1121" s="96"/>
      <c r="V1121" s="96"/>
      <c r="W1121" s="96"/>
      <c r="AA1121" s="7"/>
      <c r="AB1121" s="7"/>
    </row>
    <row r="1122" spans="1:28" x14ac:dyDescent="0.3">
      <c r="A1122" s="96"/>
      <c r="B1122" s="96"/>
      <c r="C1122" s="96"/>
      <c r="D1122" s="96"/>
      <c r="E1122" s="103"/>
      <c r="F1122" s="96"/>
      <c r="G1122" s="96"/>
      <c r="H1122" s="96"/>
      <c r="I1122" s="96"/>
      <c r="J1122" s="96"/>
      <c r="L1122" s="96"/>
      <c r="M1122" s="96"/>
      <c r="P1122" s="96"/>
      <c r="Q1122" s="96"/>
      <c r="R1122" s="96"/>
      <c r="S1122" s="96"/>
      <c r="T1122" s="96"/>
      <c r="U1122" s="96"/>
      <c r="V1122" s="96"/>
      <c r="W1122" s="96"/>
      <c r="AA1122" s="7"/>
      <c r="AB1122" s="7"/>
    </row>
    <row r="1123" spans="1:28" x14ac:dyDescent="0.3">
      <c r="A1123" s="96"/>
      <c r="B1123" s="96"/>
      <c r="C1123" s="96"/>
      <c r="D1123" s="96"/>
      <c r="E1123" s="103"/>
      <c r="F1123" s="96"/>
      <c r="G1123" s="96"/>
      <c r="H1123" s="96"/>
      <c r="I1123" s="96"/>
      <c r="J1123" s="96"/>
      <c r="L1123" s="96"/>
      <c r="M1123" s="96"/>
      <c r="P1123" s="96"/>
      <c r="Q1123" s="96"/>
      <c r="R1123" s="96"/>
      <c r="S1123" s="96"/>
      <c r="T1123" s="96"/>
      <c r="U1123" s="96"/>
      <c r="V1123" s="96"/>
      <c r="W1123" s="96"/>
      <c r="AA1123" s="7"/>
      <c r="AB1123" s="7"/>
    </row>
    <row r="1124" spans="1:28" x14ac:dyDescent="0.3">
      <c r="A1124" s="96"/>
      <c r="B1124" s="96"/>
      <c r="C1124" s="96"/>
      <c r="D1124" s="96"/>
      <c r="E1124" s="103"/>
      <c r="F1124" s="96"/>
      <c r="G1124" s="96"/>
      <c r="H1124" s="96"/>
      <c r="I1124" s="96"/>
      <c r="J1124" s="96"/>
      <c r="L1124" s="96"/>
      <c r="M1124" s="96"/>
      <c r="P1124" s="96"/>
      <c r="Q1124" s="96"/>
      <c r="R1124" s="96"/>
      <c r="S1124" s="96"/>
      <c r="T1124" s="96"/>
      <c r="U1124" s="96"/>
      <c r="V1124" s="96"/>
      <c r="W1124" s="96"/>
      <c r="AA1124" s="7"/>
      <c r="AB1124" s="7"/>
    </row>
    <row r="1125" spans="1:28" x14ac:dyDescent="0.3">
      <c r="A1125" s="96"/>
      <c r="B1125" s="96"/>
      <c r="C1125" s="96"/>
      <c r="D1125" s="96"/>
      <c r="E1125" s="103"/>
      <c r="F1125" s="96"/>
      <c r="G1125" s="96"/>
      <c r="H1125" s="96"/>
      <c r="I1125" s="96"/>
      <c r="J1125" s="96"/>
      <c r="L1125" s="96"/>
      <c r="M1125" s="96"/>
      <c r="P1125" s="96"/>
      <c r="Q1125" s="96"/>
      <c r="R1125" s="96"/>
      <c r="S1125" s="96"/>
      <c r="T1125" s="96"/>
      <c r="U1125" s="96"/>
      <c r="V1125" s="96"/>
      <c r="W1125" s="96"/>
      <c r="AA1125" s="7"/>
      <c r="AB1125" s="7"/>
    </row>
    <row r="1126" spans="1:28" x14ac:dyDescent="0.3">
      <c r="A1126" s="96"/>
      <c r="B1126" s="96"/>
      <c r="C1126" s="96"/>
      <c r="D1126" s="96"/>
      <c r="E1126" s="103"/>
      <c r="F1126" s="96"/>
      <c r="G1126" s="96"/>
      <c r="H1126" s="96"/>
      <c r="I1126" s="96"/>
      <c r="J1126" s="96"/>
      <c r="L1126" s="96"/>
      <c r="M1126" s="96"/>
      <c r="P1126" s="96"/>
      <c r="Q1126" s="96"/>
      <c r="R1126" s="96"/>
      <c r="S1126" s="96"/>
      <c r="T1126" s="96"/>
      <c r="U1126" s="96"/>
      <c r="V1126" s="96"/>
      <c r="W1126" s="96"/>
      <c r="AA1126" s="7"/>
      <c r="AB1126" s="7"/>
    </row>
    <row r="1127" spans="1:28" x14ac:dyDescent="0.3">
      <c r="A1127" s="96"/>
      <c r="B1127" s="96"/>
      <c r="C1127" s="96"/>
      <c r="D1127" s="96"/>
      <c r="E1127" s="103"/>
      <c r="F1127" s="96"/>
      <c r="G1127" s="96"/>
      <c r="H1127" s="96"/>
      <c r="I1127" s="96"/>
      <c r="J1127" s="96"/>
      <c r="L1127" s="96"/>
      <c r="M1127" s="96"/>
      <c r="P1127" s="96"/>
      <c r="Q1127" s="96"/>
      <c r="R1127" s="96"/>
      <c r="S1127" s="96"/>
      <c r="T1127" s="96"/>
      <c r="U1127" s="96"/>
      <c r="V1127" s="96"/>
      <c r="W1127" s="96"/>
      <c r="AA1127" s="7"/>
      <c r="AB1127" s="7"/>
    </row>
    <row r="1128" spans="1:28" x14ac:dyDescent="0.3">
      <c r="A1128" s="96"/>
      <c r="B1128" s="96"/>
      <c r="C1128" s="96"/>
      <c r="D1128" s="96"/>
      <c r="E1128" s="103"/>
      <c r="F1128" s="96"/>
      <c r="G1128" s="96"/>
      <c r="H1128" s="96"/>
      <c r="I1128" s="96"/>
      <c r="J1128" s="96"/>
      <c r="L1128" s="96"/>
      <c r="M1128" s="96"/>
      <c r="P1128" s="96"/>
      <c r="Q1128" s="96"/>
      <c r="R1128" s="96"/>
      <c r="S1128" s="96"/>
      <c r="T1128" s="96"/>
      <c r="U1128" s="96"/>
      <c r="V1128" s="96"/>
      <c r="W1128" s="96"/>
      <c r="AA1128" s="7"/>
      <c r="AB1128" s="7"/>
    </row>
    <row r="1129" spans="1:28" x14ac:dyDescent="0.3">
      <c r="A1129" s="96"/>
      <c r="B1129" s="96"/>
      <c r="C1129" s="96"/>
      <c r="D1129" s="96"/>
      <c r="E1129" s="103"/>
      <c r="F1129" s="96"/>
      <c r="G1129" s="96"/>
      <c r="H1129" s="96"/>
      <c r="I1129" s="96"/>
      <c r="J1129" s="96"/>
      <c r="L1129" s="96"/>
      <c r="M1129" s="96"/>
      <c r="P1129" s="96"/>
      <c r="Q1129" s="96"/>
      <c r="R1129" s="96"/>
      <c r="S1129" s="96"/>
      <c r="T1129" s="96"/>
      <c r="U1129" s="96"/>
      <c r="V1129" s="96"/>
      <c r="W1129" s="96"/>
      <c r="AA1129" s="7"/>
      <c r="AB1129" s="7"/>
    </row>
    <row r="1130" spans="1:28" x14ac:dyDescent="0.3">
      <c r="A1130" s="96"/>
      <c r="B1130" s="96"/>
      <c r="C1130" s="96"/>
      <c r="D1130" s="96"/>
      <c r="E1130" s="103"/>
      <c r="F1130" s="96"/>
      <c r="G1130" s="96"/>
      <c r="H1130" s="96"/>
      <c r="I1130" s="96"/>
      <c r="J1130" s="96"/>
      <c r="L1130" s="96"/>
      <c r="M1130" s="96"/>
      <c r="P1130" s="96"/>
      <c r="Q1130" s="96"/>
      <c r="R1130" s="96"/>
      <c r="S1130" s="96"/>
      <c r="T1130" s="96"/>
      <c r="U1130" s="96"/>
      <c r="V1130" s="96"/>
      <c r="W1130" s="96"/>
      <c r="AA1130" s="7"/>
      <c r="AB1130" s="7"/>
    </row>
    <row r="1131" spans="1:28" x14ac:dyDescent="0.3">
      <c r="A1131" s="96"/>
      <c r="B1131" s="96"/>
      <c r="C1131" s="96"/>
      <c r="D1131" s="96"/>
      <c r="E1131" s="103"/>
      <c r="F1131" s="96"/>
      <c r="G1131" s="96"/>
      <c r="H1131" s="96"/>
      <c r="I1131" s="96"/>
      <c r="J1131" s="96"/>
      <c r="L1131" s="96"/>
      <c r="M1131" s="96"/>
      <c r="P1131" s="96"/>
      <c r="Q1131" s="96"/>
      <c r="R1131" s="96"/>
      <c r="S1131" s="96"/>
      <c r="T1131" s="96"/>
      <c r="U1131" s="96"/>
      <c r="V1131" s="96"/>
      <c r="W1131" s="96"/>
      <c r="AA1131" s="7"/>
      <c r="AB1131" s="7"/>
    </row>
    <row r="1132" spans="1:28" x14ac:dyDescent="0.3">
      <c r="A1132" s="96"/>
      <c r="B1132" s="96"/>
      <c r="C1132" s="96"/>
      <c r="D1132" s="96"/>
      <c r="E1132" s="103"/>
      <c r="F1132" s="96"/>
      <c r="G1132" s="96"/>
      <c r="H1132" s="96"/>
      <c r="I1132" s="96"/>
      <c r="J1132" s="96"/>
      <c r="L1132" s="96"/>
      <c r="M1132" s="96"/>
      <c r="P1132" s="96"/>
      <c r="Q1132" s="96"/>
      <c r="R1132" s="96"/>
      <c r="S1132" s="96"/>
      <c r="T1132" s="96"/>
      <c r="U1132" s="96"/>
      <c r="V1132" s="96"/>
      <c r="W1132" s="96"/>
      <c r="AA1132" s="7"/>
      <c r="AB1132" s="7"/>
    </row>
    <row r="1133" spans="1:28" x14ac:dyDescent="0.3">
      <c r="A1133" s="96"/>
      <c r="B1133" s="96"/>
      <c r="C1133" s="96"/>
      <c r="D1133" s="96"/>
      <c r="E1133" s="103"/>
      <c r="F1133" s="96"/>
      <c r="G1133" s="96"/>
      <c r="H1133" s="96"/>
      <c r="I1133" s="96"/>
      <c r="J1133" s="96"/>
      <c r="L1133" s="96"/>
      <c r="M1133" s="96"/>
      <c r="P1133" s="96"/>
      <c r="Q1133" s="96"/>
      <c r="R1133" s="96"/>
      <c r="S1133" s="96"/>
      <c r="T1133" s="96"/>
      <c r="U1133" s="96"/>
      <c r="V1133" s="96"/>
      <c r="W1133" s="96"/>
      <c r="AA1133" s="7"/>
      <c r="AB1133" s="7"/>
    </row>
    <row r="1134" spans="1:28" x14ac:dyDescent="0.3">
      <c r="A1134" s="96"/>
      <c r="B1134" s="96"/>
      <c r="C1134" s="96"/>
      <c r="D1134" s="96"/>
      <c r="E1134" s="103"/>
      <c r="F1134" s="96"/>
      <c r="G1134" s="96"/>
      <c r="H1134" s="96"/>
      <c r="I1134" s="96"/>
      <c r="J1134" s="96"/>
      <c r="L1134" s="96"/>
      <c r="M1134" s="96"/>
      <c r="P1134" s="96"/>
      <c r="Q1134" s="96"/>
      <c r="R1134" s="96"/>
      <c r="S1134" s="96"/>
      <c r="T1134" s="96"/>
      <c r="U1134" s="96"/>
      <c r="V1134" s="96"/>
      <c r="W1134" s="96"/>
      <c r="AA1134" s="7"/>
      <c r="AB1134" s="7"/>
    </row>
    <row r="1135" spans="1:28" x14ac:dyDescent="0.3">
      <c r="A1135" s="96"/>
      <c r="B1135" s="96"/>
      <c r="C1135" s="96"/>
      <c r="D1135" s="96"/>
      <c r="E1135" s="103"/>
      <c r="F1135" s="96"/>
      <c r="G1135" s="96"/>
      <c r="H1135" s="96"/>
      <c r="I1135" s="96"/>
      <c r="J1135" s="96"/>
      <c r="L1135" s="96"/>
      <c r="M1135" s="96"/>
      <c r="P1135" s="96"/>
      <c r="Q1135" s="96"/>
      <c r="R1135" s="96"/>
      <c r="S1135" s="96"/>
      <c r="T1135" s="96"/>
      <c r="U1135" s="96"/>
      <c r="V1135" s="96"/>
      <c r="W1135" s="96"/>
      <c r="AA1135" s="7"/>
      <c r="AB1135" s="7"/>
    </row>
    <row r="1136" spans="1:28" x14ac:dyDescent="0.3">
      <c r="A1136" s="96"/>
      <c r="B1136" s="96"/>
      <c r="C1136" s="96"/>
      <c r="D1136" s="96"/>
      <c r="E1136" s="103"/>
      <c r="F1136" s="96"/>
      <c r="G1136" s="96"/>
      <c r="H1136" s="96"/>
      <c r="I1136" s="96"/>
      <c r="J1136" s="96"/>
      <c r="L1136" s="96"/>
      <c r="M1136" s="96"/>
      <c r="P1136" s="96"/>
      <c r="Q1136" s="96"/>
      <c r="R1136" s="96"/>
      <c r="S1136" s="96"/>
      <c r="T1136" s="96"/>
      <c r="U1136" s="96"/>
      <c r="V1136" s="96"/>
      <c r="W1136" s="96"/>
      <c r="AA1136" s="7"/>
      <c r="AB1136" s="7"/>
    </row>
    <row r="1137" spans="1:28" x14ac:dyDescent="0.3">
      <c r="A1137" s="96"/>
      <c r="B1137" s="96"/>
      <c r="C1137" s="96"/>
      <c r="D1137" s="96"/>
      <c r="E1137" s="103"/>
      <c r="F1137" s="96"/>
      <c r="G1137" s="96"/>
      <c r="H1137" s="96"/>
      <c r="I1137" s="96"/>
      <c r="J1137" s="96"/>
      <c r="L1137" s="96"/>
      <c r="M1137" s="96"/>
      <c r="P1137" s="96"/>
      <c r="Q1137" s="96"/>
      <c r="R1137" s="96"/>
      <c r="S1137" s="96"/>
      <c r="T1137" s="96"/>
      <c r="U1137" s="96"/>
      <c r="V1137" s="96"/>
      <c r="W1137" s="96"/>
      <c r="AA1137" s="7"/>
      <c r="AB1137" s="7"/>
    </row>
    <row r="1138" spans="1:28" x14ac:dyDescent="0.3">
      <c r="A1138" s="96"/>
      <c r="B1138" s="96"/>
      <c r="C1138" s="96"/>
      <c r="D1138" s="96"/>
      <c r="E1138" s="103"/>
      <c r="F1138" s="96"/>
      <c r="G1138" s="96"/>
      <c r="H1138" s="96"/>
      <c r="I1138" s="96"/>
      <c r="J1138" s="96"/>
      <c r="L1138" s="96"/>
      <c r="M1138" s="96"/>
      <c r="P1138" s="96"/>
      <c r="Q1138" s="96"/>
      <c r="R1138" s="96"/>
      <c r="S1138" s="96"/>
      <c r="T1138" s="96"/>
      <c r="U1138" s="96"/>
      <c r="V1138" s="96"/>
      <c r="W1138" s="96"/>
      <c r="AA1138" s="7"/>
      <c r="AB1138" s="7"/>
    </row>
    <row r="1139" spans="1:28" x14ac:dyDescent="0.3">
      <c r="A1139" s="96"/>
      <c r="B1139" s="96"/>
      <c r="C1139" s="96"/>
      <c r="D1139" s="96"/>
      <c r="E1139" s="103"/>
      <c r="F1139" s="96"/>
      <c r="G1139" s="96"/>
      <c r="H1139" s="96"/>
      <c r="I1139" s="96"/>
      <c r="J1139" s="96"/>
      <c r="L1139" s="96"/>
      <c r="M1139" s="96"/>
      <c r="P1139" s="96"/>
      <c r="Q1139" s="96"/>
      <c r="R1139" s="96"/>
      <c r="S1139" s="96"/>
      <c r="T1139" s="96"/>
      <c r="U1139" s="96"/>
      <c r="V1139" s="96"/>
      <c r="W1139" s="96"/>
    </row>
    <row r="1140" spans="1:28" x14ac:dyDescent="0.3">
      <c r="A1140" s="96"/>
      <c r="B1140" s="96"/>
      <c r="C1140" s="96"/>
      <c r="D1140" s="96"/>
      <c r="E1140" s="103"/>
      <c r="F1140" s="96"/>
      <c r="G1140" s="96"/>
      <c r="H1140" s="96"/>
      <c r="I1140" s="96"/>
      <c r="J1140" s="96"/>
      <c r="L1140" s="96"/>
      <c r="M1140" s="96"/>
      <c r="P1140" s="96"/>
      <c r="Q1140" s="96"/>
      <c r="R1140" s="96"/>
      <c r="S1140" s="96"/>
      <c r="T1140" s="96"/>
      <c r="U1140" s="96"/>
      <c r="V1140" s="96"/>
      <c r="W1140" s="96"/>
    </row>
    <row r="1141" spans="1:28" x14ac:dyDescent="0.3">
      <c r="A1141" s="96"/>
      <c r="B1141" s="96"/>
      <c r="C1141" s="96"/>
      <c r="D1141" s="96"/>
      <c r="E1141" s="103"/>
      <c r="F1141" s="96"/>
      <c r="G1141" s="96"/>
      <c r="H1141" s="96"/>
      <c r="I1141" s="96"/>
      <c r="J1141" s="96"/>
      <c r="L1141" s="96"/>
      <c r="M1141" s="96"/>
      <c r="P1141" s="96"/>
      <c r="Q1141" s="96"/>
      <c r="R1141" s="96"/>
      <c r="S1141" s="96"/>
      <c r="T1141" s="96"/>
      <c r="U1141" s="96"/>
      <c r="V1141" s="96"/>
      <c r="W1141" s="96"/>
    </row>
    <row r="1142" spans="1:28" x14ac:dyDescent="0.3">
      <c r="A1142" s="96"/>
      <c r="B1142" s="96"/>
      <c r="C1142" s="96"/>
      <c r="D1142" s="96"/>
      <c r="E1142" s="103"/>
      <c r="F1142" s="96"/>
      <c r="G1142" s="96"/>
      <c r="H1142" s="96"/>
      <c r="I1142" s="96"/>
      <c r="J1142" s="96"/>
      <c r="L1142" s="96"/>
      <c r="M1142" s="96"/>
      <c r="P1142" s="96"/>
      <c r="Q1142" s="96"/>
      <c r="R1142" s="96"/>
      <c r="S1142" s="96"/>
      <c r="T1142" s="96"/>
      <c r="U1142" s="96"/>
      <c r="V1142" s="96"/>
      <c r="W1142" s="96"/>
    </row>
    <row r="1143" spans="1:28" x14ac:dyDescent="0.3">
      <c r="A1143" s="96"/>
      <c r="B1143" s="96"/>
      <c r="C1143" s="96"/>
      <c r="D1143" s="96"/>
      <c r="E1143" s="103"/>
      <c r="F1143" s="96"/>
      <c r="G1143" s="96"/>
      <c r="H1143" s="96"/>
      <c r="I1143" s="96"/>
      <c r="J1143" s="96"/>
      <c r="L1143" s="96"/>
      <c r="M1143" s="96"/>
      <c r="P1143" s="96"/>
      <c r="Q1143" s="96"/>
      <c r="R1143" s="96"/>
      <c r="S1143" s="96"/>
      <c r="T1143" s="96"/>
      <c r="U1143" s="96"/>
      <c r="V1143" s="96"/>
      <c r="W1143" s="96"/>
    </row>
    <row r="1144" spans="1:28" x14ac:dyDescent="0.3">
      <c r="A1144" s="96"/>
      <c r="B1144" s="96"/>
      <c r="C1144" s="96"/>
      <c r="D1144" s="96"/>
      <c r="E1144" s="103"/>
      <c r="F1144" s="96"/>
      <c r="G1144" s="96"/>
      <c r="H1144" s="96"/>
      <c r="I1144" s="96"/>
      <c r="J1144" s="96"/>
      <c r="L1144" s="96"/>
      <c r="M1144" s="96"/>
      <c r="P1144" s="96"/>
      <c r="Q1144" s="96"/>
      <c r="R1144" s="96"/>
      <c r="S1144" s="96"/>
      <c r="T1144" s="96"/>
      <c r="U1144" s="96"/>
      <c r="V1144" s="96"/>
      <c r="W1144" s="96"/>
    </row>
    <row r="1145" spans="1:28" x14ac:dyDescent="0.3">
      <c r="A1145" s="96"/>
      <c r="B1145" s="96"/>
      <c r="C1145" s="96"/>
      <c r="D1145" s="96"/>
      <c r="E1145" s="103"/>
      <c r="F1145" s="96"/>
      <c r="G1145" s="96"/>
      <c r="H1145" s="96"/>
      <c r="I1145" s="96"/>
      <c r="J1145" s="96"/>
      <c r="L1145" s="96"/>
      <c r="M1145" s="96"/>
      <c r="P1145" s="96"/>
      <c r="Q1145" s="96"/>
      <c r="R1145" s="96"/>
      <c r="S1145" s="96"/>
      <c r="T1145" s="96"/>
      <c r="U1145" s="96"/>
      <c r="V1145" s="96"/>
      <c r="W1145" s="96"/>
    </row>
    <row r="1146" spans="1:28" x14ac:dyDescent="0.3">
      <c r="A1146" s="96"/>
      <c r="B1146" s="96"/>
      <c r="C1146" s="96"/>
      <c r="D1146" s="96"/>
      <c r="E1146" s="103"/>
      <c r="F1146" s="96"/>
      <c r="G1146" s="96"/>
      <c r="H1146" s="96"/>
      <c r="I1146" s="96"/>
      <c r="J1146" s="96"/>
      <c r="L1146" s="96"/>
      <c r="M1146" s="96"/>
      <c r="P1146" s="96"/>
      <c r="Q1146" s="96"/>
      <c r="R1146" s="96"/>
      <c r="S1146" s="96"/>
      <c r="T1146" s="96"/>
      <c r="U1146" s="96"/>
      <c r="V1146" s="96"/>
      <c r="W1146" s="96"/>
    </row>
    <row r="1147" spans="1:28" x14ac:dyDescent="0.3">
      <c r="A1147" s="96"/>
      <c r="B1147" s="96"/>
      <c r="C1147" s="96"/>
      <c r="D1147" s="96"/>
      <c r="E1147" s="103"/>
      <c r="F1147" s="96"/>
      <c r="G1147" s="96"/>
      <c r="H1147" s="96"/>
      <c r="I1147" s="96"/>
      <c r="J1147" s="96"/>
      <c r="L1147" s="96"/>
      <c r="M1147" s="96"/>
      <c r="P1147" s="96"/>
      <c r="Q1147" s="96"/>
      <c r="R1147" s="96"/>
      <c r="S1147" s="96"/>
      <c r="T1147" s="96"/>
      <c r="U1147" s="96"/>
      <c r="V1147" s="96"/>
      <c r="W1147" s="96"/>
    </row>
    <row r="1148" spans="1:28" x14ac:dyDescent="0.3">
      <c r="A1148" s="96"/>
      <c r="B1148" s="96"/>
      <c r="C1148" s="96"/>
      <c r="D1148" s="96"/>
      <c r="E1148" s="103"/>
      <c r="F1148" s="96"/>
      <c r="G1148" s="96"/>
      <c r="H1148" s="96"/>
      <c r="I1148" s="96"/>
      <c r="J1148" s="96"/>
      <c r="L1148" s="96"/>
      <c r="M1148" s="96"/>
      <c r="P1148" s="96"/>
      <c r="Q1148" s="96"/>
      <c r="R1148" s="96"/>
      <c r="S1148" s="96"/>
      <c r="T1148" s="96"/>
      <c r="U1148" s="96"/>
      <c r="V1148" s="96"/>
      <c r="W1148" s="96"/>
    </row>
    <row r="1149" spans="1:28" x14ac:dyDescent="0.3">
      <c r="A1149" s="96"/>
      <c r="B1149" s="96"/>
      <c r="C1149" s="96"/>
      <c r="D1149" s="96"/>
      <c r="E1149" s="103"/>
      <c r="F1149" s="96"/>
      <c r="G1149" s="96"/>
      <c r="H1149" s="96"/>
      <c r="I1149" s="96"/>
      <c r="J1149" s="96"/>
      <c r="L1149" s="96"/>
      <c r="M1149" s="96"/>
      <c r="P1149" s="96"/>
      <c r="Q1149" s="96"/>
      <c r="R1149" s="96"/>
      <c r="S1149" s="96"/>
      <c r="T1149" s="96"/>
      <c r="U1149" s="96"/>
      <c r="V1149" s="96"/>
      <c r="W1149" s="96"/>
    </row>
    <row r="1150" spans="1:28" x14ac:dyDescent="0.3">
      <c r="A1150" s="96"/>
      <c r="B1150" s="96"/>
      <c r="C1150" s="96"/>
      <c r="D1150" s="96"/>
      <c r="E1150" s="103"/>
      <c r="F1150" s="96"/>
      <c r="G1150" s="96"/>
      <c r="H1150" s="96"/>
      <c r="I1150" s="96"/>
      <c r="J1150" s="96"/>
      <c r="L1150" s="96"/>
      <c r="M1150" s="96"/>
      <c r="P1150" s="96"/>
      <c r="Q1150" s="96"/>
      <c r="R1150" s="96"/>
      <c r="S1150" s="96"/>
      <c r="T1150" s="96"/>
      <c r="U1150" s="96"/>
      <c r="V1150" s="96"/>
      <c r="W1150" s="96"/>
    </row>
    <row r="1151" spans="1:28" x14ac:dyDescent="0.3">
      <c r="A1151" s="96"/>
      <c r="B1151" s="96"/>
      <c r="C1151" s="96"/>
      <c r="D1151" s="96"/>
      <c r="E1151" s="103"/>
      <c r="F1151" s="96"/>
      <c r="G1151" s="96"/>
      <c r="H1151" s="96"/>
      <c r="I1151" s="96"/>
      <c r="J1151" s="96"/>
      <c r="L1151" s="96"/>
      <c r="M1151" s="96"/>
      <c r="P1151" s="96"/>
      <c r="Q1151" s="96"/>
      <c r="R1151" s="96"/>
      <c r="S1151" s="96"/>
      <c r="T1151" s="96"/>
      <c r="U1151" s="96"/>
      <c r="V1151" s="96"/>
      <c r="W1151" s="96"/>
    </row>
    <row r="1152" spans="1:28" x14ac:dyDescent="0.3">
      <c r="A1152" s="96"/>
      <c r="B1152" s="96"/>
      <c r="C1152" s="96"/>
      <c r="D1152" s="96"/>
      <c r="E1152" s="103"/>
      <c r="F1152" s="96"/>
      <c r="G1152" s="96"/>
      <c r="H1152" s="96"/>
      <c r="I1152" s="96"/>
      <c r="J1152" s="96"/>
      <c r="L1152" s="96"/>
      <c r="M1152" s="96"/>
      <c r="P1152" s="96"/>
      <c r="Q1152" s="96"/>
      <c r="R1152" s="96"/>
      <c r="S1152" s="96"/>
      <c r="T1152" s="96"/>
      <c r="U1152" s="96"/>
      <c r="V1152" s="96"/>
      <c r="W1152" s="96"/>
    </row>
    <row r="1153" spans="1:23" x14ac:dyDescent="0.3">
      <c r="A1153" s="96"/>
      <c r="B1153" s="96"/>
      <c r="C1153" s="96"/>
      <c r="D1153" s="96"/>
      <c r="E1153" s="103"/>
      <c r="F1153" s="96"/>
      <c r="G1153" s="96"/>
      <c r="H1153" s="96"/>
      <c r="I1153" s="96"/>
      <c r="J1153" s="96"/>
      <c r="L1153" s="96"/>
      <c r="M1153" s="96"/>
      <c r="P1153" s="96"/>
      <c r="Q1153" s="96"/>
      <c r="R1153" s="96"/>
      <c r="S1153" s="96"/>
      <c r="T1153" s="96"/>
      <c r="U1153" s="96"/>
      <c r="V1153" s="96"/>
      <c r="W1153" s="96"/>
    </row>
    <row r="1154" spans="1:23" x14ac:dyDescent="0.3">
      <c r="A1154" s="96"/>
      <c r="B1154" s="96"/>
      <c r="C1154" s="96"/>
      <c r="D1154" s="96"/>
      <c r="E1154" s="103"/>
      <c r="F1154" s="96"/>
      <c r="G1154" s="96"/>
      <c r="H1154" s="96"/>
      <c r="I1154" s="96"/>
      <c r="J1154" s="96"/>
      <c r="L1154" s="96"/>
      <c r="M1154" s="96"/>
      <c r="P1154" s="96"/>
      <c r="Q1154" s="96"/>
      <c r="R1154" s="96"/>
      <c r="S1154" s="96"/>
      <c r="T1154" s="96"/>
      <c r="U1154" s="96"/>
      <c r="V1154" s="96"/>
      <c r="W1154" s="96"/>
    </row>
    <row r="1155" spans="1:23" x14ac:dyDescent="0.3">
      <c r="A1155" s="96"/>
      <c r="B1155" s="96"/>
      <c r="C1155" s="96"/>
      <c r="D1155" s="96"/>
      <c r="E1155" s="103"/>
      <c r="F1155" s="96"/>
      <c r="G1155" s="96"/>
      <c r="H1155" s="96"/>
      <c r="I1155" s="96"/>
      <c r="J1155" s="96"/>
      <c r="L1155" s="96"/>
      <c r="M1155" s="96"/>
      <c r="P1155" s="96"/>
      <c r="Q1155" s="96"/>
      <c r="R1155" s="96"/>
      <c r="S1155" s="96"/>
      <c r="T1155" s="96"/>
      <c r="U1155" s="96"/>
      <c r="V1155" s="96"/>
      <c r="W1155" s="96"/>
    </row>
    <row r="1156" spans="1:23" x14ac:dyDescent="0.3">
      <c r="A1156" s="96"/>
      <c r="B1156" s="96"/>
      <c r="C1156" s="96"/>
      <c r="D1156" s="96"/>
      <c r="E1156" s="103"/>
      <c r="F1156" s="96"/>
      <c r="G1156" s="96"/>
      <c r="H1156" s="96"/>
      <c r="I1156" s="96"/>
      <c r="J1156" s="96"/>
      <c r="L1156" s="96"/>
      <c r="M1156" s="96"/>
      <c r="P1156" s="96"/>
      <c r="Q1156" s="96"/>
      <c r="R1156" s="96"/>
      <c r="S1156" s="96"/>
      <c r="T1156" s="96"/>
      <c r="U1156" s="96"/>
      <c r="V1156" s="96"/>
      <c r="W1156" s="96"/>
    </row>
    <row r="1157" spans="1:23" x14ac:dyDescent="0.3">
      <c r="A1157" s="96"/>
      <c r="B1157" s="96"/>
      <c r="C1157" s="96"/>
      <c r="D1157" s="96"/>
      <c r="E1157" s="103"/>
      <c r="F1157" s="96"/>
      <c r="G1157" s="96"/>
      <c r="H1157" s="96"/>
      <c r="I1157" s="96"/>
      <c r="J1157" s="96"/>
      <c r="L1157" s="96"/>
      <c r="M1157" s="96"/>
      <c r="P1157" s="96"/>
      <c r="Q1157" s="96"/>
      <c r="R1157" s="96"/>
      <c r="S1157" s="96"/>
      <c r="T1157" s="96"/>
      <c r="U1157" s="96"/>
      <c r="V1157" s="96"/>
      <c r="W1157" s="96"/>
    </row>
    <row r="1158" spans="1:23" x14ac:dyDescent="0.3">
      <c r="A1158" s="96"/>
      <c r="B1158" s="96"/>
      <c r="C1158" s="96"/>
      <c r="D1158" s="96"/>
      <c r="E1158" s="103"/>
      <c r="F1158" s="96"/>
      <c r="G1158" s="96"/>
      <c r="H1158" s="96"/>
      <c r="I1158" s="96"/>
      <c r="J1158" s="96"/>
      <c r="L1158" s="96"/>
      <c r="M1158" s="96"/>
      <c r="P1158" s="96"/>
      <c r="Q1158" s="96"/>
      <c r="R1158" s="96"/>
      <c r="S1158" s="96"/>
      <c r="T1158" s="96"/>
      <c r="U1158" s="96"/>
      <c r="V1158" s="96"/>
      <c r="W1158" s="96"/>
    </row>
    <row r="1159" spans="1:23" x14ac:dyDescent="0.3">
      <c r="A1159" s="96"/>
      <c r="B1159" s="96"/>
      <c r="C1159" s="96"/>
      <c r="D1159" s="96"/>
      <c r="E1159" s="103"/>
      <c r="F1159" s="96"/>
      <c r="G1159" s="96"/>
      <c r="H1159" s="96"/>
      <c r="I1159" s="96"/>
      <c r="J1159" s="96"/>
      <c r="L1159" s="96"/>
      <c r="M1159" s="96"/>
      <c r="P1159" s="96"/>
      <c r="Q1159" s="96"/>
      <c r="R1159" s="96"/>
      <c r="S1159" s="96"/>
      <c r="T1159" s="96"/>
      <c r="U1159" s="96"/>
      <c r="V1159" s="96"/>
      <c r="W1159" s="96"/>
    </row>
    <row r="1160" spans="1:23" x14ac:dyDescent="0.3">
      <c r="A1160" s="96"/>
      <c r="B1160" s="96"/>
      <c r="C1160" s="96"/>
      <c r="D1160" s="96"/>
      <c r="E1160" s="103"/>
      <c r="F1160" s="96"/>
      <c r="G1160" s="96"/>
      <c r="H1160" s="96"/>
      <c r="I1160" s="96"/>
      <c r="J1160" s="96"/>
      <c r="L1160" s="96"/>
      <c r="M1160" s="96"/>
      <c r="P1160" s="96"/>
      <c r="Q1160" s="96"/>
      <c r="R1160" s="96"/>
      <c r="S1160" s="96"/>
      <c r="T1160" s="96"/>
      <c r="U1160" s="96"/>
      <c r="V1160" s="96"/>
      <c r="W1160" s="96"/>
    </row>
    <row r="1161" spans="1:23" x14ac:dyDescent="0.3">
      <c r="A1161" s="96"/>
      <c r="B1161" s="96"/>
      <c r="C1161" s="96"/>
      <c r="D1161" s="96"/>
      <c r="E1161" s="103"/>
      <c r="F1161" s="96"/>
      <c r="G1161" s="96"/>
      <c r="H1161" s="96"/>
      <c r="I1161" s="96"/>
      <c r="J1161" s="96"/>
      <c r="L1161" s="96"/>
      <c r="M1161" s="96"/>
      <c r="P1161" s="96"/>
      <c r="Q1161" s="96"/>
      <c r="R1161" s="96"/>
      <c r="S1161" s="96"/>
      <c r="T1161" s="96"/>
      <c r="U1161" s="96"/>
      <c r="V1161" s="96"/>
      <c r="W1161" s="96"/>
    </row>
    <row r="1162" spans="1:23" x14ac:dyDescent="0.3">
      <c r="A1162" s="96"/>
      <c r="B1162" s="96"/>
      <c r="C1162" s="96"/>
      <c r="D1162" s="96"/>
      <c r="E1162" s="103"/>
      <c r="F1162" s="96"/>
      <c r="G1162" s="96"/>
      <c r="H1162" s="96"/>
      <c r="I1162" s="96"/>
      <c r="J1162" s="96"/>
      <c r="L1162" s="96"/>
      <c r="M1162" s="96"/>
      <c r="P1162" s="96"/>
      <c r="Q1162" s="96"/>
      <c r="R1162" s="96"/>
      <c r="S1162" s="96"/>
      <c r="T1162" s="96"/>
      <c r="U1162" s="96"/>
      <c r="V1162" s="96"/>
      <c r="W1162" s="96"/>
    </row>
    <row r="1163" spans="1:23" x14ac:dyDescent="0.3">
      <c r="A1163" s="96"/>
      <c r="B1163" s="96"/>
      <c r="C1163" s="96"/>
      <c r="D1163" s="96"/>
      <c r="E1163" s="103"/>
      <c r="F1163" s="96"/>
      <c r="G1163" s="96"/>
      <c r="H1163" s="96"/>
      <c r="I1163" s="96"/>
      <c r="J1163" s="96"/>
      <c r="L1163" s="96"/>
      <c r="M1163" s="96"/>
      <c r="P1163" s="96"/>
      <c r="Q1163" s="96"/>
      <c r="R1163" s="96"/>
      <c r="S1163" s="96"/>
      <c r="T1163" s="96"/>
      <c r="U1163" s="96"/>
      <c r="V1163" s="96"/>
      <c r="W1163" s="96"/>
    </row>
    <row r="1164" spans="1:23" x14ac:dyDescent="0.3">
      <c r="A1164" s="96"/>
      <c r="B1164" s="96"/>
      <c r="C1164" s="96"/>
      <c r="D1164" s="96"/>
      <c r="E1164" s="103"/>
      <c r="F1164" s="96"/>
      <c r="G1164" s="96"/>
      <c r="H1164" s="96"/>
      <c r="I1164" s="96"/>
      <c r="J1164" s="96"/>
      <c r="L1164" s="96"/>
      <c r="M1164" s="96"/>
      <c r="P1164" s="96"/>
      <c r="Q1164" s="96"/>
      <c r="R1164" s="96"/>
      <c r="S1164" s="96"/>
      <c r="T1164" s="96"/>
      <c r="U1164" s="96"/>
      <c r="V1164" s="96"/>
      <c r="W1164" s="96"/>
    </row>
    <row r="1165" spans="1:23" x14ac:dyDescent="0.3">
      <c r="A1165" s="96"/>
      <c r="B1165" s="96"/>
      <c r="C1165" s="96"/>
      <c r="D1165" s="96"/>
      <c r="E1165" s="103"/>
      <c r="F1165" s="96"/>
      <c r="G1165" s="96"/>
      <c r="H1165" s="96"/>
      <c r="I1165" s="96"/>
      <c r="J1165" s="96"/>
      <c r="L1165" s="96"/>
      <c r="M1165" s="96"/>
      <c r="P1165" s="96"/>
      <c r="Q1165" s="96"/>
      <c r="R1165" s="96"/>
      <c r="S1165" s="96"/>
      <c r="T1165" s="96"/>
      <c r="U1165" s="96"/>
      <c r="V1165" s="96"/>
      <c r="W1165" s="96"/>
    </row>
    <row r="1166" spans="1:23" x14ac:dyDescent="0.3">
      <c r="A1166" s="96"/>
      <c r="B1166" s="96"/>
      <c r="C1166" s="96"/>
      <c r="D1166" s="96"/>
      <c r="E1166" s="103"/>
      <c r="F1166" s="96"/>
      <c r="G1166" s="96"/>
      <c r="H1166" s="96"/>
      <c r="I1166" s="96"/>
      <c r="J1166" s="96"/>
      <c r="L1166" s="96"/>
      <c r="M1166" s="96"/>
      <c r="P1166" s="96"/>
      <c r="Q1166" s="96"/>
      <c r="R1166" s="96"/>
      <c r="S1166" s="96"/>
      <c r="T1166" s="96"/>
      <c r="U1166" s="96"/>
      <c r="V1166" s="96"/>
      <c r="W1166" s="96"/>
    </row>
    <row r="1167" spans="1:23" x14ac:dyDescent="0.3">
      <c r="A1167" s="96"/>
      <c r="B1167" s="96"/>
      <c r="C1167" s="96"/>
      <c r="D1167" s="96"/>
      <c r="E1167" s="103"/>
      <c r="F1167" s="96"/>
      <c r="G1167" s="96"/>
      <c r="H1167" s="96"/>
      <c r="I1167" s="96"/>
      <c r="J1167" s="96"/>
      <c r="L1167" s="96"/>
      <c r="M1167" s="96"/>
      <c r="P1167" s="96"/>
      <c r="Q1167" s="96"/>
      <c r="R1167" s="96"/>
      <c r="S1167" s="96"/>
      <c r="T1167" s="96"/>
      <c r="U1167" s="96"/>
      <c r="V1167" s="96"/>
      <c r="W1167" s="96"/>
    </row>
    <row r="1168" spans="1:23" x14ac:dyDescent="0.3">
      <c r="A1168" s="96"/>
      <c r="B1168" s="96"/>
      <c r="C1168" s="96"/>
      <c r="D1168" s="96"/>
      <c r="E1168" s="103"/>
      <c r="F1168" s="96"/>
      <c r="G1168" s="96"/>
      <c r="H1168" s="96"/>
      <c r="I1168" s="96"/>
      <c r="J1168" s="96"/>
      <c r="L1168" s="96"/>
      <c r="M1168" s="96"/>
      <c r="P1168" s="96"/>
      <c r="Q1168" s="96"/>
      <c r="R1168" s="96"/>
      <c r="S1168" s="96"/>
      <c r="T1168" s="96"/>
      <c r="U1168" s="96"/>
      <c r="V1168" s="96"/>
      <c r="W1168" s="96"/>
    </row>
    <row r="1169" spans="1:23" x14ac:dyDescent="0.3">
      <c r="A1169" s="96"/>
      <c r="B1169" s="96"/>
      <c r="C1169" s="96"/>
      <c r="D1169" s="96"/>
      <c r="E1169" s="103"/>
      <c r="F1169" s="96"/>
      <c r="G1169" s="96"/>
      <c r="H1169" s="96"/>
      <c r="I1169" s="96"/>
      <c r="J1169" s="96"/>
      <c r="L1169" s="96"/>
      <c r="M1169" s="96"/>
      <c r="P1169" s="96"/>
      <c r="Q1169" s="96"/>
      <c r="R1169" s="96"/>
      <c r="S1169" s="96"/>
      <c r="T1169" s="96"/>
      <c r="U1169" s="96"/>
      <c r="V1169" s="96"/>
      <c r="W1169" s="96"/>
    </row>
    <row r="1170" spans="1:23" x14ac:dyDescent="0.3">
      <c r="A1170" s="96"/>
      <c r="B1170" s="96"/>
      <c r="C1170" s="96"/>
      <c r="D1170" s="96"/>
      <c r="E1170" s="103"/>
      <c r="F1170" s="96"/>
      <c r="G1170" s="96"/>
      <c r="H1170" s="96"/>
      <c r="I1170" s="96"/>
      <c r="J1170" s="96"/>
      <c r="L1170" s="96"/>
      <c r="M1170" s="96"/>
      <c r="P1170" s="96"/>
      <c r="Q1170" s="96"/>
      <c r="R1170" s="96"/>
      <c r="S1170" s="96"/>
      <c r="T1170" s="96"/>
      <c r="U1170" s="96"/>
      <c r="V1170" s="96"/>
      <c r="W1170" s="96"/>
    </row>
    <row r="1171" spans="1:23" x14ac:dyDescent="0.3">
      <c r="A1171" s="96"/>
      <c r="B1171" s="96"/>
      <c r="C1171" s="96"/>
      <c r="D1171" s="96"/>
      <c r="E1171" s="103"/>
      <c r="F1171" s="96"/>
      <c r="G1171" s="96"/>
      <c r="H1171" s="96"/>
      <c r="I1171" s="96"/>
      <c r="J1171" s="96"/>
      <c r="L1171" s="96"/>
      <c r="M1171" s="96"/>
      <c r="P1171" s="96"/>
      <c r="Q1171" s="96"/>
      <c r="R1171" s="96"/>
      <c r="S1171" s="96"/>
      <c r="T1171" s="96"/>
      <c r="U1171" s="96"/>
      <c r="V1171" s="96"/>
      <c r="W1171" s="96"/>
    </row>
    <row r="1172" spans="1:23" x14ac:dyDescent="0.3">
      <c r="A1172" s="96"/>
      <c r="B1172" s="96"/>
      <c r="C1172" s="96"/>
      <c r="D1172" s="96"/>
      <c r="E1172" s="103"/>
      <c r="F1172" s="96"/>
      <c r="G1172" s="96"/>
      <c r="H1172" s="96"/>
      <c r="I1172" s="96"/>
      <c r="J1172" s="96"/>
      <c r="L1172" s="96"/>
      <c r="M1172" s="96"/>
      <c r="P1172" s="96"/>
      <c r="Q1172" s="96"/>
      <c r="R1172" s="96"/>
      <c r="S1172" s="96"/>
      <c r="T1172" s="96"/>
      <c r="U1172" s="96"/>
      <c r="V1172" s="96"/>
      <c r="W1172" s="96"/>
    </row>
    <row r="1173" spans="1:23" x14ac:dyDescent="0.3">
      <c r="A1173" s="96"/>
      <c r="B1173" s="96"/>
      <c r="C1173" s="96"/>
      <c r="D1173" s="96"/>
      <c r="E1173" s="103"/>
      <c r="F1173" s="96"/>
      <c r="G1173" s="96"/>
      <c r="H1173" s="96"/>
      <c r="I1173" s="96"/>
      <c r="J1173" s="96"/>
      <c r="L1173" s="96"/>
      <c r="M1173" s="96"/>
      <c r="P1173" s="96"/>
      <c r="Q1173" s="96"/>
      <c r="R1173" s="96"/>
      <c r="S1173" s="96"/>
      <c r="T1173" s="96"/>
      <c r="U1173" s="96"/>
      <c r="V1173" s="96"/>
      <c r="W1173" s="96"/>
    </row>
    <row r="1174" spans="1:23" x14ac:dyDescent="0.3">
      <c r="A1174" s="96"/>
      <c r="B1174" s="96"/>
      <c r="C1174" s="96"/>
      <c r="D1174" s="96"/>
      <c r="E1174" s="103"/>
      <c r="F1174" s="96"/>
      <c r="G1174" s="96"/>
      <c r="H1174" s="96"/>
      <c r="I1174" s="96"/>
      <c r="J1174" s="96"/>
      <c r="L1174" s="96"/>
      <c r="M1174" s="96"/>
      <c r="P1174" s="96"/>
      <c r="Q1174" s="96"/>
      <c r="R1174" s="96"/>
      <c r="S1174" s="96"/>
      <c r="T1174" s="96"/>
      <c r="U1174" s="96"/>
      <c r="V1174" s="96"/>
      <c r="W1174" s="96"/>
    </row>
    <row r="1175" spans="1:23" x14ac:dyDescent="0.3">
      <c r="A1175" s="96"/>
      <c r="B1175" s="96"/>
      <c r="C1175" s="96"/>
      <c r="D1175" s="96"/>
      <c r="E1175" s="103"/>
      <c r="F1175" s="96"/>
      <c r="G1175" s="96"/>
      <c r="H1175" s="96"/>
      <c r="I1175" s="96"/>
      <c r="J1175" s="96"/>
      <c r="L1175" s="96"/>
      <c r="M1175" s="96"/>
      <c r="P1175" s="96"/>
      <c r="Q1175" s="96"/>
      <c r="R1175" s="96"/>
      <c r="S1175" s="96"/>
      <c r="T1175" s="96"/>
      <c r="U1175" s="96"/>
      <c r="V1175" s="96"/>
      <c r="W1175" s="96"/>
    </row>
    <row r="1176" spans="1:23" x14ac:dyDescent="0.3">
      <c r="A1176" s="96"/>
      <c r="B1176" s="96"/>
      <c r="C1176" s="96"/>
      <c r="D1176" s="96"/>
      <c r="E1176" s="103"/>
      <c r="F1176" s="96"/>
      <c r="G1176" s="96"/>
      <c r="H1176" s="96"/>
      <c r="I1176" s="96"/>
      <c r="J1176" s="96"/>
      <c r="L1176" s="96"/>
      <c r="M1176" s="96"/>
      <c r="P1176" s="96"/>
      <c r="Q1176" s="96"/>
      <c r="R1176" s="96"/>
      <c r="S1176" s="96"/>
      <c r="T1176" s="96"/>
      <c r="U1176" s="96"/>
      <c r="V1176" s="96"/>
      <c r="W1176" s="96"/>
    </row>
    <row r="1177" spans="1:23" x14ac:dyDescent="0.3">
      <c r="A1177" s="96"/>
      <c r="B1177" s="96"/>
      <c r="C1177" s="96"/>
      <c r="D1177" s="96"/>
      <c r="E1177" s="103"/>
      <c r="F1177" s="96"/>
      <c r="G1177" s="96"/>
      <c r="H1177" s="96"/>
      <c r="I1177" s="96"/>
      <c r="J1177" s="96"/>
      <c r="L1177" s="96"/>
      <c r="M1177" s="96"/>
      <c r="P1177" s="96"/>
      <c r="Q1177" s="96"/>
      <c r="R1177" s="96"/>
      <c r="S1177" s="96"/>
      <c r="T1177" s="96"/>
      <c r="U1177" s="96"/>
      <c r="V1177" s="96"/>
      <c r="W1177" s="96"/>
    </row>
    <row r="1178" spans="1:23" x14ac:dyDescent="0.3">
      <c r="A1178" s="96"/>
      <c r="B1178" s="96"/>
      <c r="C1178" s="96"/>
      <c r="D1178" s="96"/>
      <c r="E1178" s="103"/>
      <c r="F1178" s="96"/>
      <c r="G1178" s="96"/>
      <c r="H1178" s="96"/>
      <c r="I1178" s="96"/>
      <c r="J1178" s="96"/>
      <c r="L1178" s="96"/>
      <c r="M1178" s="96"/>
      <c r="P1178" s="96"/>
      <c r="Q1178" s="96"/>
      <c r="R1178" s="96"/>
      <c r="S1178" s="96"/>
      <c r="T1178" s="96"/>
      <c r="U1178" s="96"/>
      <c r="V1178" s="96"/>
      <c r="W1178" s="96"/>
    </row>
    <row r="1179" spans="1:23" x14ac:dyDescent="0.3">
      <c r="A1179" s="96"/>
      <c r="B1179" s="96"/>
      <c r="C1179" s="96"/>
      <c r="D1179" s="96"/>
      <c r="E1179" s="103"/>
      <c r="F1179" s="96"/>
      <c r="G1179" s="96"/>
      <c r="H1179" s="96"/>
      <c r="I1179" s="96"/>
      <c r="J1179" s="96"/>
      <c r="L1179" s="96"/>
      <c r="M1179" s="96"/>
      <c r="P1179" s="96"/>
      <c r="Q1179" s="96"/>
      <c r="R1179" s="96"/>
      <c r="S1179" s="96"/>
      <c r="T1179" s="96"/>
      <c r="U1179" s="96"/>
      <c r="V1179" s="96"/>
      <c r="W1179" s="96"/>
    </row>
    <row r="1180" spans="1:23" x14ac:dyDescent="0.3">
      <c r="A1180" s="96"/>
      <c r="B1180" s="96"/>
      <c r="C1180" s="96"/>
      <c r="D1180" s="96"/>
      <c r="E1180" s="103"/>
      <c r="F1180" s="96"/>
      <c r="G1180" s="96"/>
      <c r="H1180" s="96"/>
      <c r="I1180" s="96"/>
      <c r="J1180" s="96"/>
      <c r="L1180" s="96"/>
      <c r="M1180" s="96"/>
      <c r="P1180" s="96"/>
      <c r="Q1180" s="96"/>
      <c r="R1180" s="96"/>
      <c r="S1180" s="96"/>
      <c r="T1180" s="96"/>
      <c r="U1180" s="96"/>
      <c r="V1180" s="96"/>
      <c r="W1180" s="96"/>
    </row>
    <row r="1181" spans="1:23" x14ac:dyDescent="0.3">
      <c r="A1181" s="96"/>
      <c r="B1181" s="96"/>
      <c r="C1181" s="96"/>
      <c r="D1181" s="96"/>
      <c r="E1181" s="103"/>
      <c r="F1181" s="96"/>
      <c r="G1181" s="96"/>
      <c r="H1181" s="96"/>
      <c r="I1181" s="96"/>
      <c r="J1181" s="96"/>
      <c r="L1181" s="96"/>
      <c r="M1181" s="96"/>
      <c r="P1181" s="96"/>
      <c r="Q1181" s="96"/>
      <c r="R1181" s="96"/>
      <c r="S1181" s="96"/>
      <c r="T1181" s="96"/>
      <c r="U1181" s="96"/>
      <c r="V1181" s="96"/>
      <c r="W1181" s="96"/>
    </row>
    <row r="1182" spans="1:23" x14ac:dyDescent="0.3">
      <c r="A1182" s="96"/>
      <c r="B1182" s="96"/>
      <c r="C1182" s="96"/>
      <c r="D1182" s="96"/>
      <c r="E1182" s="103"/>
      <c r="F1182" s="96"/>
      <c r="G1182" s="96"/>
      <c r="H1182" s="96"/>
      <c r="I1182" s="96"/>
      <c r="J1182" s="96"/>
      <c r="L1182" s="96"/>
      <c r="M1182" s="96"/>
      <c r="P1182" s="96"/>
      <c r="Q1182" s="96"/>
      <c r="R1182" s="96"/>
      <c r="S1182" s="96"/>
      <c r="T1182" s="96"/>
      <c r="U1182" s="96"/>
      <c r="V1182" s="96"/>
      <c r="W1182" s="96"/>
    </row>
    <row r="1183" spans="1:23" x14ac:dyDescent="0.3">
      <c r="A1183" s="96"/>
      <c r="B1183" s="96"/>
      <c r="C1183" s="96"/>
      <c r="D1183" s="96"/>
      <c r="E1183" s="103"/>
      <c r="F1183" s="96"/>
      <c r="G1183" s="96"/>
      <c r="H1183" s="96"/>
      <c r="I1183" s="96"/>
      <c r="J1183" s="96"/>
      <c r="L1183" s="96"/>
      <c r="M1183" s="96"/>
      <c r="P1183" s="96"/>
      <c r="Q1183" s="96"/>
      <c r="R1183" s="96"/>
      <c r="S1183" s="96"/>
      <c r="T1183" s="96"/>
      <c r="U1183" s="96"/>
      <c r="V1183" s="96"/>
      <c r="W1183" s="96"/>
    </row>
    <row r="1184" spans="1:23" x14ac:dyDescent="0.3">
      <c r="A1184" s="96"/>
      <c r="B1184" s="96"/>
      <c r="C1184" s="96"/>
      <c r="D1184" s="96"/>
      <c r="E1184" s="103"/>
      <c r="F1184" s="96"/>
      <c r="G1184" s="96"/>
      <c r="H1184" s="96"/>
      <c r="I1184" s="96"/>
      <c r="J1184" s="96"/>
      <c r="L1184" s="96"/>
      <c r="M1184" s="96"/>
      <c r="P1184" s="96"/>
      <c r="Q1184" s="96"/>
      <c r="R1184" s="96"/>
      <c r="S1184" s="96"/>
      <c r="T1184" s="96"/>
      <c r="U1184" s="96"/>
      <c r="V1184" s="96"/>
      <c r="W1184" s="96"/>
    </row>
    <row r="1185" spans="1:23" x14ac:dyDescent="0.3">
      <c r="A1185" s="96"/>
      <c r="B1185" s="96"/>
      <c r="C1185" s="96"/>
      <c r="D1185" s="96"/>
      <c r="E1185" s="103"/>
      <c r="F1185" s="96"/>
      <c r="G1185" s="96"/>
      <c r="H1185" s="96"/>
      <c r="I1185" s="96"/>
      <c r="J1185" s="96"/>
      <c r="L1185" s="96"/>
      <c r="M1185" s="96"/>
      <c r="P1185" s="96"/>
      <c r="Q1185" s="96"/>
      <c r="R1185" s="96"/>
      <c r="S1185" s="96"/>
      <c r="T1185" s="96"/>
      <c r="U1185" s="96"/>
      <c r="V1185" s="96"/>
      <c r="W1185" s="96"/>
    </row>
    <row r="1186" spans="1:23" x14ac:dyDescent="0.3">
      <c r="A1186" s="96"/>
      <c r="B1186" s="96"/>
      <c r="C1186" s="96"/>
      <c r="D1186" s="96"/>
      <c r="E1186" s="103"/>
      <c r="F1186" s="96"/>
      <c r="G1186" s="96"/>
      <c r="H1186" s="96"/>
      <c r="I1186" s="96"/>
      <c r="J1186" s="96"/>
      <c r="L1186" s="96"/>
      <c r="M1186" s="96"/>
      <c r="P1186" s="96"/>
      <c r="Q1186" s="96"/>
      <c r="R1186" s="96"/>
      <c r="S1186" s="96"/>
      <c r="T1186" s="96"/>
      <c r="U1186" s="96"/>
      <c r="V1186" s="96"/>
      <c r="W1186" s="96"/>
    </row>
    <row r="1187" spans="1:23" x14ac:dyDescent="0.3">
      <c r="A1187" s="96"/>
      <c r="B1187" s="96"/>
      <c r="C1187" s="96"/>
      <c r="D1187" s="96"/>
      <c r="E1187" s="103"/>
      <c r="F1187" s="96"/>
      <c r="G1187" s="96"/>
      <c r="H1187" s="96"/>
      <c r="I1187" s="96"/>
      <c r="J1187" s="96"/>
      <c r="L1187" s="96"/>
      <c r="M1187" s="96"/>
      <c r="P1187" s="96"/>
      <c r="Q1187" s="96"/>
      <c r="R1187" s="96"/>
      <c r="S1187" s="96"/>
      <c r="T1187" s="96"/>
      <c r="U1187" s="96"/>
      <c r="V1187" s="96"/>
      <c r="W1187" s="96"/>
    </row>
    <row r="1188" spans="1:23" x14ac:dyDescent="0.3">
      <c r="A1188" s="96"/>
      <c r="B1188" s="96"/>
      <c r="C1188" s="96"/>
      <c r="D1188" s="96"/>
      <c r="E1188" s="103"/>
      <c r="F1188" s="96"/>
      <c r="G1188" s="96"/>
      <c r="H1188" s="96"/>
      <c r="I1188" s="96"/>
      <c r="J1188" s="96"/>
      <c r="L1188" s="96"/>
      <c r="M1188" s="96"/>
      <c r="P1188" s="96"/>
      <c r="Q1188" s="96"/>
      <c r="R1188" s="96"/>
      <c r="S1188" s="96"/>
      <c r="T1188" s="96"/>
      <c r="U1188" s="96"/>
      <c r="V1188" s="96"/>
      <c r="W1188" s="96"/>
    </row>
    <row r="1189" spans="1:23" x14ac:dyDescent="0.3">
      <c r="A1189" s="96"/>
      <c r="B1189" s="96"/>
      <c r="C1189" s="96"/>
      <c r="D1189" s="96"/>
      <c r="E1189" s="103"/>
      <c r="F1189" s="96"/>
      <c r="G1189" s="96"/>
      <c r="H1189" s="96"/>
      <c r="I1189" s="96"/>
      <c r="J1189" s="96"/>
      <c r="L1189" s="96"/>
      <c r="M1189" s="96"/>
      <c r="P1189" s="96"/>
      <c r="Q1189" s="96"/>
      <c r="R1189" s="96"/>
      <c r="S1189" s="96"/>
      <c r="T1189" s="96"/>
      <c r="U1189" s="96"/>
      <c r="V1189" s="96"/>
      <c r="W1189" s="96"/>
    </row>
    <row r="1190" spans="1:23" x14ac:dyDescent="0.3">
      <c r="A1190" s="96"/>
      <c r="B1190" s="96"/>
      <c r="C1190" s="96"/>
      <c r="D1190" s="96"/>
      <c r="E1190" s="103"/>
      <c r="F1190" s="96"/>
      <c r="G1190" s="96"/>
      <c r="H1190" s="96"/>
      <c r="I1190" s="96"/>
      <c r="J1190" s="96"/>
      <c r="L1190" s="96"/>
      <c r="M1190" s="96"/>
      <c r="P1190" s="96"/>
      <c r="Q1190" s="96"/>
      <c r="R1190" s="96"/>
      <c r="S1190" s="96"/>
      <c r="T1190" s="96"/>
      <c r="U1190" s="96"/>
      <c r="V1190" s="96"/>
      <c r="W1190" s="96"/>
    </row>
    <row r="1191" spans="1:23" x14ac:dyDescent="0.3">
      <c r="A1191" s="96"/>
      <c r="B1191" s="96"/>
      <c r="C1191" s="96"/>
      <c r="D1191" s="96"/>
      <c r="E1191" s="103"/>
      <c r="F1191" s="96"/>
      <c r="G1191" s="96"/>
      <c r="H1191" s="96"/>
      <c r="I1191" s="96"/>
      <c r="J1191" s="96"/>
      <c r="L1191" s="96"/>
      <c r="M1191" s="96"/>
      <c r="P1191" s="96"/>
      <c r="Q1191" s="96"/>
      <c r="R1191" s="96"/>
      <c r="S1191" s="96"/>
      <c r="T1191" s="96"/>
      <c r="U1191" s="96"/>
      <c r="V1191" s="96"/>
      <c r="W1191" s="96"/>
    </row>
    <row r="1192" spans="1:23" x14ac:dyDescent="0.3">
      <c r="A1192" s="96"/>
      <c r="B1192" s="96"/>
      <c r="C1192" s="96"/>
      <c r="D1192" s="96"/>
      <c r="E1192" s="103"/>
      <c r="F1192" s="96"/>
      <c r="G1192" s="96"/>
      <c r="H1192" s="96"/>
      <c r="I1192" s="96"/>
      <c r="J1192" s="96"/>
      <c r="L1192" s="96"/>
      <c r="M1192" s="96"/>
      <c r="P1192" s="96"/>
      <c r="Q1192" s="96"/>
      <c r="R1192" s="96"/>
      <c r="S1192" s="96"/>
      <c r="T1192" s="96"/>
      <c r="U1192" s="96"/>
      <c r="V1192" s="96"/>
      <c r="W1192" s="96"/>
    </row>
    <row r="1193" spans="1:23" x14ac:dyDescent="0.3">
      <c r="A1193" s="96"/>
      <c r="B1193" s="96"/>
      <c r="C1193" s="96"/>
      <c r="D1193" s="96"/>
      <c r="E1193" s="103"/>
      <c r="F1193" s="96"/>
      <c r="G1193" s="96"/>
      <c r="H1193" s="96"/>
      <c r="I1193" s="96"/>
      <c r="J1193" s="96"/>
      <c r="L1193" s="96"/>
      <c r="M1193" s="96"/>
      <c r="P1193" s="96"/>
      <c r="Q1193" s="96"/>
      <c r="R1193" s="96"/>
      <c r="S1193" s="96"/>
      <c r="T1193" s="96"/>
      <c r="U1193" s="96"/>
      <c r="V1193" s="96"/>
      <c r="W1193" s="96"/>
    </row>
    <row r="1194" spans="1:23" x14ac:dyDescent="0.3">
      <c r="A1194" s="96"/>
      <c r="B1194" s="96"/>
      <c r="C1194" s="96"/>
      <c r="D1194" s="96"/>
      <c r="E1194" s="103"/>
      <c r="F1194" s="96"/>
      <c r="G1194" s="96"/>
      <c r="H1194" s="96"/>
      <c r="I1194" s="96"/>
      <c r="J1194" s="96"/>
      <c r="L1194" s="96"/>
      <c r="M1194" s="96"/>
      <c r="P1194" s="96"/>
      <c r="Q1194" s="96"/>
      <c r="R1194" s="96"/>
      <c r="S1194" s="96"/>
      <c r="T1194" s="96"/>
      <c r="U1194" s="96"/>
      <c r="V1194" s="96"/>
      <c r="W1194" s="96"/>
    </row>
    <row r="1195" spans="1:23" x14ac:dyDescent="0.3">
      <c r="A1195" s="96"/>
      <c r="B1195" s="96"/>
      <c r="C1195" s="96"/>
      <c r="D1195" s="96"/>
      <c r="E1195" s="103"/>
      <c r="F1195" s="96"/>
      <c r="G1195" s="96"/>
      <c r="H1195" s="96"/>
      <c r="I1195" s="96"/>
      <c r="J1195" s="96"/>
      <c r="L1195" s="96"/>
      <c r="M1195" s="96"/>
      <c r="P1195" s="96"/>
      <c r="Q1195" s="96"/>
      <c r="R1195" s="96"/>
      <c r="S1195" s="96"/>
      <c r="T1195" s="96"/>
      <c r="U1195" s="96"/>
      <c r="V1195" s="96"/>
      <c r="W1195" s="96"/>
    </row>
    <row r="1196" spans="1:23" x14ac:dyDescent="0.3">
      <c r="A1196" s="96"/>
      <c r="B1196" s="96"/>
      <c r="C1196" s="96"/>
      <c r="D1196" s="96"/>
      <c r="E1196" s="103"/>
      <c r="F1196" s="96"/>
      <c r="G1196" s="96"/>
      <c r="H1196" s="96"/>
      <c r="I1196" s="96"/>
      <c r="J1196" s="96"/>
      <c r="L1196" s="96"/>
      <c r="M1196" s="96"/>
      <c r="P1196" s="96"/>
      <c r="Q1196" s="96"/>
      <c r="R1196" s="96"/>
      <c r="S1196" s="96"/>
      <c r="T1196" s="96"/>
      <c r="U1196" s="96"/>
      <c r="V1196" s="96"/>
      <c r="W1196" s="96"/>
    </row>
    <row r="1197" spans="1:23" x14ac:dyDescent="0.3">
      <c r="A1197" s="96"/>
      <c r="B1197" s="96"/>
      <c r="C1197" s="96"/>
      <c r="D1197" s="96"/>
      <c r="E1197" s="103"/>
      <c r="F1197" s="96"/>
      <c r="G1197" s="96"/>
      <c r="H1197" s="96"/>
      <c r="I1197" s="96"/>
      <c r="J1197" s="96"/>
      <c r="L1197" s="96"/>
      <c r="M1197" s="96"/>
      <c r="P1197" s="96"/>
      <c r="Q1197" s="96"/>
      <c r="R1197" s="96"/>
      <c r="S1197" s="96"/>
      <c r="T1197" s="96"/>
      <c r="U1197" s="96"/>
      <c r="V1197" s="96"/>
      <c r="W1197" s="96"/>
    </row>
    <row r="1198" spans="1:23" x14ac:dyDescent="0.3">
      <c r="A1198" s="96"/>
      <c r="B1198" s="96"/>
      <c r="C1198" s="96"/>
      <c r="D1198" s="96"/>
      <c r="E1198" s="103"/>
      <c r="F1198" s="96"/>
      <c r="G1198" s="96"/>
      <c r="H1198" s="96"/>
      <c r="I1198" s="96"/>
      <c r="J1198" s="96"/>
      <c r="L1198" s="96"/>
      <c r="M1198" s="96"/>
      <c r="P1198" s="96"/>
      <c r="Q1198" s="96"/>
      <c r="R1198" s="96"/>
      <c r="S1198" s="96"/>
      <c r="T1198" s="96"/>
      <c r="U1198" s="96"/>
      <c r="V1198" s="96"/>
      <c r="W1198" s="96"/>
    </row>
    <row r="1199" spans="1:23" x14ac:dyDescent="0.3">
      <c r="A1199" s="96"/>
      <c r="B1199" s="96"/>
      <c r="C1199" s="96"/>
      <c r="D1199" s="96"/>
      <c r="E1199" s="103"/>
      <c r="F1199" s="96"/>
      <c r="G1199" s="96"/>
      <c r="H1199" s="96"/>
      <c r="I1199" s="96"/>
      <c r="J1199" s="96"/>
      <c r="L1199" s="96"/>
      <c r="M1199" s="96"/>
      <c r="P1199" s="96"/>
      <c r="Q1199" s="96"/>
      <c r="R1199" s="96"/>
      <c r="S1199" s="96"/>
      <c r="T1199" s="96"/>
      <c r="U1199" s="96"/>
      <c r="V1199" s="96"/>
      <c r="W1199" s="96"/>
    </row>
    <row r="1200" spans="1:23" x14ac:dyDescent="0.3">
      <c r="A1200" s="96"/>
      <c r="B1200" s="96"/>
      <c r="C1200" s="96"/>
      <c r="D1200" s="96"/>
      <c r="E1200" s="103"/>
      <c r="F1200" s="96"/>
      <c r="G1200" s="96"/>
      <c r="H1200" s="96"/>
      <c r="I1200" s="96"/>
      <c r="J1200" s="96"/>
      <c r="L1200" s="96"/>
      <c r="M1200" s="96"/>
      <c r="P1200" s="96"/>
      <c r="Q1200" s="96"/>
      <c r="R1200" s="96"/>
      <c r="S1200" s="96"/>
      <c r="T1200" s="96"/>
      <c r="U1200" s="96"/>
      <c r="V1200" s="96"/>
      <c r="W1200" s="96"/>
    </row>
    <row r="1201" spans="1:28" x14ac:dyDescent="0.3">
      <c r="A1201" s="96"/>
      <c r="B1201" s="96"/>
      <c r="C1201" s="96"/>
      <c r="D1201" s="96"/>
      <c r="E1201" s="103"/>
      <c r="F1201" s="96"/>
      <c r="G1201" s="96"/>
      <c r="H1201" s="96"/>
      <c r="I1201" s="96"/>
      <c r="J1201" s="96"/>
      <c r="L1201" s="96"/>
      <c r="M1201" s="96"/>
      <c r="P1201" s="96"/>
      <c r="Q1201" s="96"/>
      <c r="R1201" s="96"/>
      <c r="S1201" s="96"/>
      <c r="T1201" s="96"/>
      <c r="U1201" s="96"/>
      <c r="V1201" s="96"/>
      <c r="W1201" s="96"/>
    </row>
    <row r="1202" spans="1:28" x14ac:dyDescent="0.3">
      <c r="A1202" s="96"/>
      <c r="B1202" s="96"/>
      <c r="C1202" s="96"/>
      <c r="D1202" s="96"/>
      <c r="E1202" s="103"/>
      <c r="F1202" s="96"/>
      <c r="G1202" s="96"/>
      <c r="H1202" s="96"/>
      <c r="I1202" s="96"/>
      <c r="J1202" s="96"/>
      <c r="L1202" s="96"/>
      <c r="M1202" s="96"/>
      <c r="P1202" s="96"/>
      <c r="Q1202" s="96"/>
      <c r="R1202" s="96"/>
      <c r="S1202" s="96"/>
      <c r="T1202" s="96"/>
      <c r="U1202" s="96"/>
      <c r="V1202" s="96"/>
      <c r="W1202" s="96"/>
    </row>
    <row r="1203" spans="1:28" x14ac:dyDescent="0.3">
      <c r="A1203" s="96"/>
      <c r="B1203" s="96"/>
      <c r="C1203" s="96"/>
      <c r="D1203" s="96"/>
      <c r="E1203" s="103"/>
      <c r="F1203" s="96"/>
      <c r="G1203" s="96"/>
      <c r="H1203" s="96"/>
      <c r="I1203" s="96"/>
      <c r="J1203" s="96"/>
      <c r="L1203" s="96"/>
      <c r="M1203" s="96"/>
      <c r="P1203" s="96"/>
      <c r="Q1203" s="96"/>
      <c r="R1203" s="96"/>
      <c r="S1203" s="96"/>
      <c r="T1203" s="96"/>
      <c r="U1203" s="96"/>
      <c r="V1203" s="96"/>
      <c r="W1203" s="96"/>
    </row>
    <row r="1204" spans="1:28" x14ac:dyDescent="0.3">
      <c r="A1204" s="96"/>
      <c r="B1204" s="96"/>
      <c r="C1204" s="96"/>
      <c r="D1204" s="96"/>
      <c r="E1204" s="103"/>
      <c r="F1204" s="96"/>
      <c r="G1204" s="96"/>
      <c r="H1204" s="96"/>
      <c r="I1204" s="96"/>
      <c r="J1204" s="96"/>
      <c r="L1204" s="96"/>
      <c r="M1204" s="96"/>
      <c r="P1204" s="96"/>
      <c r="Q1204" s="96"/>
      <c r="R1204" s="96"/>
      <c r="S1204" s="96"/>
      <c r="T1204" s="96"/>
      <c r="U1204" s="96"/>
      <c r="V1204" s="96"/>
      <c r="W1204" s="96"/>
    </row>
    <row r="1205" spans="1:28" x14ac:dyDescent="0.3">
      <c r="A1205" s="96"/>
      <c r="B1205" s="96"/>
      <c r="C1205" s="96"/>
      <c r="D1205" s="96"/>
      <c r="E1205" s="103"/>
      <c r="F1205" s="96"/>
      <c r="G1205" s="96"/>
      <c r="H1205" s="96"/>
      <c r="I1205" s="96"/>
      <c r="J1205" s="96"/>
      <c r="L1205" s="96"/>
      <c r="M1205" s="96"/>
      <c r="P1205" s="96"/>
      <c r="Q1205" s="96"/>
      <c r="R1205" s="96"/>
      <c r="S1205" s="96"/>
      <c r="T1205" s="96"/>
      <c r="U1205" s="96"/>
      <c r="V1205" s="96"/>
      <c r="W1205" s="96"/>
    </row>
    <row r="1206" spans="1:28" x14ac:dyDescent="0.3">
      <c r="A1206" s="96"/>
      <c r="B1206" s="96"/>
      <c r="C1206" s="96"/>
      <c r="D1206" s="96"/>
      <c r="E1206" s="103"/>
      <c r="F1206" s="96"/>
      <c r="G1206" s="96"/>
      <c r="H1206" s="96"/>
      <c r="I1206" s="96"/>
      <c r="J1206" s="96"/>
      <c r="L1206" s="96"/>
      <c r="M1206" s="96"/>
      <c r="P1206" s="96"/>
      <c r="Q1206" s="96"/>
      <c r="R1206" s="96"/>
      <c r="S1206" s="96"/>
      <c r="T1206" s="96"/>
      <c r="U1206" s="96"/>
      <c r="V1206" s="96"/>
      <c r="W1206" s="96"/>
    </row>
    <row r="1207" spans="1:28" x14ac:dyDescent="0.3">
      <c r="A1207" s="96"/>
      <c r="B1207" s="96"/>
      <c r="C1207" s="96"/>
      <c r="D1207" s="96"/>
      <c r="E1207" s="103"/>
      <c r="F1207" s="96"/>
      <c r="G1207" s="96"/>
      <c r="H1207" s="96"/>
      <c r="I1207" s="96"/>
      <c r="J1207" s="96"/>
      <c r="L1207" s="96"/>
      <c r="M1207" s="96"/>
      <c r="P1207" s="96"/>
      <c r="Q1207" s="96"/>
      <c r="R1207" s="96"/>
      <c r="S1207" s="96"/>
      <c r="T1207" s="96"/>
      <c r="U1207" s="96"/>
      <c r="V1207" s="96"/>
      <c r="W1207" s="96"/>
      <c r="AA1207" s="96"/>
      <c r="AB1207" s="96"/>
    </row>
    <row r="1208" spans="1:28" x14ac:dyDescent="0.3">
      <c r="A1208" s="96"/>
      <c r="B1208" s="96"/>
      <c r="C1208" s="96"/>
      <c r="D1208" s="96"/>
      <c r="E1208" s="103"/>
      <c r="F1208" s="96"/>
      <c r="G1208" s="96"/>
      <c r="H1208" s="96"/>
      <c r="I1208" s="96"/>
      <c r="J1208" s="96"/>
      <c r="L1208" s="96"/>
      <c r="M1208" s="96"/>
      <c r="P1208" s="96"/>
      <c r="Q1208" s="96"/>
      <c r="R1208" s="96"/>
      <c r="S1208" s="96"/>
      <c r="T1208" s="96"/>
      <c r="U1208" s="96"/>
      <c r="V1208" s="96"/>
      <c r="W1208" s="96"/>
      <c r="AA1208" s="104"/>
      <c r="AB1208" s="104"/>
    </row>
    <row r="1209" spans="1:28" x14ac:dyDescent="0.3">
      <c r="A1209" s="96"/>
      <c r="B1209" s="96"/>
      <c r="C1209" s="96"/>
      <c r="D1209" s="96"/>
      <c r="E1209" s="103"/>
      <c r="F1209" s="96"/>
      <c r="G1209" s="96"/>
      <c r="H1209" s="96"/>
      <c r="I1209" s="96"/>
      <c r="J1209" s="96"/>
      <c r="L1209" s="96"/>
      <c r="M1209" s="96"/>
      <c r="P1209" s="96"/>
      <c r="Q1209" s="96"/>
      <c r="R1209" s="96"/>
      <c r="S1209" s="96"/>
      <c r="T1209" s="96"/>
      <c r="U1209" s="96"/>
      <c r="V1209" s="96"/>
      <c r="W1209" s="96"/>
      <c r="AA1209" s="96"/>
      <c r="AB1209" s="96"/>
    </row>
    <row r="1210" spans="1:28" x14ac:dyDescent="0.3">
      <c r="A1210" s="96"/>
      <c r="B1210" s="96"/>
      <c r="C1210" s="96"/>
      <c r="D1210" s="96"/>
      <c r="E1210" s="103"/>
      <c r="F1210" s="96"/>
      <c r="G1210" s="96"/>
      <c r="H1210" s="96"/>
      <c r="I1210" s="96"/>
      <c r="J1210" s="96"/>
      <c r="L1210" s="96"/>
      <c r="M1210" s="96"/>
      <c r="P1210" s="96"/>
      <c r="Q1210" s="96"/>
      <c r="R1210" s="96"/>
      <c r="S1210" s="96"/>
      <c r="T1210" s="96"/>
      <c r="U1210" s="96"/>
      <c r="V1210" s="96"/>
      <c r="W1210" s="96"/>
      <c r="AA1210" s="96"/>
      <c r="AB1210" s="96"/>
    </row>
    <row r="1211" spans="1:28" x14ac:dyDescent="0.3">
      <c r="A1211" s="96"/>
      <c r="B1211" s="96"/>
      <c r="C1211" s="96"/>
      <c r="D1211" s="96"/>
      <c r="E1211" s="103"/>
      <c r="F1211" s="96"/>
      <c r="G1211" s="96"/>
      <c r="H1211" s="96"/>
      <c r="I1211" s="96"/>
      <c r="J1211" s="96"/>
      <c r="L1211" s="96"/>
      <c r="M1211" s="96"/>
      <c r="P1211" s="96"/>
      <c r="Q1211" s="96"/>
      <c r="R1211" s="96"/>
      <c r="S1211" s="96"/>
      <c r="T1211" s="96"/>
      <c r="U1211" s="96"/>
      <c r="V1211" s="96"/>
      <c r="W1211" s="96"/>
    </row>
    <row r="1212" spans="1:28" x14ac:dyDescent="0.3">
      <c r="A1212" s="96"/>
      <c r="B1212" s="96"/>
      <c r="C1212" s="96"/>
      <c r="D1212" s="96"/>
      <c r="E1212" s="103"/>
      <c r="F1212" s="96"/>
      <c r="G1212" s="96"/>
      <c r="H1212" s="96"/>
      <c r="I1212" s="96"/>
      <c r="J1212" s="96"/>
      <c r="L1212" s="96"/>
      <c r="M1212" s="96"/>
      <c r="P1212" s="96"/>
      <c r="Q1212" s="96"/>
      <c r="R1212" s="96"/>
      <c r="S1212" s="96"/>
      <c r="T1212" s="96"/>
      <c r="U1212" s="96"/>
      <c r="V1212" s="96"/>
      <c r="W1212" s="96"/>
    </row>
    <row r="1213" spans="1:28" x14ac:dyDescent="0.3">
      <c r="A1213" s="96"/>
      <c r="B1213" s="96"/>
      <c r="C1213" s="96"/>
      <c r="D1213" s="96"/>
      <c r="E1213" s="103"/>
      <c r="F1213" s="96"/>
      <c r="G1213" s="96"/>
      <c r="H1213" s="96"/>
      <c r="I1213" s="96"/>
      <c r="J1213" s="96"/>
      <c r="L1213" s="96"/>
      <c r="M1213" s="96"/>
      <c r="P1213" s="96"/>
      <c r="Q1213" s="96"/>
      <c r="R1213" s="96"/>
      <c r="S1213" s="96"/>
      <c r="T1213" s="96"/>
      <c r="U1213" s="96"/>
      <c r="V1213" s="96"/>
      <c r="W1213" s="96"/>
      <c r="AA1213" s="9"/>
      <c r="AB1213" s="9"/>
    </row>
    <row r="1214" spans="1:28" x14ac:dyDescent="0.3">
      <c r="A1214" s="96"/>
      <c r="B1214" s="96"/>
      <c r="C1214" s="96"/>
      <c r="D1214" s="96"/>
      <c r="E1214" s="103"/>
      <c r="F1214" s="96"/>
      <c r="G1214" s="96"/>
      <c r="H1214" s="96"/>
      <c r="I1214" s="96"/>
      <c r="J1214" s="96"/>
      <c r="L1214" s="96"/>
      <c r="M1214" s="96"/>
      <c r="P1214" s="96"/>
      <c r="Q1214" s="96"/>
      <c r="R1214" s="96"/>
      <c r="S1214" s="96"/>
      <c r="T1214" s="96"/>
      <c r="U1214" s="96"/>
      <c r="V1214" s="96"/>
      <c r="W1214" s="96"/>
      <c r="AA1214" s="7"/>
      <c r="AB1214" s="7"/>
    </row>
    <row r="1215" spans="1:28" x14ac:dyDescent="0.3">
      <c r="A1215" s="96"/>
      <c r="B1215" s="96"/>
      <c r="C1215" s="96"/>
      <c r="D1215" s="96"/>
      <c r="E1215" s="103"/>
      <c r="F1215" s="96"/>
      <c r="G1215" s="96"/>
      <c r="H1215" s="96"/>
      <c r="I1215" s="96"/>
      <c r="J1215" s="96"/>
      <c r="L1215" s="96"/>
      <c r="M1215" s="96"/>
      <c r="P1215" s="96"/>
      <c r="Q1215" s="96"/>
      <c r="R1215" s="96"/>
      <c r="S1215" s="96"/>
      <c r="T1215" s="96"/>
      <c r="U1215" s="96"/>
      <c r="V1215" s="96"/>
      <c r="W1215" s="96"/>
      <c r="AA1215" s="7"/>
      <c r="AB1215" s="7"/>
    </row>
    <row r="1216" spans="1:28" x14ac:dyDescent="0.3">
      <c r="A1216" s="96"/>
      <c r="B1216" s="96"/>
      <c r="C1216" s="96"/>
      <c r="D1216" s="96"/>
      <c r="E1216" s="103"/>
      <c r="F1216" s="96"/>
      <c r="G1216" s="96"/>
      <c r="H1216" s="96"/>
      <c r="I1216" s="96"/>
      <c r="J1216" s="96"/>
      <c r="L1216" s="96"/>
      <c r="M1216" s="96"/>
      <c r="P1216" s="96"/>
      <c r="Q1216" s="96"/>
      <c r="R1216" s="96"/>
      <c r="S1216" s="96"/>
      <c r="T1216" s="96"/>
      <c r="U1216" s="96"/>
      <c r="V1216" s="96"/>
      <c r="W1216" s="96"/>
      <c r="AA1216" s="7"/>
      <c r="AB1216" s="7"/>
    </row>
    <row r="1217" spans="1:28" x14ac:dyDescent="0.3">
      <c r="A1217" s="96"/>
      <c r="B1217" s="96"/>
      <c r="C1217" s="96"/>
      <c r="D1217" s="96"/>
      <c r="E1217" s="103"/>
      <c r="F1217" s="96"/>
      <c r="G1217" s="96"/>
      <c r="H1217" s="96"/>
      <c r="I1217" s="96"/>
      <c r="J1217" s="96"/>
      <c r="L1217" s="96"/>
      <c r="M1217" s="96"/>
      <c r="P1217" s="96"/>
      <c r="Q1217" s="96"/>
      <c r="R1217" s="96"/>
      <c r="S1217" s="96"/>
      <c r="T1217" s="96"/>
      <c r="U1217" s="96"/>
      <c r="V1217" s="96"/>
      <c r="W1217" s="96"/>
      <c r="AA1217" s="7"/>
      <c r="AB1217" s="7"/>
    </row>
    <row r="1218" spans="1:28" x14ac:dyDescent="0.3">
      <c r="A1218" s="96"/>
      <c r="B1218" s="96"/>
      <c r="C1218" s="96"/>
      <c r="D1218" s="96"/>
      <c r="E1218" s="103"/>
      <c r="F1218" s="96"/>
      <c r="G1218" s="96"/>
      <c r="H1218" s="96"/>
      <c r="I1218" s="96"/>
      <c r="J1218" s="96"/>
      <c r="L1218" s="96"/>
      <c r="M1218" s="96"/>
      <c r="P1218" s="96"/>
      <c r="Q1218" s="96"/>
      <c r="R1218" s="96"/>
      <c r="S1218" s="96"/>
      <c r="T1218" s="96"/>
      <c r="U1218" s="96"/>
      <c r="V1218" s="96"/>
      <c r="W1218" s="96"/>
      <c r="AA1218" s="7"/>
      <c r="AB1218" s="7"/>
    </row>
    <row r="1219" spans="1:28" x14ac:dyDescent="0.3">
      <c r="A1219" s="96"/>
      <c r="B1219" s="96"/>
      <c r="C1219" s="96"/>
      <c r="D1219" s="96"/>
      <c r="E1219" s="103"/>
      <c r="F1219" s="96"/>
      <c r="G1219" s="96"/>
      <c r="H1219" s="96"/>
      <c r="I1219" s="96"/>
      <c r="J1219" s="96"/>
      <c r="L1219" s="96"/>
      <c r="M1219" s="96"/>
      <c r="P1219" s="96"/>
      <c r="Q1219" s="96"/>
      <c r="R1219" s="96"/>
      <c r="S1219" s="96"/>
      <c r="T1219" s="96"/>
      <c r="U1219" s="96"/>
      <c r="V1219" s="96"/>
      <c r="W1219" s="96"/>
      <c r="AA1219" s="7"/>
      <c r="AB1219" s="7"/>
    </row>
    <row r="1220" spans="1:28" x14ac:dyDescent="0.3">
      <c r="A1220" s="96"/>
      <c r="B1220" s="96"/>
      <c r="C1220" s="96"/>
      <c r="D1220" s="96"/>
      <c r="E1220" s="103"/>
      <c r="F1220" s="96"/>
      <c r="G1220" s="96"/>
      <c r="H1220" s="96"/>
      <c r="I1220" s="96"/>
      <c r="J1220" s="96"/>
      <c r="L1220" s="96"/>
      <c r="M1220" s="96"/>
      <c r="P1220" s="96"/>
      <c r="Q1220" s="96"/>
      <c r="R1220" s="96"/>
      <c r="S1220" s="96"/>
      <c r="T1220" s="96"/>
      <c r="U1220" s="96"/>
      <c r="V1220" s="96"/>
      <c r="W1220" s="96"/>
      <c r="AA1220" s="7"/>
      <c r="AB1220" s="7"/>
    </row>
    <row r="1221" spans="1:28" x14ac:dyDescent="0.3">
      <c r="A1221" s="96"/>
      <c r="B1221" s="96"/>
      <c r="C1221" s="96"/>
      <c r="D1221" s="96"/>
      <c r="E1221" s="103"/>
      <c r="F1221" s="96"/>
      <c r="G1221" s="96"/>
      <c r="H1221" s="96"/>
      <c r="I1221" s="96"/>
      <c r="J1221" s="96"/>
      <c r="L1221" s="96"/>
      <c r="M1221" s="96"/>
      <c r="P1221" s="96"/>
      <c r="Q1221" s="96"/>
      <c r="R1221" s="96"/>
      <c r="S1221" s="96"/>
      <c r="T1221" s="96"/>
      <c r="U1221" s="96"/>
      <c r="V1221" s="96"/>
      <c r="W1221" s="96"/>
      <c r="AA1221" s="7"/>
      <c r="AB1221" s="7"/>
    </row>
    <row r="1222" spans="1:28" x14ac:dyDescent="0.3">
      <c r="A1222" s="96"/>
      <c r="B1222" s="96"/>
      <c r="C1222" s="96"/>
      <c r="D1222" s="96"/>
      <c r="E1222" s="103"/>
      <c r="F1222" s="96"/>
      <c r="G1222" s="96"/>
      <c r="H1222" s="96"/>
      <c r="I1222" s="96"/>
      <c r="J1222" s="96"/>
      <c r="L1222" s="96"/>
      <c r="M1222" s="96"/>
      <c r="P1222" s="96"/>
      <c r="Q1222" s="96"/>
      <c r="R1222" s="96"/>
      <c r="S1222" s="96"/>
      <c r="T1222" s="96"/>
      <c r="U1222" s="96"/>
      <c r="V1222" s="96"/>
      <c r="W1222" s="96"/>
      <c r="AA1222" s="7"/>
      <c r="AB1222" s="7"/>
    </row>
    <row r="1223" spans="1:28" x14ac:dyDescent="0.3">
      <c r="A1223" s="96"/>
      <c r="B1223" s="96"/>
      <c r="C1223" s="96"/>
      <c r="D1223" s="96"/>
      <c r="E1223" s="103"/>
      <c r="F1223" s="96"/>
      <c r="G1223" s="96"/>
      <c r="H1223" s="96"/>
      <c r="I1223" s="96"/>
      <c r="J1223" s="96"/>
      <c r="L1223" s="96"/>
      <c r="M1223" s="96"/>
      <c r="P1223" s="96"/>
      <c r="Q1223" s="96"/>
      <c r="R1223" s="96"/>
      <c r="S1223" s="96"/>
      <c r="T1223" s="96"/>
      <c r="U1223" s="96"/>
      <c r="V1223" s="96"/>
      <c r="W1223" s="96"/>
      <c r="AA1223" s="7"/>
      <c r="AB1223" s="7"/>
    </row>
    <row r="1224" spans="1:28" x14ac:dyDescent="0.3">
      <c r="A1224" s="96"/>
      <c r="B1224" s="96"/>
      <c r="C1224" s="96"/>
      <c r="D1224" s="96"/>
      <c r="E1224" s="103"/>
      <c r="F1224" s="96"/>
      <c r="G1224" s="96"/>
      <c r="H1224" s="96"/>
      <c r="I1224" s="96"/>
      <c r="J1224" s="96"/>
      <c r="L1224" s="96"/>
      <c r="M1224" s="96"/>
      <c r="P1224" s="96"/>
      <c r="Q1224" s="96"/>
      <c r="R1224" s="96"/>
      <c r="S1224" s="96"/>
      <c r="T1224" s="96"/>
      <c r="U1224" s="96"/>
      <c r="V1224" s="96"/>
      <c r="W1224" s="96"/>
      <c r="AA1224" s="7"/>
      <c r="AB1224" s="7"/>
    </row>
    <row r="1225" spans="1:28" x14ac:dyDescent="0.3">
      <c r="A1225" s="96"/>
      <c r="B1225" s="96"/>
      <c r="C1225" s="96"/>
      <c r="D1225" s="96"/>
      <c r="E1225" s="103"/>
      <c r="F1225" s="96"/>
      <c r="G1225" s="96"/>
      <c r="H1225" s="96"/>
      <c r="I1225" s="96"/>
      <c r="J1225" s="96"/>
      <c r="L1225" s="96"/>
      <c r="M1225" s="96"/>
      <c r="P1225" s="96"/>
      <c r="Q1225" s="96"/>
      <c r="R1225" s="96"/>
      <c r="S1225" s="96"/>
      <c r="T1225" s="96"/>
      <c r="U1225" s="96"/>
      <c r="V1225" s="96"/>
      <c r="W1225" s="96"/>
      <c r="AA1225" s="7"/>
      <c r="AB1225" s="7"/>
    </row>
    <row r="1226" spans="1:28" x14ac:dyDescent="0.3">
      <c r="A1226" s="96"/>
      <c r="B1226" s="96"/>
      <c r="C1226" s="96"/>
      <c r="D1226" s="96"/>
      <c r="E1226" s="103"/>
      <c r="F1226" s="96"/>
      <c r="G1226" s="96"/>
      <c r="H1226" s="96"/>
      <c r="I1226" s="96"/>
      <c r="J1226" s="96"/>
      <c r="L1226" s="96"/>
      <c r="M1226" s="96"/>
      <c r="P1226" s="96"/>
      <c r="Q1226" s="96"/>
      <c r="R1226" s="96"/>
      <c r="S1226" s="96"/>
      <c r="T1226" s="96"/>
      <c r="U1226" s="96"/>
      <c r="V1226" s="96"/>
      <c r="W1226" s="96"/>
      <c r="AA1226" s="7"/>
      <c r="AB1226" s="7"/>
    </row>
    <row r="1227" spans="1:28" x14ac:dyDescent="0.3">
      <c r="A1227" s="96"/>
      <c r="B1227" s="96"/>
      <c r="C1227" s="96"/>
      <c r="D1227" s="96"/>
      <c r="E1227" s="103"/>
      <c r="F1227" s="96"/>
      <c r="G1227" s="96"/>
      <c r="H1227" s="96"/>
      <c r="I1227" s="96"/>
      <c r="J1227" s="96"/>
      <c r="L1227" s="96"/>
      <c r="M1227" s="96"/>
      <c r="P1227" s="96"/>
      <c r="Q1227" s="96"/>
      <c r="R1227" s="96"/>
      <c r="S1227" s="96"/>
      <c r="T1227" s="96"/>
      <c r="U1227" s="96"/>
      <c r="V1227" s="96"/>
      <c r="W1227" s="96"/>
      <c r="AA1227" s="7"/>
      <c r="AB1227" s="7"/>
    </row>
    <row r="1228" spans="1:28" x14ac:dyDescent="0.3">
      <c r="A1228" s="96"/>
      <c r="B1228" s="96"/>
      <c r="C1228" s="96"/>
      <c r="D1228" s="96"/>
      <c r="E1228" s="103"/>
      <c r="F1228" s="96"/>
      <c r="G1228" s="96"/>
      <c r="H1228" s="96"/>
      <c r="I1228" s="96"/>
      <c r="J1228" s="96"/>
      <c r="L1228" s="96"/>
      <c r="M1228" s="96"/>
      <c r="P1228" s="96"/>
      <c r="Q1228" s="96"/>
      <c r="R1228" s="96"/>
      <c r="S1228" s="96"/>
      <c r="T1228" s="96"/>
      <c r="U1228" s="96"/>
      <c r="V1228" s="96"/>
      <c r="W1228" s="96"/>
      <c r="AA1228" s="7"/>
      <c r="AB1228" s="7"/>
    </row>
    <row r="1229" spans="1:28" x14ac:dyDescent="0.3">
      <c r="A1229" s="96"/>
      <c r="B1229" s="96"/>
      <c r="C1229" s="96"/>
      <c r="D1229" s="96"/>
      <c r="E1229" s="103"/>
      <c r="F1229" s="96"/>
      <c r="G1229" s="96"/>
      <c r="H1229" s="96"/>
      <c r="I1229" s="96"/>
      <c r="J1229" s="96"/>
      <c r="L1229" s="96"/>
      <c r="M1229" s="96"/>
      <c r="P1229" s="96"/>
      <c r="Q1229" s="96"/>
      <c r="R1229" s="96"/>
      <c r="S1229" s="96"/>
      <c r="T1229" s="96"/>
      <c r="U1229" s="96"/>
      <c r="V1229" s="96"/>
      <c r="W1229" s="96"/>
      <c r="AA1229" s="7"/>
      <c r="AB1229" s="7"/>
    </row>
    <row r="1230" spans="1:28" x14ac:dyDescent="0.3">
      <c r="A1230" s="96"/>
      <c r="B1230" s="96"/>
      <c r="C1230" s="96"/>
      <c r="D1230" s="96"/>
      <c r="E1230" s="103"/>
      <c r="F1230" s="96"/>
      <c r="G1230" s="96"/>
      <c r="H1230" s="96"/>
      <c r="I1230" s="96"/>
      <c r="J1230" s="96"/>
      <c r="L1230" s="96"/>
      <c r="M1230" s="96"/>
      <c r="P1230" s="96"/>
      <c r="Q1230" s="96"/>
      <c r="R1230" s="96"/>
      <c r="S1230" s="96"/>
      <c r="T1230" s="96"/>
      <c r="U1230" s="96"/>
      <c r="V1230" s="96"/>
      <c r="W1230" s="96"/>
      <c r="AA1230" s="7"/>
      <c r="AB1230" s="7"/>
    </row>
    <row r="1231" spans="1:28" x14ac:dyDescent="0.3">
      <c r="A1231" s="96"/>
      <c r="B1231" s="96"/>
      <c r="C1231" s="96"/>
      <c r="D1231" s="96"/>
      <c r="E1231" s="103"/>
      <c r="F1231" s="96"/>
      <c r="G1231" s="96"/>
      <c r="H1231" s="96"/>
      <c r="I1231" s="96"/>
      <c r="J1231" s="96"/>
      <c r="L1231" s="96"/>
      <c r="M1231" s="96"/>
      <c r="P1231" s="96"/>
      <c r="Q1231" s="96"/>
      <c r="R1231" s="96"/>
      <c r="S1231" s="96"/>
      <c r="T1231" s="96"/>
      <c r="U1231" s="96"/>
      <c r="V1231" s="96"/>
      <c r="W1231" s="96"/>
      <c r="AA1231" s="7"/>
      <c r="AB1231" s="7"/>
    </row>
    <row r="1232" spans="1:28" x14ac:dyDescent="0.3">
      <c r="A1232" s="96"/>
      <c r="B1232" s="96"/>
      <c r="C1232" s="96"/>
      <c r="D1232" s="96"/>
      <c r="E1232" s="103"/>
      <c r="F1232" s="96"/>
      <c r="G1232" s="96"/>
      <c r="H1232" s="96"/>
      <c r="I1232" s="96"/>
      <c r="J1232" s="96"/>
      <c r="L1232" s="96"/>
      <c r="M1232" s="96"/>
      <c r="P1232" s="96"/>
      <c r="Q1232" s="96"/>
      <c r="R1232" s="96"/>
      <c r="S1232" s="96"/>
      <c r="T1232" s="96"/>
      <c r="U1232" s="96"/>
      <c r="V1232" s="96"/>
      <c r="W1232" s="96"/>
      <c r="AA1232" s="7"/>
      <c r="AB1232" s="7"/>
    </row>
    <row r="1233" spans="1:28" x14ac:dyDescent="0.3">
      <c r="A1233" s="96"/>
      <c r="B1233" s="96"/>
      <c r="C1233" s="96"/>
      <c r="D1233" s="96"/>
      <c r="E1233" s="103"/>
      <c r="F1233" s="96"/>
      <c r="G1233" s="96"/>
      <c r="H1233" s="96"/>
      <c r="I1233" s="96"/>
      <c r="J1233" s="96"/>
      <c r="L1233" s="96"/>
      <c r="M1233" s="96"/>
      <c r="P1233" s="96"/>
      <c r="Q1233" s="96"/>
      <c r="R1233" s="96"/>
      <c r="S1233" s="96"/>
      <c r="T1233" s="96"/>
      <c r="U1233" s="96"/>
      <c r="V1233" s="96"/>
      <c r="W1233" s="96"/>
      <c r="AA1233" s="7"/>
      <c r="AB1233" s="7"/>
    </row>
    <row r="1234" spans="1:28" x14ac:dyDescent="0.3">
      <c r="A1234" s="96"/>
      <c r="B1234" s="96"/>
      <c r="C1234" s="96"/>
      <c r="D1234" s="96"/>
      <c r="E1234" s="103"/>
      <c r="F1234" s="96"/>
      <c r="G1234" s="96"/>
      <c r="H1234" s="96"/>
      <c r="I1234" s="96"/>
      <c r="J1234" s="96"/>
      <c r="L1234" s="96"/>
      <c r="M1234" s="96"/>
      <c r="P1234" s="96"/>
      <c r="Q1234" s="96"/>
      <c r="R1234" s="96"/>
      <c r="S1234" s="96"/>
      <c r="T1234" s="96"/>
      <c r="U1234" s="96"/>
      <c r="V1234" s="96"/>
      <c r="W1234" s="96"/>
      <c r="AA1234" s="7"/>
      <c r="AB1234" s="7"/>
    </row>
    <row r="1235" spans="1:28" x14ac:dyDescent="0.3">
      <c r="A1235" s="96"/>
      <c r="B1235" s="96"/>
      <c r="C1235" s="96"/>
      <c r="D1235" s="96"/>
      <c r="E1235" s="103"/>
      <c r="F1235" s="96"/>
      <c r="G1235" s="96"/>
      <c r="H1235" s="96"/>
      <c r="I1235" s="96"/>
      <c r="J1235" s="96"/>
      <c r="L1235" s="96"/>
      <c r="M1235" s="96"/>
      <c r="P1235" s="96"/>
      <c r="Q1235" s="96"/>
      <c r="R1235" s="96"/>
      <c r="S1235" s="96"/>
      <c r="T1235" s="96"/>
      <c r="U1235" s="96"/>
      <c r="V1235" s="96"/>
      <c r="W1235" s="96"/>
      <c r="AA1235" s="7"/>
      <c r="AB1235" s="7"/>
    </row>
    <row r="1236" spans="1:28" x14ac:dyDescent="0.3">
      <c r="A1236" s="96"/>
      <c r="B1236" s="96"/>
      <c r="C1236" s="96"/>
      <c r="D1236" s="96"/>
      <c r="E1236" s="103"/>
      <c r="F1236" s="96"/>
      <c r="G1236" s="96"/>
      <c r="H1236" s="96"/>
      <c r="I1236" s="96"/>
      <c r="J1236" s="96"/>
      <c r="L1236" s="96"/>
      <c r="M1236" s="96"/>
      <c r="P1236" s="96"/>
      <c r="Q1236" s="96"/>
      <c r="R1236" s="96"/>
      <c r="S1236" s="96"/>
      <c r="T1236" s="96"/>
      <c r="U1236" s="96"/>
      <c r="V1236" s="96"/>
      <c r="W1236" s="96"/>
      <c r="AA1236" s="7"/>
      <c r="AB1236" s="7"/>
    </row>
    <row r="1237" spans="1:28" x14ac:dyDescent="0.3">
      <c r="A1237" s="96"/>
      <c r="B1237" s="96"/>
      <c r="C1237" s="96"/>
      <c r="D1237" s="96"/>
      <c r="E1237" s="103"/>
      <c r="F1237" s="96"/>
      <c r="G1237" s="96"/>
      <c r="H1237" s="96"/>
      <c r="I1237" s="96"/>
      <c r="J1237" s="96"/>
      <c r="L1237" s="96"/>
      <c r="M1237" s="96"/>
      <c r="P1237" s="96"/>
      <c r="Q1237" s="96"/>
      <c r="R1237" s="96"/>
      <c r="S1237" s="96"/>
      <c r="T1237" s="96"/>
      <c r="U1237" s="96"/>
      <c r="V1237" s="96"/>
      <c r="W1237" s="96"/>
      <c r="AA1237" s="7"/>
      <c r="AB1237" s="7"/>
    </row>
    <row r="1238" spans="1:28" x14ac:dyDescent="0.3">
      <c r="A1238" s="96"/>
      <c r="B1238" s="96"/>
      <c r="C1238" s="96"/>
      <c r="D1238" s="96"/>
      <c r="E1238" s="103"/>
      <c r="F1238" s="96"/>
      <c r="G1238" s="96"/>
      <c r="H1238" s="96"/>
      <c r="I1238" s="96"/>
      <c r="J1238" s="96"/>
      <c r="L1238" s="96"/>
      <c r="M1238" s="96"/>
      <c r="P1238" s="96"/>
      <c r="Q1238" s="96"/>
      <c r="R1238" s="96"/>
      <c r="S1238" s="96"/>
      <c r="T1238" s="96"/>
      <c r="U1238" s="96"/>
      <c r="V1238" s="96"/>
      <c r="W1238" s="96"/>
      <c r="AA1238" s="7"/>
      <c r="AB1238" s="7"/>
    </row>
    <row r="1239" spans="1:28" x14ac:dyDescent="0.3">
      <c r="A1239" s="96"/>
      <c r="B1239" s="96"/>
      <c r="C1239" s="96"/>
      <c r="D1239" s="96"/>
      <c r="E1239" s="103"/>
      <c r="F1239" s="96"/>
      <c r="G1239" s="96"/>
      <c r="H1239" s="96"/>
      <c r="I1239" s="96"/>
      <c r="J1239" s="96"/>
      <c r="L1239" s="96"/>
      <c r="M1239" s="96"/>
      <c r="P1239" s="96"/>
      <c r="Q1239" s="96"/>
      <c r="R1239" s="96"/>
      <c r="S1239" s="96"/>
      <c r="T1239" s="96"/>
      <c r="U1239" s="96"/>
      <c r="V1239" s="96"/>
      <c r="W1239" s="96"/>
      <c r="AA1239" s="7"/>
      <c r="AB1239" s="7"/>
    </row>
    <row r="1240" spans="1:28" x14ac:dyDescent="0.3">
      <c r="A1240" s="96"/>
      <c r="B1240" s="96"/>
      <c r="C1240" s="96"/>
      <c r="D1240" s="96"/>
      <c r="E1240" s="103"/>
      <c r="F1240" s="96"/>
      <c r="G1240" s="96"/>
      <c r="H1240" s="96"/>
      <c r="I1240" s="96"/>
      <c r="J1240" s="96"/>
      <c r="L1240" s="96"/>
      <c r="M1240" s="96"/>
      <c r="P1240" s="96"/>
      <c r="Q1240" s="96"/>
      <c r="R1240" s="96"/>
      <c r="S1240" s="96"/>
      <c r="T1240" s="96"/>
      <c r="U1240" s="96"/>
      <c r="V1240" s="96"/>
      <c r="W1240" s="96"/>
      <c r="AA1240" s="7"/>
      <c r="AB1240" s="7"/>
    </row>
    <row r="1241" spans="1:28" x14ac:dyDescent="0.3">
      <c r="A1241" s="96"/>
      <c r="B1241" s="96"/>
      <c r="C1241" s="96"/>
      <c r="D1241" s="96"/>
      <c r="E1241" s="103"/>
      <c r="F1241" s="96"/>
      <c r="G1241" s="96"/>
      <c r="H1241" s="96"/>
      <c r="I1241" s="96"/>
      <c r="J1241" s="96"/>
      <c r="L1241" s="96"/>
      <c r="M1241" s="96"/>
      <c r="P1241" s="96"/>
      <c r="Q1241" s="96"/>
      <c r="R1241" s="96"/>
      <c r="S1241" s="96"/>
      <c r="T1241" s="96"/>
      <c r="U1241" s="96"/>
      <c r="V1241" s="96"/>
      <c r="W1241" s="96"/>
      <c r="AA1241" s="7"/>
      <c r="AB1241" s="7"/>
    </row>
    <row r="1242" spans="1:28" x14ac:dyDescent="0.3">
      <c r="A1242" s="96"/>
      <c r="B1242" s="96"/>
      <c r="C1242" s="96"/>
      <c r="D1242" s="96"/>
      <c r="E1242" s="103"/>
      <c r="F1242" s="96"/>
      <c r="G1242" s="96"/>
      <c r="H1242" s="96"/>
      <c r="I1242" s="96"/>
      <c r="J1242" s="96"/>
      <c r="L1242" s="96"/>
      <c r="M1242" s="96"/>
      <c r="P1242" s="96"/>
      <c r="Q1242" s="96"/>
      <c r="R1242" s="96"/>
      <c r="S1242" s="96"/>
      <c r="T1242" s="96"/>
      <c r="U1242" s="96"/>
      <c r="V1242" s="96"/>
      <c r="W1242" s="96"/>
    </row>
    <row r="1243" spans="1:28" x14ac:dyDescent="0.3">
      <c r="A1243" s="96"/>
      <c r="B1243" s="96"/>
      <c r="C1243" s="96"/>
      <c r="D1243" s="96"/>
      <c r="E1243" s="103"/>
      <c r="F1243" s="96"/>
      <c r="G1243" s="96"/>
      <c r="H1243" s="96"/>
      <c r="I1243" s="96"/>
      <c r="J1243" s="96"/>
      <c r="L1243" s="96"/>
      <c r="M1243" s="96"/>
      <c r="P1243" s="96"/>
      <c r="Q1243" s="96"/>
      <c r="R1243" s="96"/>
      <c r="S1243" s="96"/>
      <c r="T1243" s="96"/>
      <c r="U1243" s="96"/>
      <c r="V1243" s="96"/>
      <c r="W1243" s="96"/>
    </row>
    <row r="1244" spans="1:28" x14ac:dyDescent="0.3">
      <c r="A1244" s="96"/>
      <c r="B1244" s="96"/>
      <c r="C1244" s="96"/>
      <c r="D1244" s="96"/>
      <c r="E1244" s="103"/>
      <c r="F1244" s="96"/>
      <c r="G1244" s="96"/>
      <c r="H1244" s="96"/>
      <c r="I1244" s="96"/>
      <c r="J1244" s="96"/>
      <c r="L1244" s="96"/>
      <c r="M1244" s="96"/>
      <c r="P1244" s="96"/>
      <c r="Q1244" s="96"/>
      <c r="R1244" s="96"/>
      <c r="S1244" s="96"/>
      <c r="T1244" s="96"/>
      <c r="U1244" s="96"/>
      <c r="V1244" s="96"/>
      <c r="W1244" s="96"/>
    </row>
    <row r="1245" spans="1:28" x14ac:dyDescent="0.3">
      <c r="A1245" s="96"/>
      <c r="B1245" s="96"/>
      <c r="C1245" s="96"/>
      <c r="D1245" s="96"/>
      <c r="E1245" s="103"/>
      <c r="F1245" s="96"/>
      <c r="G1245" s="96"/>
      <c r="H1245" s="96"/>
      <c r="I1245" s="96"/>
      <c r="J1245" s="96"/>
      <c r="L1245" s="96"/>
      <c r="M1245" s="96"/>
      <c r="P1245" s="96"/>
      <c r="Q1245" s="96"/>
      <c r="R1245" s="96"/>
      <c r="S1245" s="96"/>
      <c r="T1245" s="96"/>
      <c r="U1245" s="96"/>
      <c r="V1245" s="96"/>
      <c r="W1245" s="96"/>
    </row>
    <row r="1246" spans="1:28" x14ac:dyDescent="0.3">
      <c r="A1246" s="96"/>
      <c r="B1246" s="96"/>
      <c r="C1246" s="96"/>
      <c r="D1246" s="96"/>
      <c r="E1246" s="103"/>
      <c r="F1246" s="96"/>
      <c r="G1246" s="96"/>
      <c r="H1246" s="96"/>
      <c r="I1246" s="96"/>
      <c r="J1246" s="96"/>
      <c r="L1246" s="96"/>
      <c r="M1246" s="96"/>
      <c r="P1246" s="96"/>
      <c r="Q1246" s="96"/>
      <c r="R1246" s="96"/>
      <c r="S1246" s="96"/>
      <c r="T1246" s="96"/>
      <c r="U1246" s="96"/>
      <c r="V1246" s="96"/>
      <c r="W1246" s="96"/>
    </row>
    <row r="1247" spans="1:28" x14ac:dyDescent="0.3">
      <c r="A1247" s="96"/>
      <c r="B1247" s="96"/>
      <c r="C1247" s="96"/>
      <c r="D1247" s="96"/>
      <c r="E1247" s="103"/>
      <c r="F1247" s="96"/>
      <c r="G1247" s="96"/>
      <c r="H1247" s="96"/>
      <c r="I1247" s="96"/>
      <c r="J1247" s="96"/>
      <c r="L1247" s="96"/>
      <c r="M1247" s="96"/>
      <c r="P1247" s="96"/>
      <c r="Q1247" s="96"/>
      <c r="R1247" s="96"/>
      <c r="S1247" s="96"/>
      <c r="T1247" s="96"/>
      <c r="U1247" s="96"/>
      <c r="V1247" s="96"/>
      <c r="W1247" s="96"/>
    </row>
    <row r="1248" spans="1:28" x14ac:dyDescent="0.3">
      <c r="A1248" s="96"/>
      <c r="B1248" s="96"/>
      <c r="C1248" s="96"/>
      <c r="D1248" s="96"/>
      <c r="E1248" s="103"/>
      <c r="F1248" s="96"/>
      <c r="G1248" s="96"/>
      <c r="H1248" s="96"/>
      <c r="I1248" s="96"/>
      <c r="J1248" s="96"/>
      <c r="L1248" s="96"/>
      <c r="M1248" s="96"/>
      <c r="P1248" s="96"/>
      <c r="Q1248" s="96"/>
      <c r="R1248" s="96"/>
      <c r="S1248" s="96"/>
      <c r="T1248" s="96"/>
      <c r="U1248" s="96"/>
      <c r="V1248" s="96"/>
      <c r="W1248" s="96"/>
    </row>
    <row r="1249" spans="1:23" x14ac:dyDescent="0.3">
      <c r="A1249" s="96"/>
      <c r="B1249" s="96"/>
      <c r="C1249" s="96"/>
      <c r="D1249" s="96"/>
      <c r="E1249" s="103"/>
      <c r="F1249" s="96"/>
      <c r="G1249" s="96"/>
      <c r="H1249" s="96"/>
      <c r="I1249" s="96"/>
      <c r="J1249" s="96"/>
      <c r="L1249" s="96"/>
      <c r="M1249" s="96"/>
      <c r="P1249" s="96"/>
      <c r="Q1249" s="96"/>
      <c r="R1249" s="96"/>
      <c r="S1249" s="96"/>
      <c r="T1249" s="96"/>
      <c r="U1249" s="96"/>
      <c r="V1249" s="96"/>
      <c r="W1249" s="96"/>
    </row>
    <row r="1250" spans="1:23" x14ac:dyDescent="0.3">
      <c r="A1250" s="96"/>
      <c r="B1250" s="96"/>
      <c r="C1250" s="96"/>
      <c r="D1250" s="96"/>
      <c r="E1250" s="103"/>
      <c r="F1250" s="96"/>
      <c r="G1250" s="96"/>
      <c r="H1250" s="96"/>
      <c r="I1250" s="96"/>
      <c r="J1250" s="96"/>
      <c r="L1250" s="96"/>
      <c r="M1250" s="96"/>
      <c r="P1250" s="96"/>
      <c r="Q1250" s="96"/>
      <c r="R1250" s="96"/>
      <c r="S1250" s="96"/>
      <c r="T1250" s="96"/>
      <c r="U1250" s="96"/>
      <c r="V1250" s="96"/>
      <c r="W1250" s="96"/>
    </row>
    <row r="1251" spans="1:23" x14ac:dyDescent="0.3">
      <c r="A1251" s="96"/>
      <c r="B1251" s="96"/>
      <c r="C1251" s="96"/>
      <c r="D1251" s="96"/>
      <c r="E1251" s="103"/>
      <c r="F1251" s="96"/>
      <c r="G1251" s="96"/>
      <c r="H1251" s="96"/>
      <c r="I1251" s="96"/>
      <c r="J1251" s="96"/>
      <c r="L1251" s="96"/>
      <c r="M1251" s="96"/>
      <c r="P1251" s="96"/>
      <c r="Q1251" s="96"/>
      <c r="R1251" s="96"/>
      <c r="S1251" s="96"/>
      <c r="T1251" s="96"/>
      <c r="U1251" s="96"/>
      <c r="V1251" s="96"/>
      <c r="W1251" s="96"/>
    </row>
    <row r="1252" spans="1:23" x14ac:dyDescent="0.3">
      <c r="A1252" s="96"/>
      <c r="B1252" s="96"/>
      <c r="C1252" s="96"/>
      <c r="D1252" s="96"/>
      <c r="E1252" s="103"/>
      <c r="F1252" s="96"/>
      <c r="G1252" s="96"/>
      <c r="H1252" s="96"/>
      <c r="I1252" s="96"/>
      <c r="J1252" s="96"/>
      <c r="L1252" s="96"/>
      <c r="M1252" s="96"/>
      <c r="P1252" s="96"/>
      <c r="Q1252" s="96"/>
      <c r="R1252" s="96"/>
      <c r="S1252" s="96"/>
      <c r="T1252" s="96"/>
      <c r="U1252" s="96"/>
      <c r="V1252" s="96"/>
      <c r="W1252" s="96"/>
    </row>
    <row r="1253" spans="1:23" x14ac:dyDescent="0.3">
      <c r="A1253" s="96"/>
      <c r="B1253" s="96"/>
      <c r="C1253" s="96"/>
      <c r="D1253" s="96"/>
      <c r="E1253" s="103"/>
      <c r="F1253" s="96"/>
      <c r="G1253" s="96"/>
      <c r="H1253" s="96"/>
      <c r="I1253" s="96"/>
      <c r="J1253" s="96"/>
      <c r="L1253" s="96"/>
      <c r="M1253" s="96"/>
      <c r="P1253" s="96"/>
      <c r="Q1253" s="96"/>
      <c r="R1253" s="96"/>
      <c r="S1253" s="96"/>
      <c r="T1253" s="96"/>
      <c r="U1253" s="96"/>
      <c r="V1253" s="96"/>
      <c r="W1253" s="96"/>
    </row>
    <row r="1254" spans="1:23" x14ac:dyDescent="0.3">
      <c r="A1254" s="96"/>
      <c r="B1254" s="96"/>
      <c r="C1254" s="96"/>
      <c r="D1254" s="96"/>
      <c r="E1254" s="103"/>
      <c r="F1254" s="96"/>
      <c r="G1254" s="96"/>
      <c r="H1254" s="96"/>
      <c r="I1254" s="96"/>
      <c r="J1254" s="96"/>
      <c r="L1254" s="96"/>
      <c r="M1254" s="96"/>
      <c r="P1254" s="96"/>
      <c r="Q1254" s="96"/>
      <c r="R1254" s="96"/>
      <c r="S1254" s="96"/>
      <c r="T1254" s="96"/>
      <c r="U1254" s="96"/>
      <c r="V1254" s="96"/>
      <c r="W1254" s="96"/>
    </row>
    <row r="1255" spans="1:23" x14ac:dyDescent="0.3">
      <c r="A1255" s="96"/>
      <c r="B1255" s="96"/>
      <c r="C1255" s="96"/>
      <c r="D1255" s="96"/>
      <c r="E1255" s="103"/>
      <c r="F1255" s="96"/>
      <c r="G1255" s="96"/>
      <c r="H1255" s="96"/>
      <c r="I1255" s="96"/>
      <c r="J1255" s="96"/>
      <c r="L1255" s="96"/>
      <c r="M1255" s="96"/>
      <c r="P1255" s="96"/>
      <c r="Q1255" s="96"/>
      <c r="R1255" s="96"/>
      <c r="S1255" s="96"/>
      <c r="T1255" s="96"/>
      <c r="U1255" s="96"/>
      <c r="V1255" s="96"/>
      <c r="W1255" s="96"/>
    </row>
    <row r="1256" spans="1:23" x14ac:dyDescent="0.3">
      <c r="A1256" s="96"/>
      <c r="B1256" s="96"/>
      <c r="C1256" s="96"/>
      <c r="D1256" s="96"/>
      <c r="E1256" s="103"/>
      <c r="F1256" s="96"/>
      <c r="G1256" s="96"/>
      <c r="H1256" s="96"/>
      <c r="I1256" s="96"/>
      <c r="J1256" s="96"/>
      <c r="L1256" s="96"/>
      <c r="M1256" s="96"/>
      <c r="P1256" s="96"/>
      <c r="Q1256" s="96"/>
      <c r="R1256" s="96"/>
      <c r="S1256" s="96"/>
      <c r="T1256" s="96"/>
      <c r="U1256" s="96"/>
      <c r="V1256" s="96"/>
      <c r="W1256" s="96"/>
    </row>
    <row r="1257" spans="1:23" x14ac:dyDescent="0.3">
      <c r="A1257" s="96"/>
      <c r="B1257" s="96"/>
      <c r="C1257" s="96"/>
      <c r="D1257" s="96"/>
      <c r="E1257" s="103"/>
      <c r="F1257" s="96"/>
      <c r="G1257" s="96"/>
      <c r="H1257" s="96"/>
      <c r="I1257" s="96"/>
      <c r="J1257" s="96"/>
      <c r="L1257" s="96"/>
      <c r="M1257" s="96"/>
      <c r="P1257" s="96"/>
      <c r="Q1257" s="96"/>
      <c r="R1257" s="96"/>
      <c r="S1257" s="96"/>
      <c r="T1257" s="96"/>
      <c r="U1257" s="96"/>
      <c r="V1257" s="96"/>
      <c r="W1257" s="96"/>
    </row>
    <row r="1258" spans="1:23" x14ac:dyDescent="0.3">
      <c r="A1258" s="96"/>
      <c r="B1258" s="96"/>
      <c r="C1258" s="96"/>
      <c r="D1258" s="96"/>
      <c r="E1258" s="103"/>
      <c r="F1258" s="96"/>
      <c r="G1258" s="96"/>
      <c r="H1258" s="96"/>
      <c r="I1258" s="96"/>
      <c r="J1258" s="96"/>
      <c r="L1258" s="96"/>
      <c r="M1258" s="96"/>
      <c r="P1258" s="96"/>
      <c r="Q1258" s="96"/>
      <c r="R1258" s="96"/>
      <c r="S1258" s="96"/>
      <c r="T1258" s="96"/>
      <c r="U1258" s="96"/>
      <c r="V1258" s="96"/>
      <c r="W1258" s="96"/>
    </row>
    <row r="1259" spans="1:23" x14ac:dyDescent="0.3">
      <c r="A1259" s="96"/>
      <c r="B1259" s="96"/>
      <c r="C1259" s="96"/>
      <c r="D1259" s="96"/>
      <c r="E1259" s="103"/>
      <c r="F1259" s="96"/>
      <c r="G1259" s="96"/>
      <c r="H1259" s="96"/>
      <c r="I1259" s="96"/>
      <c r="J1259" s="96"/>
      <c r="L1259" s="96"/>
      <c r="M1259" s="96"/>
      <c r="P1259" s="96"/>
      <c r="Q1259" s="96"/>
      <c r="R1259" s="96"/>
      <c r="S1259" s="96"/>
      <c r="T1259" s="96"/>
      <c r="U1259" s="96"/>
      <c r="V1259" s="96"/>
      <c r="W1259" s="96"/>
    </row>
    <row r="1260" spans="1:23" x14ac:dyDescent="0.3">
      <c r="A1260" s="96"/>
      <c r="B1260" s="96"/>
      <c r="C1260" s="96"/>
      <c r="D1260" s="96"/>
      <c r="E1260" s="103"/>
      <c r="F1260" s="96"/>
      <c r="G1260" s="96"/>
      <c r="H1260" s="96"/>
      <c r="I1260" s="96"/>
      <c r="J1260" s="96"/>
      <c r="L1260" s="96"/>
      <c r="M1260" s="96"/>
      <c r="P1260" s="96"/>
      <c r="Q1260" s="96"/>
      <c r="R1260" s="96"/>
      <c r="S1260" s="96"/>
      <c r="T1260" s="96"/>
      <c r="U1260" s="96"/>
      <c r="V1260" s="96"/>
      <c r="W1260" s="96"/>
    </row>
    <row r="1261" spans="1:23" x14ac:dyDescent="0.3">
      <c r="A1261" s="96"/>
      <c r="B1261" s="96"/>
      <c r="C1261" s="96"/>
      <c r="D1261" s="96"/>
      <c r="E1261" s="103"/>
      <c r="F1261" s="96"/>
      <c r="G1261" s="96"/>
      <c r="H1261" s="96"/>
      <c r="I1261" s="96"/>
      <c r="J1261" s="96"/>
      <c r="L1261" s="96"/>
      <c r="M1261" s="96"/>
      <c r="P1261" s="96"/>
      <c r="Q1261" s="96"/>
      <c r="R1261" s="96"/>
      <c r="S1261" s="96"/>
      <c r="T1261" s="96"/>
      <c r="U1261" s="96"/>
      <c r="V1261" s="96"/>
      <c r="W1261" s="96"/>
    </row>
    <row r="1262" spans="1:23" x14ac:dyDescent="0.3">
      <c r="A1262" s="96"/>
      <c r="B1262" s="96"/>
      <c r="C1262" s="96"/>
      <c r="D1262" s="96"/>
      <c r="E1262" s="103"/>
      <c r="F1262" s="96"/>
      <c r="G1262" s="96"/>
      <c r="H1262" s="96"/>
      <c r="I1262" s="96"/>
      <c r="J1262" s="96"/>
      <c r="L1262" s="96"/>
      <c r="M1262" s="96"/>
      <c r="P1262" s="96"/>
      <c r="Q1262" s="96"/>
      <c r="R1262" s="96"/>
      <c r="S1262" s="96"/>
      <c r="T1262" s="96"/>
      <c r="U1262" s="96"/>
      <c r="V1262" s="96"/>
      <c r="W1262" s="96"/>
    </row>
    <row r="1263" spans="1:23" x14ac:dyDescent="0.3">
      <c r="A1263" s="96"/>
      <c r="B1263" s="96"/>
      <c r="C1263" s="96"/>
      <c r="D1263" s="96"/>
      <c r="E1263" s="103"/>
      <c r="F1263" s="96"/>
      <c r="G1263" s="96"/>
      <c r="H1263" s="96"/>
      <c r="I1263" s="96"/>
      <c r="J1263" s="96"/>
      <c r="L1263" s="96"/>
      <c r="M1263" s="96"/>
      <c r="P1263" s="96"/>
      <c r="Q1263" s="96"/>
      <c r="R1263" s="96"/>
      <c r="S1263" s="96"/>
      <c r="T1263" s="96"/>
      <c r="U1263" s="96"/>
      <c r="V1263" s="96"/>
      <c r="W1263" s="96"/>
    </row>
    <row r="1264" spans="1:23" x14ac:dyDescent="0.3">
      <c r="A1264" s="96"/>
      <c r="B1264" s="96"/>
      <c r="C1264" s="96"/>
      <c r="D1264" s="96"/>
      <c r="E1264" s="103"/>
      <c r="F1264" s="96"/>
      <c r="G1264" s="96"/>
      <c r="H1264" s="96"/>
      <c r="I1264" s="96"/>
      <c r="J1264" s="96"/>
      <c r="L1264" s="96"/>
      <c r="M1264" s="96"/>
      <c r="P1264" s="96"/>
      <c r="Q1264" s="96"/>
      <c r="R1264" s="96"/>
      <c r="S1264" s="96"/>
      <c r="T1264" s="96"/>
      <c r="U1264" s="96"/>
      <c r="V1264" s="96"/>
      <c r="W1264" s="96"/>
    </row>
    <row r="1265" spans="1:28" x14ac:dyDescent="0.3">
      <c r="A1265" s="96"/>
      <c r="B1265" s="96"/>
      <c r="C1265" s="96"/>
      <c r="D1265" s="96"/>
      <c r="E1265" s="103"/>
      <c r="F1265" s="96"/>
      <c r="G1265" s="96"/>
      <c r="H1265" s="96"/>
      <c r="I1265" s="96"/>
      <c r="J1265" s="96"/>
      <c r="L1265" s="96"/>
      <c r="M1265" s="96"/>
      <c r="P1265" s="96"/>
      <c r="Q1265" s="96"/>
      <c r="R1265" s="96"/>
      <c r="S1265" s="96"/>
      <c r="T1265" s="96"/>
      <c r="U1265" s="96"/>
      <c r="V1265" s="96"/>
      <c r="W1265" s="96"/>
    </row>
    <row r="1266" spans="1:28" x14ac:dyDescent="0.3">
      <c r="A1266" s="96"/>
      <c r="B1266" s="96"/>
      <c r="C1266" s="96"/>
      <c r="D1266" s="96"/>
      <c r="E1266" s="103"/>
      <c r="F1266" s="96"/>
      <c r="G1266" s="96"/>
      <c r="H1266" s="96"/>
      <c r="I1266" s="96"/>
      <c r="J1266" s="96"/>
      <c r="L1266" s="96"/>
      <c r="M1266" s="96"/>
      <c r="P1266" s="96"/>
      <c r="Q1266" s="96"/>
      <c r="R1266" s="96"/>
      <c r="S1266" s="96"/>
      <c r="T1266" s="96"/>
      <c r="U1266" s="96"/>
      <c r="V1266" s="96"/>
      <c r="W1266" s="96"/>
    </row>
    <row r="1267" spans="1:28" x14ac:dyDescent="0.3">
      <c r="A1267" s="96"/>
      <c r="B1267" s="96"/>
      <c r="C1267" s="96"/>
      <c r="D1267" s="96"/>
      <c r="E1267" s="103"/>
      <c r="F1267" s="96"/>
      <c r="G1267" s="96"/>
      <c r="H1267" s="96"/>
      <c r="I1267" s="96"/>
      <c r="J1267" s="96"/>
      <c r="L1267" s="96"/>
      <c r="M1267" s="96"/>
      <c r="P1267" s="96"/>
      <c r="Q1267" s="96"/>
      <c r="R1267" s="96"/>
      <c r="S1267" s="96"/>
      <c r="T1267" s="96"/>
      <c r="U1267" s="96"/>
      <c r="V1267" s="96"/>
      <c r="W1267" s="96"/>
    </row>
    <row r="1268" spans="1:28" x14ac:dyDescent="0.3">
      <c r="A1268" s="96"/>
      <c r="B1268" s="96"/>
      <c r="C1268" s="96"/>
      <c r="D1268" s="96"/>
      <c r="E1268" s="103"/>
      <c r="F1268" s="96"/>
      <c r="G1268" s="96"/>
      <c r="H1268" s="96"/>
      <c r="I1268" s="96"/>
      <c r="J1268" s="96"/>
      <c r="L1268" s="96"/>
      <c r="M1268" s="96"/>
      <c r="P1268" s="96"/>
      <c r="Q1268" s="96"/>
      <c r="R1268" s="96"/>
      <c r="S1268" s="96"/>
      <c r="T1268" s="96"/>
      <c r="U1268" s="96"/>
      <c r="V1268" s="96"/>
      <c r="W1268" s="96"/>
    </row>
    <row r="1269" spans="1:28" x14ac:dyDescent="0.3">
      <c r="A1269" s="96"/>
      <c r="B1269" s="96"/>
      <c r="C1269" s="96"/>
      <c r="D1269" s="96"/>
      <c r="E1269" s="103"/>
      <c r="F1269" s="96"/>
      <c r="G1269" s="96"/>
      <c r="H1269" s="96"/>
      <c r="I1269" s="96"/>
      <c r="J1269" s="96"/>
      <c r="L1269" s="96"/>
      <c r="M1269" s="96"/>
      <c r="P1269" s="96"/>
      <c r="Q1269" s="96"/>
      <c r="R1269" s="96"/>
      <c r="S1269" s="96"/>
      <c r="T1269" s="96"/>
      <c r="U1269" s="96"/>
      <c r="V1269" s="96"/>
      <c r="W1269" s="96"/>
    </row>
    <row r="1270" spans="1:28" x14ac:dyDescent="0.3">
      <c r="A1270" s="96"/>
      <c r="B1270" s="96"/>
      <c r="C1270" s="96"/>
      <c r="D1270" s="96"/>
      <c r="E1270" s="103"/>
      <c r="F1270" s="96"/>
      <c r="G1270" s="96"/>
      <c r="H1270" s="96"/>
      <c r="I1270" s="96"/>
      <c r="J1270" s="96"/>
      <c r="L1270" s="96"/>
      <c r="M1270" s="96"/>
      <c r="P1270" s="96"/>
      <c r="Q1270" s="96"/>
      <c r="R1270" s="96"/>
      <c r="S1270" s="96"/>
      <c r="T1270" s="96"/>
      <c r="U1270" s="96"/>
      <c r="V1270" s="96"/>
      <c r="W1270" s="96"/>
    </row>
    <row r="1271" spans="1:28" x14ac:dyDescent="0.3">
      <c r="A1271" s="96"/>
      <c r="B1271" s="96"/>
      <c r="C1271" s="96"/>
      <c r="D1271" s="96"/>
      <c r="E1271" s="103"/>
      <c r="F1271" s="96"/>
      <c r="G1271" s="96"/>
      <c r="H1271" s="96"/>
      <c r="I1271" s="96"/>
      <c r="J1271" s="96"/>
      <c r="L1271" s="96"/>
      <c r="M1271" s="96"/>
      <c r="P1271" s="96"/>
      <c r="Q1271" s="96"/>
      <c r="R1271" s="96"/>
      <c r="S1271" s="96"/>
      <c r="T1271" s="96"/>
      <c r="U1271" s="96"/>
      <c r="V1271" s="96"/>
      <c r="W1271" s="96"/>
    </row>
    <row r="1272" spans="1:28" x14ac:dyDescent="0.3">
      <c r="A1272" s="96"/>
      <c r="B1272" s="96"/>
      <c r="C1272" s="96"/>
      <c r="D1272" s="96"/>
      <c r="E1272" s="103"/>
      <c r="F1272" s="96"/>
      <c r="G1272" s="96"/>
      <c r="H1272" s="96"/>
      <c r="I1272" s="96"/>
      <c r="J1272" s="96"/>
      <c r="L1272" s="96"/>
      <c r="M1272" s="96"/>
      <c r="P1272" s="96"/>
      <c r="Q1272" s="96"/>
      <c r="R1272" s="96"/>
      <c r="S1272" s="96"/>
      <c r="T1272" s="96"/>
      <c r="U1272" s="96"/>
      <c r="V1272" s="96"/>
      <c r="W1272" s="96"/>
    </row>
    <row r="1273" spans="1:28" x14ac:dyDescent="0.3">
      <c r="A1273" s="96"/>
      <c r="B1273" s="96"/>
      <c r="C1273" s="96"/>
      <c r="D1273" s="96"/>
      <c r="E1273" s="103"/>
      <c r="F1273" s="96"/>
      <c r="G1273" s="96"/>
      <c r="H1273" s="96"/>
      <c r="I1273" s="96"/>
      <c r="J1273" s="96"/>
      <c r="L1273" s="96"/>
      <c r="M1273" s="96"/>
      <c r="P1273" s="96"/>
      <c r="Q1273" s="96"/>
      <c r="R1273" s="96"/>
      <c r="S1273" s="96"/>
      <c r="T1273" s="96"/>
      <c r="U1273" s="96"/>
      <c r="V1273" s="96"/>
      <c r="W1273" s="96"/>
    </row>
    <row r="1274" spans="1:28" x14ac:dyDescent="0.3">
      <c r="A1274" s="96"/>
      <c r="B1274" s="96"/>
      <c r="C1274" s="96"/>
      <c r="D1274" s="96"/>
      <c r="E1274" s="103"/>
      <c r="F1274" s="96"/>
      <c r="G1274" s="96"/>
      <c r="H1274" s="96"/>
      <c r="I1274" s="96"/>
      <c r="J1274" s="96"/>
      <c r="L1274" s="96"/>
      <c r="M1274" s="96"/>
      <c r="P1274" s="96"/>
      <c r="Q1274" s="96"/>
      <c r="R1274" s="96"/>
      <c r="S1274" s="96"/>
      <c r="T1274" s="96"/>
      <c r="U1274" s="96"/>
      <c r="V1274" s="96"/>
      <c r="W1274" s="96"/>
    </row>
    <row r="1275" spans="1:28" x14ac:dyDescent="0.3">
      <c r="A1275" s="96"/>
      <c r="B1275" s="96"/>
      <c r="C1275" s="96"/>
      <c r="D1275" s="96"/>
      <c r="E1275" s="103"/>
      <c r="F1275" s="96"/>
      <c r="G1275" s="96"/>
      <c r="H1275" s="96"/>
      <c r="I1275" s="96"/>
      <c r="J1275" s="96"/>
      <c r="L1275" s="96"/>
      <c r="M1275" s="96"/>
      <c r="P1275" s="96"/>
      <c r="Q1275" s="96"/>
      <c r="R1275" s="96"/>
      <c r="S1275" s="96"/>
      <c r="T1275" s="96"/>
      <c r="U1275" s="96"/>
      <c r="V1275" s="96"/>
      <c r="W1275" s="96"/>
    </row>
    <row r="1276" spans="1:28" x14ac:dyDescent="0.3">
      <c r="A1276" s="96"/>
      <c r="B1276" s="96"/>
      <c r="C1276" s="96"/>
      <c r="D1276" s="96"/>
      <c r="E1276" s="103"/>
      <c r="F1276" s="96"/>
      <c r="G1276" s="96"/>
      <c r="H1276" s="96"/>
      <c r="I1276" s="96"/>
      <c r="J1276" s="96"/>
      <c r="L1276" s="96"/>
      <c r="M1276" s="96"/>
      <c r="P1276" s="96"/>
      <c r="Q1276" s="96"/>
      <c r="R1276" s="96"/>
      <c r="S1276" s="96"/>
      <c r="T1276" s="96"/>
      <c r="U1276" s="96"/>
      <c r="V1276" s="96"/>
      <c r="W1276" s="96"/>
    </row>
    <row r="1277" spans="1:28" x14ac:dyDescent="0.3">
      <c r="A1277" s="96"/>
      <c r="B1277" s="96"/>
      <c r="C1277" s="96"/>
      <c r="D1277" s="96"/>
      <c r="E1277" s="103"/>
      <c r="F1277" s="96"/>
      <c r="G1277" s="96"/>
      <c r="H1277" s="96"/>
      <c r="I1277" s="96"/>
      <c r="J1277" s="96"/>
      <c r="L1277" s="96"/>
      <c r="M1277" s="96"/>
      <c r="P1277" s="96"/>
      <c r="Q1277" s="96"/>
      <c r="R1277" s="96"/>
      <c r="S1277" s="96"/>
      <c r="T1277" s="96"/>
      <c r="U1277" s="96"/>
      <c r="V1277" s="96"/>
      <c r="W1277" s="96"/>
    </row>
    <row r="1278" spans="1:28" x14ac:dyDescent="0.3">
      <c r="A1278" s="96"/>
      <c r="B1278" s="96"/>
      <c r="C1278" s="96"/>
      <c r="D1278" s="96"/>
      <c r="E1278" s="103"/>
      <c r="F1278" s="96"/>
      <c r="G1278" s="96"/>
      <c r="H1278" s="96"/>
      <c r="I1278" s="96"/>
      <c r="J1278" s="96"/>
      <c r="L1278" s="96"/>
      <c r="M1278" s="96"/>
      <c r="P1278" s="96"/>
      <c r="Q1278" s="96"/>
      <c r="R1278" s="96"/>
      <c r="S1278" s="96"/>
      <c r="T1278" s="96"/>
      <c r="U1278" s="96"/>
      <c r="V1278" s="96"/>
      <c r="W1278" s="96"/>
    </row>
    <row r="1279" spans="1:28" x14ac:dyDescent="0.3">
      <c r="A1279" s="96"/>
      <c r="B1279" s="96"/>
      <c r="C1279" s="96"/>
      <c r="D1279" s="96"/>
      <c r="E1279" s="103"/>
      <c r="F1279" s="96"/>
      <c r="G1279" s="96"/>
      <c r="H1279" s="96"/>
      <c r="I1279" s="96"/>
      <c r="J1279" s="96"/>
      <c r="L1279" s="96"/>
      <c r="M1279" s="96"/>
      <c r="P1279" s="96"/>
      <c r="Q1279" s="96"/>
      <c r="R1279" s="96"/>
      <c r="S1279" s="96"/>
      <c r="T1279" s="96"/>
      <c r="U1279" s="96"/>
      <c r="V1279" s="96"/>
      <c r="W1279" s="96"/>
    </row>
    <row r="1280" spans="1:28" x14ac:dyDescent="0.3">
      <c r="A1280" s="96"/>
      <c r="B1280" s="96"/>
      <c r="C1280" s="96"/>
      <c r="D1280" s="96"/>
      <c r="E1280" s="103"/>
      <c r="F1280" s="96"/>
      <c r="G1280" s="96"/>
      <c r="H1280" s="96"/>
      <c r="I1280" s="96"/>
      <c r="J1280" s="96"/>
      <c r="L1280" s="96"/>
      <c r="M1280" s="96"/>
      <c r="P1280" s="96"/>
      <c r="Q1280" s="96"/>
      <c r="R1280" s="96"/>
      <c r="S1280" s="96"/>
      <c r="T1280" s="96"/>
      <c r="U1280" s="96"/>
      <c r="V1280" s="96"/>
      <c r="W1280" s="96"/>
      <c r="AA1280" s="96"/>
      <c r="AB1280" s="96"/>
    </row>
    <row r="1281" spans="1:28" x14ac:dyDescent="0.3">
      <c r="A1281" s="96"/>
      <c r="B1281" s="96"/>
      <c r="C1281" s="96"/>
      <c r="D1281" s="96"/>
      <c r="E1281" s="103"/>
      <c r="F1281" s="96"/>
      <c r="G1281" s="96"/>
      <c r="H1281" s="96"/>
      <c r="I1281" s="96"/>
      <c r="J1281" s="96"/>
      <c r="L1281" s="96"/>
      <c r="M1281" s="96"/>
      <c r="P1281" s="96"/>
      <c r="Q1281" s="96"/>
      <c r="R1281" s="96"/>
      <c r="S1281" s="96"/>
      <c r="T1281" s="96"/>
      <c r="U1281" s="96"/>
      <c r="V1281" s="96"/>
      <c r="W1281" s="96"/>
      <c r="AA1281" s="104"/>
      <c r="AB1281" s="104"/>
    </row>
    <row r="1282" spans="1:28" x14ac:dyDescent="0.3">
      <c r="A1282" s="96"/>
      <c r="B1282" s="96"/>
      <c r="C1282" s="96"/>
      <c r="D1282" s="96"/>
      <c r="E1282" s="103"/>
      <c r="F1282" s="96"/>
      <c r="G1282" s="96"/>
      <c r="H1282" s="96"/>
      <c r="I1282" s="96"/>
      <c r="J1282" s="96"/>
      <c r="L1282" s="96"/>
      <c r="M1282" s="96"/>
      <c r="P1282" s="96"/>
      <c r="Q1282" s="96"/>
      <c r="R1282" s="96"/>
      <c r="S1282" s="96"/>
      <c r="T1282" s="96"/>
      <c r="U1282" s="96"/>
      <c r="V1282" s="96"/>
      <c r="W1282" s="96"/>
      <c r="AA1282" s="96"/>
      <c r="AB1282" s="96"/>
    </row>
    <row r="1283" spans="1:28" x14ac:dyDescent="0.3">
      <c r="A1283" s="96"/>
      <c r="B1283" s="96"/>
      <c r="C1283" s="96"/>
      <c r="D1283" s="96"/>
      <c r="E1283" s="103"/>
      <c r="F1283" s="96"/>
      <c r="G1283" s="96"/>
      <c r="H1283" s="96"/>
      <c r="I1283" s="96"/>
      <c r="J1283" s="96"/>
      <c r="L1283" s="96"/>
      <c r="M1283" s="96"/>
      <c r="P1283" s="96"/>
      <c r="Q1283" s="96"/>
      <c r="R1283" s="96"/>
      <c r="S1283" s="96"/>
      <c r="T1283" s="96"/>
      <c r="U1283" s="96"/>
      <c r="V1283" s="96"/>
      <c r="W1283" s="96"/>
      <c r="AA1283" s="96"/>
      <c r="AB1283" s="96"/>
    </row>
    <row r="1284" spans="1:28" x14ac:dyDescent="0.3">
      <c r="A1284" s="96"/>
      <c r="B1284" s="96"/>
      <c r="C1284" s="96"/>
      <c r="D1284" s="96"/>
      <c r="E1284" s="103"/>
      <c r="F1284" s="96"/>
      <c r="G1284" s="96"/>
      <c r="H1284" s="96"/>
      <c r="I1284" s="96"/>
      <c r="J1284" s="96"/>
      <c r="L1284" s="96"/>
      <c r="M1284" s="96"/>
      <c r="P1284" s="96"/>
      <c r="Q1284" s="96"/>
      <c r="R1284" s="96"/>
      <c r="S1284" s="96"/>
      <c r="T1284" s="96"/>
      <c r="U1284" s="96"/>
      <c r="V1284" s="96"/>
      <c r="W1284" s="96"/>
    </row>
    <row r="1285" spans="1:28" x14ac:dyDescent="0.3">
      <c r="A1285" s="96"/>
      <c r="B1285" s="96"/>
      <c r="C1285" s="96"/>
      <c r="D1285" s="96"/>
      <c r="E1285" s="103"/>
      <c r="F1285" s="96"/>
      <c r="G1285" s="96"/>
      <c r="H1285" s="96"/>
      <c r="I1285" s="96"/>
      <c r="J1285" s="96"/>
      <c r="L1285" s="96"/>
      <c r="M1285" s="96"/>
      <c r="P1285" s="96"/>
      <c r="Q1285" s="96"/>
      <c r="R1285" s="96"/>
      <c r="S1285" s="96"/>
      <c r="T1285" s="96"/>
      <c r="U1285" s="96"/>
      <c r="V1285" s="96"/>
      <c r="W1285" s="96"/>
    </row>
    <row r="1286" spans="1:28" x14ac:dyDescent="0.3">
      <c r="A1286" s="96"/>
      <c r="B1286" s="96"/>
      <c r="C1286" s="96"/>
      <c r="D1286" s="96"/>
      <c r="E1286" s="103"/>
      <c r="F1286" s="96"/>
      <c r="G1286" s="96"/>
      <c r="H1286" s="96"/>
      <c r="I1286" s="96"/>
      <c r="J1286" s="96"/>
      <c r="L1286" s="96"/>
      <c r="M1286" s="96"/>
      <c r="P1286" s="96"/>
      <c r="Q1286" s="96"/>
      <c r="R1286" s="96"/>
      <c r="S1286" s="96"/>
      <c r="T1286" s="96"/>
      <c r="U1286" s="96"/>
      <c r="V1286" s="96"/>
      <c r="W1286" s="96"/>
      <c r="AA1286" s="9"/>
      <c r="AB1286" s="9"/>
    </row>
    <row r="1287" spans="1:28" x14ac:dyDescent="0.3">
      <c r="A1287" s="96"/>
      <c r="B1287" s="96"/>
      <c r="C1287" s="96"/>
      <c r="D1287" s="96"/>
      <c r="E1287" s="103"/>
      <c r="F1287" s="96"/>
      <c r="G1287" s="96"/>
      <c r="H1287" s="96"/>
      <c r="I1287" s="96"/>
      <c r="J1287" s="96"/>
      <c r="L1287" s="96"/>
      <c r="M1287" s="96"/>
      <c r="P1287" s="96"/>
      <c r="Q1287" s="96"/>
      <c r="R1287" s="96"/>
      <c r="S1287" s="96"/>
      <c r="T1287" s="96"/>
      <c r="U1287" s="96"/>
      <c r="V1287" s="96"/>
      <c r="W1287" s="96"/>
      <c r="AA1287" s="7"/>
      <c r="AB1287" s="7"/>
    </row>
    <row r="1288" spans="1:28" x14ac:dyDescent="0.3">
      <c r="A1288" s="96"/>
      <c r="B1288" s="96"/>
      <c r="C1288" s="96"/>
      <c r="D1288" s="96"/>
      <c r="E1288" s="103"/>
      <c r="F1288" s="96"/>
      <c r="G1288" s="96"/>
      <c r="H1288" s="96"/>
      <c r="I1288" s="96"/>
      <c r="J1288" s="96"/>
      <c r="L1288" s="96"/>
      <c r="M1288" s="96"/>
      <c r="P1288" s="96"/>
      <c r="Q1288" s="96"/>
      <c r="R1288" s="96"/>
      <c r="S1288" s="96"/>
      <c r="T1288" s="96"/>
      <c r="U1288" s="96"/>
      <c r="V1288" s="96"/>
      <c r="W1288" s="96"/>
      <c r="AA1288" s="7"/>
      <c r="AB1288" s="7"/>
    </row>
    <row r="1289" spans="1:28" x14ac:dyDescent="0.3">
      <c r="A1289" s="96"/>
      <c r="B1289" s="96"/>
      <c r="C1289" s="96"/>
      <c r="D1289" s="96"/>
      <c r="E1289" s="103"/>
      <c r="F1289" s="96"/>
      <c r="G1289" s="96"/>
      <c r="H1289" s="96"/>
      <c r="I1289" s="96"/>
      <c r="J1289" s="96"/>
      <c r="L1289" s="96"/>
      <c r="M1289" s="96"/>
      <c r="P1289" s="96"/>
      <c r="Q1289" s="96"/>
      <c r="R1289" s="96"/>
      <c r="S1289" s="96"/>
      <c r="T1289" s="96"/>
      <c r="U1289" s="96"/>
      <c r="V1289" s="96"/>
      <c r="W1289" s="96"/>
      <c r="AA1289" s="105"/>
      <c r="AB1289" s="105"/>
    </row>
    <row r="1290" spans="1:28" x14ac:dyDescent="0.3">
      <c r="A1290" s="96"/>
      <c r="B1290" s="96"/>
      <c r="C1290" s="96"/>
      <c r="D1290" s="96"/>
      <c r="E1290" s="103"/>
      <c r="F1290" s="96"/>
      <c r="G1290" s="96"/>
      <c r="H1290" s="96"/>
      <c r="I1290" s="96"/>
      <c r="J1290" s="96"/>
      <c r="L1290" s="96"/>
      <c r="M1290" s="96"/>
      <c r="P1290" s="96"/>
      <c r="Q1290" s="96"/>
      <c r="R1290" s="96"/>
      <c r="S1290" s="96"/>
      <c r="T1290" s="96"/>
      <c r="U1290" s="96"/>
      <c r="V1290" s="96"/>
      <c r="W1290" s="96"/>
      <c r="AA1290" s="7"/>
      <c r="AB1290" s="7"/>
    </row>
    <row r="1291" spans="1:28" x14ac:dyDescent="0.3">
      <c r="A1291" s="96"/>
      <c r="B1291" s="96"/>
      <c r="C1291" s="96"/>
      <c r="D1291" s="96"/>
      <c r="E1291" s="103"/>
      <c r="F1291" s="96"/>
      <c r="G1291" s="96"/>
      <c r="H1291" s="96"/>
      <c r="I1291" s="96"/>
      <c r="J1291" s="96"/>
      <c r="L1291" s="96"/>
      <c r="M1291" s="96"/>
      <c r="P1291" s="96"/>
      <c r="Q1291" s="96"/>
      <c r="R1291" s="96"/>
      <c r="S1291" s="96"/>
      <c r="T1291" s="96"/>
      <c r="U1291" s="96"/>
      <c r="V1291" s="96"/>
      <c r="W1291" s="96"/>
    </row>
    <row r="1292" spans="1:28" x14ac:dyDescent="0.3">
      <c r="A1292" s="96"/>
      <c r="B1292" s="96"/>
      <c r="C1292" s="96"/>
      <c r="D1292" s="96"/>
      <c r="E1292" s="103"/>
      <c r="F1292" s="96"/>
      <c r="G1292" s="96"/>
      <c r="H1292" s="96"/>
      <c r="I1292" s="96"/>
      <c r="J1292" s="96"/>
      <c r="L1292" s="96"/>
      <c r="M1292" s="96"/>
      <c r="P1292" s="96"/>
      <c r="Q1292" s="96"/>
      <c r="R1292" s="96"/>
      <c r="S1292" s="96"/>
      <c r="T1292" s="96"/>
      <c r="U1292" s="96"/>
      <c r="V1292" s="96"/>
      <c r="W1292" s="96"/>
    </row>
    <row r="1293" spans="1:28" x14ac:dyDescent="0.3">
      <c r="A1293" s="96"/>
      <c r="B1293" s="96"/>
      <c r="C1293" s="96"/>
      <c r="D1293" s="96"/>
      <c r="E1293" s="103"/>
      <c r="F1293" s="96"/>
      <c r="G1293" s="96"/>
      <c r="H1293" s="96"/>
      <c r="I1293" s="96"/>
      <c r="J1293" s="96"/>
      <c r="L1293" s="96"/>
      <c r="M1293" s="96"/>
      <c r="P1293" s="96"/>
      <c r="Q1293" s="96"/>
      <c r="R1293" s="96"/>
      <c r="S1293" s="96"/>
      <c r="T1293" s="96"/>
      <c r="U1293" s="96"/>
      <c r="V1293" s="96"/>
      <c r="W1293" s="96"/>
    </row>
    <row r="1294" spans="1:28" x14ac:dyDescent="0.3">
      <c r="A1294" s="96"/>
      <c r="B1294" s="96"/>
      <c r="C1294" s="96"/>
      <c r="D1294" s="96"/>
      <c r="E1294" s="103"/>
      <c r="F1294" s="96"/>
      <c r="G1294" s="96"/>
      <c r="H1294" s="96"/>
      <c r="I1294" s="96"/>
      <c r="J1294" s="96"/>
      <c r="L1294" s="96"/>
      <c r="M1294" s="96"/>
      <c r="P1294" s="96"/>
      <c r="Q1294" s="96"/>
      <c r="R1294" s="96"/>
      <c r="S1294" s="96"/>
      <c r="T1294" s="96"/>
      <c r="U1294" s="96"/>
      <c r="V1294" s="96"/>
      <c r="W1294" s="96"/>
    </row>
    <row r="1295" spans="1:28" x14ac:dyDescent="0.3">
      <c r="A1295" s="96"/>
      <c r="B1295" s="96"/>
      <c r="C1295" s="96"/>
      <c r="D1295" s="96"/>
      <c r="E1295" s="103"/>
      <c r="F1295" s="96"/>
      <c r="G1295" s="96"/>
      <c r="H1295" s="96"/>
      <c r="I1295" s="96"/>
      <c r="J1295" s="96"/>
      <c r="L1295" s="96"/>
      <c r="M1295" s="96"/>
      <c r="P1295" s="96"/>
      <c r="Q1295" s="96"/>
      <c r="R1295" s="96"/>
      <c r="S1295" s="96"/>
      <c r="T1295" s="96"/>
      <c r="U1295" s="96"/>
      <c r="V1295" s="96"/>
      <c r="W1295" s="96"/>
    </row>
    <row r="1296" spans="1:28" x14ac:dyDescent="0.3">
      <c r="A1296" s="96"/>
      <c r="B1296" s="96"/>
      <c r="C1296" s="96"/>
      <c r="D1296" s="96"/>
      <c r="E1296" s="103"/>
      <c r="F1296" s="96"/>
      <c r="G1296" s="96"/>
      <c r="H1296" s="96"/>
      <c r="I1296" s="96"/>
      <c r="J1296" s="96"/>
      <c r="L1296" s="96"/>
      <c r="M1296" s="96"/>
      <c r="P1296" s="96"/>
      <c r="Q1296" s="96"/>
      <c r="R1296" s="96"/>
      <c r="S1296" s="96"/>
      <c r="T1296" s="96"/>
      <c r="U1296" s="96"/>
      <c r="V1296" s="96"/>
      <c r="W1296" s="96"/>
      <c r="AA1296" s="7"/>
      <c r="AB1296" s="7"/>
    </row>
    <row r="1297" spans="1:28" x14ac:dyDescent="0.3">
      <c r="A1297" s="96"/>
      <c r="B1297" s="96"/>
      <c r="C1297" s="96"/>
      <c r="D1297" s="96"/>
      <c r="E1297" s="103"/>
      <c r="F1297" s="96"/>
      <c r="G1297" s="96"/>
      <c r="H1297" s="96"/>
      <c r="I1297" s="96"/>
      <c r="J1297" s="96"/>
      <c r="L1297" s="96"/>
      <c r="M1297" s="96"/>
      <c r="P1297" s="96"/>
      <c r="Q1297" s="96"/>
      <c r="R1297" s="96"/>
      <c r="S1297" s="96"/>
      <c r="T1297" s="96"/>
      <c r="U1297" s="96"/>
      <c r="V1297" s="96"/>
      <c r="W1297" s="96"/>
      <c r="AA1297" s="7"/>
      <c r="AB1297" s="7"/>
    </row>
    <row r="1298" spans="1:28" x14ac:dyDescent="0.3">
      <c r="A1298" s="96"/>
      <c r="B1298" s="96"/>
      <c r="C1298" s="96"/>
      <c r="D1298" s="96"/>
      <c r="E1298" s="103"/>
      <c r="F1298" s="96"/>
      <c r="G1298" s="96"/>
      <c r="H1298" s="96"/>
      <c r="I1298" s="96"/>
      <c r="J1298" s="96"/>
      <c r="L1298" s="96"/>
      <c r="M1298" s="96"/>
      <c r="P1298" s="96"/>
      <c r="Q1298" s="96"/>
      <c r="R1298" s="96"/>
      <c r="S1298" s="96"/>
      <c r="T1298" s="96"/>
      <c r="U1298" s="96"/>
      <c r="V1298" s="96"/>
      <c r="W1298" s="96"/>
    </row>
    <row r="1299" spans="1:28" x14ac:dyDescent="0.3">
      <c r="A1299" s="96"/>
      <c r="B1299" s="96"/>
      <c r="C1299" s="96"/>
      <c r="D1299" s="96"/>
      <c r="E1299" s="103"/>
      <c r="F1299" s="96"/>
      <c r="G1299" s="96"/>
      <c r="H1299" s="96"/>
      <c r="I1299" s="96"/>
      <c r="J1299" s="96"/>
      <c r="L1299" s="96"/>
      <c r="M1299" s="96"/>
      <c r="P1299" s="96"/>
      <c r="Q1299" s="96"/>
      <c r="R1299" s="96"/>
      <c r="S1299" s="96"/>
      <c r="T1299" s="96"/>
      <c r="U1299" s="96"/>
      <c r="V1299" s="96"/>
      <c r="W1299" s="96"/>
    </row>
    <row r="1300" spans="1:28" x14ac:dyDescent="0.3">
      <c r="A1300" s="96"/>
      <c r="B1300" s="96"/>
      <c r="C1300" s="96"/>
      <c r="D1300" s="96"/>
      <c r="E1300" s="103"/>
      <c r="F1300" s="96"/>
      <c r="G1300" s="96"/>
      <c r="H1300" s="96"/>
      <c r="I1300" s="96"/>
      <c r="J1300" s="96"/>
      <c r="L1300" s="96"/>
      <c r="M1300" s="96"/>
      <c r="P1300" s="96"/>
      <c r="Q1300" s="96"/>
      <c r="R1300" s="96"/>
      <c r="S1300" s="96"/>
      <c r="T1300" s="96"/>
      <c r="U1300" s="96"/>
      <c r="V1300" s="96"/>
      <c r="W1300" s="96"/>
    </row>
    <row r="1301" spans="1:28" x14ac:dyDescent="0.3">
      <c r="A1301" s="96"/>
      <c r="B1301" s="96"/>
      <c r="C1301" s="96"/>
      <c r="D1301" s="96"/>
      <c r="E1301" s="103"/>
      <c r="F1301" s="96"/>
      <c r="G1301" s="96"/>
      <c r="H1301" s="96"/>
      <c r="I1301" s="96"/>
      <c r="J1301" s="96"/>
      <c r="L1301" s="96"/>
      <c r="M1301" s="96"/>
      <c r="P1301" s="96"/>
      <c r="Q1301" s="96"/>
      <c r="R1301" s="96"/>
      <c r="S1301" s="96"/>
      <c r="T1301" s="96"/>
      <c r="U1301" s="96"/>
      <c r="V1301" s="96"/>
      <c r="W1301" s="96"/>
    </row>
    <row r="1302" spans="1:28" x14ac:dyDescent="0.3">
      <c r="A1302" s="96"/>
      <c r="B1302" s="96"/>
      <c r="C1302" s="96"/>
      <c r="D1302" s="96"/>
      <c r="E1302" s="103"/>
      <c r="F1302" s="96"/>
      <c r="G1302" s="96"/>
      <c r="H1302" s="96"/>
      <c r="I1302" s="96"/>
      <c r="J1302" s="96"/>
      <c r="L1302" s="96"/>
      <c r="M1302" s="96"/>
      <c r="P1302" s="96"/>
      <c r="Q1302" s="96"/>
      <c r="R1302" s="96"/>
      <c r="S1302" s="96"/>
      <c r="T1302" s="96"/>
      <c r="U1302" s="96"/>
      <c r="V1302" s="96"/>
      <c r="W1302" s="96"/>
    </row>
    <row r="1303" spans="1:28" x14ac:dyDescent="0.3">
      <c r="A1303" s="96"/>
      <c r="B1303" s="96"/>
      <c r="C1303" s="96"/>
      <c r="D1303" s="96"/>
      <c r="E1303" s="103"/>
      <c r="F1303" s="96"/>
      <c r="G1303" s="96"/>
      <c r="H1303" s="96"/>
      <c r="I1303" s="96"/>
      <c r="J1303" s="96"/>
      <c r="L1303" s="96"/>
      <c r="M1303" s="96"/>
      <c r="P1303" s="96"/>
      <c r="Q1303" s="96"/>
      <c r="R1303" s="96"/>
      <c r="S1303" s="96"/>
      <c r="T1303" s="96"/>
      <c r="U1303" s="96"/>
      <c r="V1303" s="96"/>
      <c r="W1303" s="96"/>
      <c r="AA1303" s="7"/>
      <c r="AB1303" s="7"/>
    </row>
    <row r="1304" spans="1:28" x14ac:dyDescent="0.3">
      <c r="A1304" s="96"/>
      <c r="B1304" s="96"/>
      <c r="C1304" s="96"/>
      <c r="D1304" s="96"/>
      <c r="E1304" s="103"/>
      <c r="F1304" s="96"/>
      <c r="G1304" s="96"/>
      <c r="H1304" s="96"/>
      <c r="I1304" s="96"/>
      <c r="J1304" s="96"/>
      <c r="L1304" s="96"/>
      <c r="M1304" s="96"/>
      <c r="P1304" s="96"/>
      <c r="Q1304" s="96"/>
      <c r="R1304" s="96"/>
      <c r="S1304" s="96"/>
      <c r="T1304" s="96"/>
      <c r="U1304" s="96"/>
      <c r="V1304" s="96"/>
      <c r="W1304" s="96"/>
      <c r="AA1304" s="7"/>
      <c r="AB1304" s="7"/>
    </row>
    <row r="1305" spans="1:28" x14ac:dyDescent="0.3">
      <c r="A1305" s="96"/>
      <c r="B1305" s="96"/>
      <c r="C1305" s="96"/>
      <c r="D1305" s="96"/>
      <c r="E1305" s="103"/>
      <c r="F1305" s="96"/>
      <c r="G1305" s="96"/>
      <c r="H1305" s="96"/>
      <c r="I1305" s="96"/>
      <c r="J1305" s="96"/>
      <c r="L1305" s="96"/>
      <c r="M1305" s="96"/>
      <c r="P1305" s="96"/>
      <c r="Q1305" s="96"/>
      <c r="R1305" s="96"/>
      <c r="S1305" s="96"/>
      <c r="T1305" s="96"/>
      <c r="U1305" s="96"/>
      <c r="V1305" s="96"/>
      <c r="W1305" s="96"/>
      <c r="AA1305" s="7"/>
      <c r="AB1305" s="7"/>
    </row>
    <row r="1306" spans="1:28" x14ac:dyDescent="0.3">
      <c r="A1306" s="96"/>
      <c r="B1306" s="96"/>
      <c r="C1306" s="96"/>
      <c r="D1306" s="96"/>
      <c r="E1306" s="103"/>
      <c r="F1306" s="96"/>
      <c r="G1306" s="96"/>
      <c r="H1306" s="96"/>
      <c r="I1306" s="96"/>
      <c r="J1306" s="96"/>
      <c r="L1306" s="96"/>
      <c r="M1306" s="96"/>
      <c r="P1306" s="96"/>
      <c r="Q1306" s="96"/>
      <c r="R1306" s="96"/>
      <c r="S1306" s="96"/>
      <c r="T1306" s="96"/>
      <c r="U1306" s="96"/>
      <c r="V1306" s="96"/>
      <c r="W1306" s="96"/>
      <c r="AA1306" s="7"/>
      <c r="AB1306" s="7"/>
    </row>
    <row r="1307" spans="1:28" x14ac:dyDescent="0.3">
      <c r="A1307" s="96"/>
      <c r="B1307" s="96"/>
      <c r="C1307" s="96"/>
      <c r="D1307" s="96"/>
      <c r="E1307" s="103"/>
      <c r="F1307" s="96"/>
      <c r="G1307" s="96"/>
      <c r="H1307" s="96"/>
      <c r="I1307" s="96"/>
      <c r="J1307" s="96"/>
      <c r="L1307" s="96"/>
      <c r="M1307" s="96"/>
      <c r="P1307" s="96"/>
      <c r="Q1307" s="96"/>
      <c r="R1307" s="96"/>
      <c r="S1307" s="96"/>
      <c r="T1307" s="96"/>
      <c r="U1307" s="96"/>
      <c r="V1307" s="96"/>
      <c r="W1307" s="96"/>
    </row>
    <row r="1308" spans="1:28" x14ac:dyDescent="0.3">
      <c r="A1308" s="96"/>
      <c r="B1308" s="96"/>
      <c r="C1308" s="96"/>
      <c r="D1308" s="96"/>
      <c r="E1308" s="103"/>
      <c r="F1308" s="96"/>
      <c r="G1308" s="96"/>
      <c r="H1308" s="96"/>
      <c r="I1308" s="96"/>
      <c r="J1308" s="96"/>
      <c r="L1308" s="96"/>
      <c r="M1308" s="96"/>
      <c r="P1308" s="96"/>
      <c r="Q1308" s="96"/>
      <c r="R1308" s="96"/>
      <c r="S1308" s="96"/>
      <c r="T1308" s="96"/>
      <c r="U1308" s="96"/>
      <c r="V1308" s="96"/>
      <c r="W1308" s="96"/>
    </row>
    <row r="1309" spans="1:28" x14ac:dyDescent="0.3">
      <c r="A1309" s="96"/>
      <c r="B1309" s="96"/>
      <c r="C1309" s="96"/>
      <c r="D1309" s="96"/>
      <c r="E1309" s="103"/>
      <c r="F1309" s="96"/>
      <c r="G1309" s="96"/>
      <c r="H1309" s="96"/>
      <c r="I1309" s="96"/>
      <c r="J1309" s="96"/>
      <c r="L1309" s="96"/>
      <c r="M1309" s="96"/>
      <c r="P1309" s="96"/>
      <c r="Q1309" s="96"/>
      <c r="R1309" s="96"/>
      <c r="S1309" s="96"/>
      <c r="T1309" s="96"/>
      <c r="U1309" s="96"/>
      <c r="V1309" s="96"/>
      <c r="W1309" s="96"/>
    </row>
    <row r="1310" spans="1:28" x14ac:dyDescent="0.3">
      <c r="A1310" s="96"/>
      <c r="B1310" s="96"/>
      <c r="C1310" s="96"/>
      <c r="D1310" s="96"/>
      <c r="E1310" s="103"/>
      <c r="F1310" s="96"/>
      <c r="G1310" s="96"/>
      <c r="H1310" s="96"/>
      <c r="I1310" s="96"/>
      <c r="J1310" s="96"/>
      <c r="L1310" s="96"/>
      <c r="M1310" s="96"/>
      <c r="P1310" s="96"/>
      <c r="Q1310" s="96"/>
      <c r="R1310" s="96"/>
      <c r="S1310" s="96"/>
      <c r="T1310" s="96"/>
      <c r="U1310" s="96"/>
      <c r="V1310" s="96"/>
      <c r="W1310" s="96"/>
    </row>
    <row r="1311" spans="1:28" x14ac:dyDescent="0.3">
      <c r="A1311" s="96"/>
      <c r="B1311" s="96"/>
      <c r="C1311" s="96"/>
      <c r="D1311" s="96"/>
      <c r="E1311" s="103"/>
      <c r="F1311" s="96"/>
      <c r="G1311" s="96"/>
      <c r="H1311" s="96"/>
      <c r="I1311" s="96"/>
      <c r="J1311" s="96"/>
      <c r="L1311" s="96"/>
      <c r="M1311" s="96"/>
      <c r="P1311" s="96"/>
      <c r="Q1311" s="96"/>
      <c r="R1311" s="96"/>
      <c r="S1311" s="96"/>
      <c r="T1311" s="96"/>
      <c r="U1311" s="96"/>
      <c r="V1311" s="96"/>
      <c r="W1311" s="96"/>
    </row>
    <row r="1312" spans="1:28" x14ac:dyDescent="0.3">
      <c r="A1312" s="96"/>
      <c r="B1312" s="96"/>
      <c r="C1312" s="96"/>
      <c r="D1312" s="96"/>
      <c r="E1312" s="103"/>
      <c r="F1312" s="96"/>
      <c r="G1312" s="96"/>
      <c r="H1312" s="96"/>
      <c r="I1312" s="96"/>
      <c r="J1312" s="96"/>
      <c r="L1312" s="96"/>
      <c r="M1312" s="96"/>
      <c r="P1312" s="96"/>
      <c r="Q1312" s="96"/>
      <c r="R1312" s="96"/>
      <c r="S1312" s="96"/>
      <c r="T1312" s="96"/>
      <c r="U1312" s="96"/>
      <c r="V1312" s="96"/>
      <c r="W1312" s="96"/>
      <c r="AA1312" s="7"/>
      <c r="AB1312" s="7"/>
    </row>
    <row r="1313" spans="1:28" x14ac:dyDescent="0.3">
      <c r="A1313" s="96"/>
      <c r="B1313" s="96"/>
      <c r="C1313" s="96"/>
      <c r="D1313" s="96"/>
      <c r="E1313" s="103"/>
      <c r="F1313" s="96"/>
      <c r="G1313" s="96"/>
      <c r="H1313" s="96"/>
      <c r="I1313" s="96"/>
      <c r="J1313" s="96"/>
      <c r="L1313" s="96"/>
      <c r="M1313" s="96"/>
      <c r="P1313" s="96"/>
      <c r="Q1313" s="96"/>
      <c r="R1313" s="96"/>
      <c r="S1313" s="96"/>
      <c r="T1313" s="96"/>
      <c r="U1313" s="96"/>
      <c r="V1313" s="96"/>
      <c r="W1313" s="96"/>
      <c r="AA1313" s="7"/>
      <c r="AB1313" s="7"/>
    </row>
    <row r="1314" spans="1:28" x14ac:dyDescent="0.3">
      <c r="A1314" s="96"/>
      <c r="B1314" s="96"/>
      <c r="C1314" s="96"/>
      <c r="D1314" s="96"/>
      <c r="E1314" s="103"/>
      <c r="F1314" s="96"/>
      <c r="G1314" s="96"/>
      <c r="H1314" s="96"/>
      <c r="I1314" s="96"/>
      <c r="J1314" s="96"/>
      <c r="L1314" s="96"/>
      <c r="M1314" s="96"/>
      <c r="P1314" s="96"/>
      <c r="Q1314" s="96"/>
      <c r="R1314" s="96"/>
      <c r="S1314" s="96"/>
      <c r="T1314" s="96"/>
      <c r="U1314" s="96"/>
      <c r="V1314" s="96"/>
      <c r="W1314" s="96"/>
      <c r="AA1314" s="7"/>
      <c r="AB1314" s="7"/>
    </row>
    <row r="1315" spans="1:28" x14ac:dyDescent="0.3">
      <c r="A1315" s="96"/>
      <c r="B1315" s="96"/>
      <c r="C1315" s="96"/>
      <c r="D1315" s="96"/>
      <c r="E1315" s="103"/>
      <c r="F1315" s="96"/>
      <c r="G1315" s="96"/>
      <c r="H1315" s="96"/>
      <c r="I1315" s="96"/>
      <c r="J1315" s="96"/>
      <c r="L1315" s="96"/>
      <c r="M1315" s="96"/>
      <c r="P1315" s="96"/>
      <c r="Q1315" s="96"/>
      <c r="R1315" s="96"/>
      <c r="S1315" s="96"/>
      <c r="T1315" s="96"/>
      <c r="U1315" s="96"/>
      <c r="V1315" s="96"/>
      <c r="W1315" s="96"/>
      <c r="AA1315" s="7"/>
      <c r="AB1315" s="7"/>
    </row>
    <row r="1316" spans="1:28" x14ac:dyDescent="0.3">
      <c r="A1316" s="96"/>
      <c r="B1316" s="96"/>
      <c r="C1316" s="96"/>
      <c r="D1316" s="96"/>
      <c r="E1316" s="103"/>
      <c r="F1316" s="96"/>
      <c r="G1316" s="96"/>
      <c r="H1316" s="96"/>
      <c r="I1316" s="96"/>
      <c r="J1316" s="96"/>
      <c r="L1316" s="96"/>
      <c r="M1316" s="96"/>
      <c r="P1316" s="96"/>
      <c r="Q1316" s="96"/>
      <c r="R1316" s="96"/>
      <c r="S1316" s="96"/>
      <c r="T1316" s="96"/>
      <c r="U1316" s="96"/>
      <c r="V1316" s="96"/>
      <c r="W1316" s="96"/>
      <c r="AA1316" s="7"/>
      <c r="AB1316" s="7"/>
    </row>
    <row r="1317" spans="1:28" x14ac:dyDescent="0.3">
      <c r="A1317" s="96"/>
      <c r="B1317" s="96"/>
      <c r="C1317" s="96"/>
      <c r="D1317" s="96"/>
      <c r="E1317" s="103"/>
      <c r="F1317" s="96"/>
      <c r="G1317" s="96"/>
      <c r="H1317" s="96"/>
      <c r="I1317" s="96"/>
      <c r="J1317" s="96"/>
      <c r="L1317" s="96"/>
      <c r="M1317" s="96"/>
      <c r="P1317" s="96"/>
      <c r="Q1317" s="96"/>
      <c r="R1317" s="96"/>
      <c r="S1317" s="96"/>
      <c r="T1317" s="96"/>
      <c r="U1317" s="96"/>
      <c r="V1317" s="96"/>
      <c r="W1317" s="96"/>
      <c r="AA1317" s="7"/>
      <c r="AB1317" s="7"/>
    </row>
    <row r="1318" spans="1:28" x14ac:dyDescent="0.3">
      <c r="A1318" s="96"/>
      <c r="B1318" s="96"/>
      <c r="C1318" s="96"/>
      <c r="D1318" s="96"/>
      <c r="E1318" s="103"/>
      <c r="F1318" s="96"/>
      <c r="G1318" s="96"/>
      <c r="H1318" s="96"/>
      <c r="I1318" s="96"/>
      <c r="J1318" s="96"/>
      <c r="L1318" s="96"/>
      <c r="M1318" s="96"/>
      <c r="P1318" s="96"/>
      <c r="Q1318" s="96"/>
      <c r="R1318" s="96"/>
      <c r="S1318" s="96"/>
      <c r="T1318" s="96"/>
      <c r="U1318" s="96"/>
      <c r="V1318" s="96"/>
      <c r="W1318" s="96"/>
      <c r="AA1318" s="7"/>
      <c r="AB1318" s="7"/>
    </row>
    <row r="1319" spans="1:28" x14ac:dyDescent="0.3">
      <c r="A1319" s="96"/>
      <c r="B1319" s="96"/>
      <c r="C1319" s="96"/>
      <c r="D1319" s="96"/>
      <c r="E1319" s="103"/>
      <c r="F1319" s="96"/>
      <c r="G1319" s="96"/>
      <c r="H1319" s="96"/>
      <c r="I1319" s="96"/>
      <c r="J1319" s="96"/>
      <c r="L1319" s="96"/>
      <c r="M1319" s="96"/>
      <c r="P1319" s="96"/>
      <c r="Q1319" s="96"/>
      <c r="R1319" s="96"/>
      <c r="S1319" s="96"/>
      <c r="T1319" s="96"/>
      <c r="U1319" s="96"/>
      <c r="V1319" s="96"/>
      <c r="W1319" s="96"/>
      <c r="AA1319" s="7"/>
      <c r="AB1319" s="7"/>
    </row>
    <row r="1320" spans="1:28" x14ac:dyDescent="0.3">
      <c r="A1320" s="96"/>
      <c r="B1320" s="96"/>
      <c r="C1320" s="96"/>
      <c r="D1320" s="96"/>
      <c r="E1320" s="103"/>
      <c r="F1320" s="96"/>
      <c r="G1320" s="96"/>
      <c r="H1320" s="96"/>
      <c r="I1320" s="96"/>
      <c r="J1320" s="96"/>
      <c r="L1320" s="96"/>
      <c r="M1320" s="96"/>
      <c r="P1320" s="96"/>
      <c r="Q1320" s="96"/>
      <c r="R1320" s="96"/>
      <c r="S1320" s="96"/>
      <c r="T1320" s="96"/>
      <c r="U1320" s="96"/>
      <c r="V1320" s="96"/>
      <c r="W1320" s="96"/>
      <c r="AA1320" s="7"/>
      <c r="AB1320" s="7"/>
    </row>
    <row r="1321" spans="1:28" x14ac:dyDescent="0.3">
      <c r="A1321" s="96"/>
      <c r="B1321" s="96"/>
      <c r="C1321" s="96"/>
      <c r="D1321" s="96"/>
      <c r="E1321" s="103"/>
      <c r="F1321" s="96"/>
      <c r="G1321" s="96"/>
      <c r="H1321" s="96"/>
      <c r="I1321" s="96"/>
      <c r="J1321" s="96"/>
      <c r="L1321" s="96"/>
      <c r="M1321" s="96"/>
      <c r="P1321" s="96"/>
      <c r="Q1321" s="96"/>
      <c r="R1321" s="96"/>
      <c r="S1321" s="96"/>
      <c r="T1321" s="96"/>
      <c r="U1321" s="96"/>
      <c r="V1321" s="96"/>
      <c r="W1321" s="96"/>
      <c r="AA1321" s="7"/>
      <c r="AB1321" s="7"/>
    </row>
    <row r="1322" spans="1:28" x14ac:dyDescent="0.3">
      <c r="A1322" s="96"/>
      <c r="B1322" s="96"/>
      <c r="C1322" s="96"/>
      <c r="D1322" s="96"/>
      <c r="E1322" s="103"/>
      <c r="F1322" s="96"/>
      <c r="G1322" s="96"/>
      <c r="H1322" s="96"/>
      <c r="I1322" s="96"/>
      <c r="J1322" s="96"/>
      <c r="L1322" s="96"/>
      <c r="M1322" s="96"/>
      <c r="P1322" s="96"/>
      <c r="Q1322" s="96"/>
      <c r="R1322" s="96"/>
      <c r="S1322" s="96"/>
      <c r="T1322" s="96"/>
      <c r="U1322" s="96"/>
      <c r="V1322" s="96"/>
      <c r="W1322" s="96"/>
      <c r="AA1322" s="7"/>
      <c r="AB1322" s="7"/>
    </row>
    <row r="1323" spans="1:28" x14ac:dyDescent="0.3">
      <c r="A1323" s="96"/>
      <c r="B1323" s="96"/>
      <c r="C1323" s="96"/>
      <c r="D1323" s="96"/>
      <c r="E1323" s="103"/>
      <c r="F1323" s="96"/>
      <c r="G1323" s="96"/>
      <c r="H1323" s="96"/>
      <c r="I1323" s="96"/>
      <c r="J1323" s="96"/>
      <c r="L1323" s="96"/>
      <c r="M1323" s="96"/>
      <c r="P1323" s="96"/>
      <c r="Q1323" s="96"/>
      <c r="R1323" s="96"/>
      <c r="S1323" s="96"/>
      <c r="T1323" s="96"/>
      <c r="U1323" s="96"/>
      <c r="V1323" s="96"/>
      <c r="W1323" s="96"/>
    </row>
    <row r="1324" spans="1:28" x14ac:dyDescent="0.3">
      <c r="A1324" s="96"/>
      <c r="B1324" s="96"/>
      <c r="C1324" s="96"/>
      <c r="D1324" s="96"/>
      <c r="E1324" s="103"/>
      <c r="F1324" s="96"/>
      <c r="G1324" s="96"/>
      <c r="H1324" s="96"/>
      <c r="I1324" s="96"/>
      <c r="J1324" s="96"/>
      <c r="L1324" s="96"/>
      <c r="M1324" s="96"/>
      <c r="P1324" s="96"/>
      <c r="Q1324" s="96"/>
      <c r="R1324" s="96"/>
      <c r="S1324" s="96"/>
      <c r="T1324" s="96"/>
      <c r="U1324" s="96"/>
      <c r="V1324" s="96"/>
      <c r="W1324" s="96"/>
    </row>
    <row r="1325" spans="1:28" x14ac:dyDescent="0.3">
      <c r="A1325" s="96"/>
      <c r="B1325" s="96"/>
      <c r="C1325" s="96"/>
      <c r="D1325" s="96"/>
      <c r="E1325" s="103"/>
      <c r="F1325" s="96"/>
      <c r="G1325" s="96"/>
      <c r="H1325" s="96"/>
      <c r="I1325" s="96"/>
      <c r="J1325" s="96"/>
      <c r="L1325" s="96"/>
      <c r="M1325" s="96"/>
      <c r="P1325" s="96"/>
      <c r="Q1325" s="96"/>
      <c r="R1325" s="96"/>
      <c r="S1325" s="96"/>
      <c r="T1325" s="96"/>
      <c r="U1325" s="96"/>
      <c r="V1325" s="96"/>
      <c r="W1325" s="96"/>
    </row>
    <row r="1326" spans="1:28" x14ac:dyDescent="0.3">
      <c r="A1326" s="96"/>
      <c r="B1326" s="96"/>
      <c r="C1326" s="96"/>
      <c r="D1326" s="96"/>
      <c r="E1326" s="103"/>
      <c r="F1326" s="96"/>
      <c r="G1326" s="96"/>
      <c r="H1326" s="96"/>
      <c r="I1326" s="96"/>
      <c r="J1326" s="96"/>
      <c r="L1326" s="96"/>
      <c r="M1326" s="96"/>
      <c r="P1326" s="96"/>
      <c r="Q1326" s="96"/>
      <c r="R1326" s="96"/>
      <c r="S1326" s="96"/>
      <c r="T1326" s="96"/>
      <c r="U1326" s="96"/>
      <c r="V1326" s="96"/>
      <c r="W1326" s="96"/>
    </row>
    <row r="1327" spans="1:28" x14ac:dyDescent="0.3">
      <c r="A1327" s="96"/>
      <c r="B1327" s="96"/>
      <c r="C1327" s="96"/>
      <c r="D1327" s="96"/>
      <c r="E1327" s="103"/>
      <c r="F1327" s="96"/>
      <c r="G1327" s="96"/>
      <c r="H1327" s="96"/>
      <c r="I1327" s="96"/>
      <c r="J1327" s="96"/>
      <c r="L1327" s="96"/>
      <c r="M1327" s="96"/>
      <c r="P1327" s="96"/>
      <c r="Q1327" s="96"/>
      <c r="R1327" s="96"/>
      <c r="S1327" s="96"/>
      <c r="T1327" s="96"/>
      <c r="U1327" s="96"/>
      <c r="V1327" s="96"/>
      <c r="W1327" s="96"/>
    </row>
    <row r="1328" spans="1:28" x14ac:dyDescent="0.3">
      <c r="A1328" s="96"/>
      <c r="B1328" s="96"/>
      <c r="C1328" s="96"/>
      <c r="D1328" s="96"/>
      <c r="E1328" s="103"/>
      <c r="F1328" s="96"/>
      <c r="G1328" s="96"/>
      <c r="H1328" s="96"/>
      <c r="I1328" s="96"/>
      <c r="J1328" s="96"/>
      <c r="L1328" s="96"/>
      <c r="M1328" s="96"/>
      <c r="P1328" s="96"/>
      <c r="Q1328" s="96"/>
      <c r="R1328" s="96"/>
      <c r="S1328" s="96"/>
      <c r="T1328" s="96"/>
      <c r="U1328" s="96"/>
      <c r="V1328" s="96"/>
      <c r="W1328" s="96"/>
    </row>
    <row r="1329" spans="1:23" x14ac:dyDescent="0.3">
      <c r="A1329" s="96"/>
      <c r="B1329" s="96"/>
      <c r="C1329" s="96"/>
      <c r="D1329" s="96"/>
      <c r="E1329" s="103"/>
      <c r="F1329" s="96"/>
      <c r="G1329" s="96"/>
      <c r="H1329" s="96"/>
      <c r="I1329" s="96"/>
      <c r="J1329" s="96"/>
      <c r="L1329" s="96"/>
      <c r="M1329" s="96"/>
      <c r="P1329" s="96"/>
      <c r="Q1329" s="96"/>
      <c r="R1329" s="96"/>
      <c r="S1329" s="96"/>
      <c r="T1329" s="96"/>
      <c r="U1329" s="96"/>
      <c r="V1329" s="96"/>
      <c r="W1329" s="96"/>
    </row>
    <row r="1330" spans="1:23" x14ac:dyDescent="0.3">
      <c r="A1330" s="96"/>
      <c r="B1330" s="96"/>
      <c r="C1330" s="96"/>
      <c r="D1330" s="96"/>
      <c r="E1330" s="103"/>
      <c r="F1330" s="96"/>
      <c r="G1330" s="96"/>
      <c r="H1330" s="96"/>
      <c r="I1330" s="96"/>
      <c r="J1330" s="96"/>
      <c r="L1330" s="96"/>
      <c r="M1330" s="96"/>
      <c r="P1330" s="96"/>
      <c r="Q1330" s="96"/>
      <c r="R1330" s="96"/>
      <c r="S1330" s="96"/>
      <c r="T1330" s="96"/>
      <c r="U1330" s="96"/>
      <c r="V1330" s="96"/>
      <c r="W1330" s="96"/>
    </row>
    <row r="1331" spans="1:23" x14ac:dyDescent="0.3">
      <c r="A1331" s="96"/>
      <c r="B1331" s="96"/>
      <c r="C1331" s="96"/>
      <c r="D1331" s="96"/>
      <c r="E1331" s="103"/>
      <c r="F1331" s="96"/>
      <c r="G1331" s="96"/>
      <c r="H1331" s="96"/>
      <c r="I1331" s="96"/>
      <c r="J1331" s="96"/>
      <c r="L1331" s="96"/>
      <c r="M1331" s="96"/>
      <c r="P1331" s="96"/>
      <c r="Q1331" s="96"/>
      <c r="R1331" s="96"/>
      <c r="S1331" s="96"/>
      <c r="T1331" s="96"/>
      <c r="U1331" s="96"/>
      <c r="V1331" s="96"/>
      <c r="W1331" s="96"/>
    </row>
    <row r="1332" spans="1:23" x14ac:dyDescent="0.3">
      <c r="A1332" s="96"/>
      <c r="B1332" s="96"/>
      <c r="C1332" s="96"/>
      <c r="D1332" s="96"/>
      <c r="E1332" s="103"/>
      <c r="F1332" s="96"/>
      <c r="G1332" s="96"/>
      <c r="H1332" s="96"/>
      <c r="I1332" s="96"/>
      <c r="J1332" s="96"/>
      <c r="L1332" s="96"/>
      <c r="M1332" s="96"/>
      <c r="P1332" s="96"/>
      <c r="Q1332" s="96"/>
      <c r="R1332" s="96"/>
      <c r="S1332" s="96"/>
      <c r="T1332" s="96"/>
      <c r="U1332" s="96"/>
      <c r="V1332" s="96"/>
      <c r="W1332" s="96"/>
    </row>
    <row r="1333" spans="1:23" x14ac:dyDescent="0.3">
      <c r="A1333" s="96"/>
      <c r="B1333" s="96"/>
      <c r="C1333" s="96"/>
      <c r="D1333" s="96"/>
      <c r="E1333" s="103"/>
      <c r="F1333" s="96"/>
      <c r="G1333" s="96"/>
      <c r="H1333" s="96"/>
      <c r="I1333" s="96"/>
      <c r="J1333" s="96"/>
      <c r="L1333" s="96"/>
      <c r="M1333" s="96"/>
      <c r="P1333" s="96"/>
      <c r="Q1333" s="96"/>
      <c r="R1333" s="96"/>
      <c r="S1333" s="96"/>
      <c r="T1333" s="96"/>
      <c r="U1333" s="96"/>
      <c r="V1333" s="96"/>
      <c r="W1333" s="96"/>
    </row>
    <row r="1334" spans="1:23" x14ac:dyDescent="0.3">
      <c r="A1334" s="96"/>
      <c r="B1334" s="96"/>
      <c r="C1334" s="96"/>
      <c r="D1334" s="96"/>
      <c r="E1334" s="103"/>
      <c r="F1334" s="96"/>
      <c r="G1334" s="96"/>
      <c r="H1334" s="96"/>
      <c r="I1334" s="96"/>
      <c r="J1334" s="96"/>
      <c r="L1334" s="96"/>
      <c r="M1334" s="96"/>
      <c r="P1334" s="96"/>
      <c r="Q1334" s="96"/>
      <c r="R1334" s="96"/>
      <c r="S1334" s="96"/>
      <c r="T1334" s="96"/>
      <c r="U1334" s="96"/>
      <c r="V1334" s="96"/>
      <c r="W1334" s="96"/>
    </row>
    <row r="1335" spans="1:23" x14ac:dyDescent="0.3">
      <c r="A1335" s="96"/>
      <c r="B1335" s="96"/>
      <c r="C1335" s="96"/>
      <c r="D1335" s="96"/>
      <c r="E1335" s="103"/>
      <c r="F1335" s="96"/>
      <c r="G1335" s="96"/>
      <c r="H1335" s="96"/>
      <c r="I1335" s="96"/>
      <c r="J1335" s="96"/>
      <c r="L1335" s="96"/>
      <c r="M1335" s="96"/>
      <c r="P1335" s="96"/>
      <c r="Q1335" s="96"/>
      <c r="R1335" s="96"/>
      <c r="S1335" s="96"/>
      <c r="T1335" s="96"/>
      <c r="U1335" s="96"/>
      <c r="V1335" s="96"/>
      <c r="W1335" s="96"/>
    </row>
    <row r="1336" spans="1:23" x14ac:dyDescent="0.3">
      <c r="A1336" s="96"/>
      <c r="B1336" s="96"/>
      <c r="C1336" s="96"/>
      <c r="D1336" s="96"/>
      <c r="E1336" s="103"/>
      <c r="F1336" s="96"/>
      <c r="G1336" s="96"/>
      <c r="H1336" s="96"/>
      <c r="I1336" s="96"/>
      <c r="J1336" s="96"/>
      <c r="L1336" s="96"/>
      <c r="M1336" s="96"/>
      <c r="P1336" s="96"/>
      <c r="Q1336" s="96"/>
      <c r="R1336" s="96"/>
      <c r="S1336" s="96"/>
      <c r="T1336" s="96"/>
      <c r="U1336" s="96"/>
      <c r="V1336" s="96"/>
      <c r="W1336" s="96"/>
    </row>
    <row r="1337" spans="1:23" x14ac:dyDescent="0.3">
      <c r="A1337" s="96"/>
      <c r="B1337" s="96"/>
      <c r="C1337" s="96"/>
      <c r="D1337" s="96"/>
      <c r="E1337" s="103"/>
      <c r="F1337" s="96"/>
      <c r="G1337" s="96"/>
      <c r="H1337" s="96"/>
      <c r="I1337" s="96"/>
      <c r="J1337" s="96"/>
      <c r="L1337" s="96"/>
      <c r="M1337" s="96"/>
      <c r="P1337" s="96"/>
      <c r="Q1337" s="96"/>
      <c r="R1337" s="96"/>
      <c r="S1337" s="96"/>
      <c r="T1337" s="96"/>
      <c r="U1337" s="96"/>
      <c r="V1337" s="96"/>
      <c r="W1337" s="96"/>
    </row>
    <row r="1338" spans="1:23" x14ac:dyDescent="0.3">
      <c r="A1338" s="96"/>
      <c r="B1338" s="96"/>
      <c r="C1338" s="96"/>
      <c r="D1338" s="96"/>
      <c r="E1338" s="103"/>
      <c r="F1338" s="96"/>
      <c r="G1338" s="96"/>
      <c r="H1338" s="96"/>
      <c r="I1338" s="96"/>
      <c r="J1338" s="96"/>
      <c r="L1338" s="96"/>
      <c r="M1338" s="96"/>
      <c r="P1338" s="96"/>
      <c r="Q1338" s="96"/>
      <c r="R1338" s="96"/>
      <c r="S1338" s="96"/>
      <c r="T1338" s="96"/>
      <c r="U1338" s="96"/>
      <c r="V1338" s="96"/>
      <c r="W1338" s="96"/>
    </row>
    <row r="1339" spans="1:23" x14ac:dyDescent="0.3">
      <c r="A1339" s="96"/>
      <c r="B1339" s="96"/>
      <c r="C1339" s="96"/>
      <c r="D1339" s="96"/>
      <c r="E1339" s="103"/>
      <c r="F1339" s="96"/>
      <c r="G1339" s="96"/>
      <c r="H1339" s="96"/>
      <c r="I1339" s="96"/>
      <c r="J1339" s="96"/>
      <c r="L1339" s="96"/>
      <c r="M1339" s="96"/>
      <c r="P1339" s="96"/>
      <c r="Q1339" s="96"/>
      <c r="R1339" s="96"/>
      <c r="S1339" s="96"/>
      <c r="T1339" s="96"/>
      <c r="U1339" s="96"/>
      <c r="V1339" s="96"/>
      <c r="W1339" s="96"/>
    </row>
    <row r="1340" spans="1:23" x14ac:dyDescent="0.3">
      <c r="A1340" s="96"/>
      <c r="B1340" s="96"/>
      <c r="C1340" s="96"/>
      <c r="D1340" s="96"/>
      <c r="E1340" s="103"/>
      <c r="F1340" s="96"/>
      <c r="G1340" s="96"/>
      <c r="H1340" s="96"/>
      <c r="I1340" s="96"/>
      <c r="J1340" s="96"/>
      <c r="L1340" s="96"/>
      <c r="M1340" s="96"/>
      <c r="P1340" s="96"/>
      <c r="Q1340" s="96"/>
      <c r="R1340" s="96"/>
      <c r="S1340" s="96"/>
      <c r="T1340" s="96"/>
      <c r="U1340" s="96"/>
      <c r="V1340" s="96"/>
      <c r="W1340" s="96"/>
    </row>
    <row r="1341" spans="1:23" x14ac:dyDescent="0.3">
      <c r="A1341" s="96"/>
      <c r="B1341" s="96"/>
      <c r="C1341" s="96"/>
      <c r="D1341" s="96"/>
      <c r="E1341" s="103"/>
      <c r="F1341" s="96"/>
      <c r="G1341" s="96"/>
      <c r="H1341" s="96"/>
      <c r="I1341" s="96"/>
      <c r="J1341" s="96"/>
      <c r="L1341" s="96"/>
      <c r="M1341" s="96"/>
      <c r="P1341" s="96"/>
      <c r="Q1341" s="96"/>
      <c r="R1341" s="96"/>
      <c r="S1341" s="96"/>
      <c r="T1341" s="96"/>
      <c r="U1341" s="96"/>
      <c r="V1341" s="96"/>
      <c r="W1341" s="96"/>
    </row>
    <row r="1342" spans="1:23" x14ac:dyDescent="0.3">
      <c r="A1342" s="96"/>
      <c r="B1342" s="96"/>
      <c r="C1342" s="96"/>
      <c r="D1342" s="96"/>
      <c r="E1342" s="103"/>
      <c r="F1342" s="96"/>
      <c r="G1342" s="96"/>
      <c r="H1342" s="96"/>
      <c r="I1342" s="96"/>
      <c r="J1342" s="96"/>
      <c r="L1342" s="96"/>
      <c r="M1342" s="96"/>
      <c r="P1342" s="96"/>
      <c r="Q1342" s="96"/>
      <c r="R1342" s="96"/>
      <c r="S1342" s="96"/>
      <c r="T1342" s="96"/>
      <c r="U1342" s="96"/>
      <c r="V1342" s="96"/>
      <c r="W1342" s="96"/>
    </row>
    <row r="1343" spans="1:23" x14ac:dyDescent="0.3">
      <c r="A1343" s="96"/>
      <c r="B1343" s="96"/>
      <c r="C1343" s="96"/>
      <c r="D1343" s="96"/>
      <c r="E1343" s="103"/>
      <c r="F1343" s="96"/>
      <c r="G1343" s="96"/>
      <c r="H1343" s="96"/>
      <c r="I1343" s="96"/>
      <c r="J1343" s="96"/>
      <c r="L1343" s="96"/>
      <c r="M1343" s="96"/>
      <c r="P1343" s="96"/>
      <c r="Q1343" s="96"/>
      <c r="R1343" s="96"/>
      <c r="S1343" s="96"/>
      <c r="T1343" s="96"/>
      <c r="U1343" s="96"/>
      <c r="V1343" s="96"/>
      <c r="W1343" s="96"/>
    </row>
    <row r="1344" spans="1:23" x14ac:dyDescent="0.3">
      <c r="A1344" s="96"/>
      <c r="B1344" s="96"/>
      <c r="C1344" s="96"/>
      <c r="D1344" s="96"/>
      <c r="E1344" s="103"/>
      <c r="F1344" s="96"/>
      <c r="G1344" s="96"/>
      <c r="H1344" s="96"/>
      <c r="I1344" s="96"/>
      <c r="J1344" s="96"/>
      <c r="L1344" s="96"/>
      <c r="M1344" s="96"/>
      <c r="P1344" s="96"/>
      <c r="Q1344" s="96"/>
      <c r="R1344" s="96"/>
      <c r="S1344" s="96"/>
      <c r="T1344" s="96"/>
      <c r="U1344" s="96"/>
      <c r="V1344" s="96"/>
      <c r="W1344" s="96"/>
    </row>
    <row r="1345" spans="1:23" x14ac:dyDescent="0.3">
      <c r="A1345" s="96"/>
      <c r="B1345" s="96"/>
      <c r="C1345" s="96"/>
      <c r="D1345" s="96"/>
      <c r="E1345" s="103"/>
      <c r="F1345" s="96"/>
      <c r="G1345" s="96"/>
      <c r="H1345" s="96"/>
      <c r="I1345" s="96"/>
      <c r="J1345" s="96"/>
      <c r="L1345" s="96"/>
      <c r="M1345" s="96"/>
      <c r="P1345" s="96"/>
      <c r="Q1345" s="96"/>
      <c r="R1345" s="96"/>
      <c r="S1345" s="96"/>
      <c r="T1345" s="96"/>
      <c r="U1345" s="96"/>
      <c r="V1345" s="96"/>
      <c r="W1345" s="96"/>
    </row>
    <row r="1346" spans="1:23" x14ac:dyDescent="0.3">
      <c r="A1346" s="96"/>
      <c r="B1346" s="96"/>
      <c r="C1346" s="96"/>
      <c r="D1346" s="96"/>
      <c r="E1346" s="103"/>
      <c r="F1346" s="96"/>
      <c r="G1346" s="96"/>
      <c r="H1346" s="96"/>
      <c r="I1346" s="96"/>
      <c r="J1346" s="96"/>
      <c r="L1346" s="96"/>
      <c r="M1346" s="96"/>
      <c r="P1346" s="96"/>
      <c r="Q1346" s="96"/>
      <c r="R1346" s="96"/>
      <c r="S1346" s="96"/>
      <c r="T1346" s="96"/>
      <c r="U1346" s="96"/>
      <c r="V1346" s="96"/>
      <c r="W1346" s="96"/>
    </row>
    <row r="1347" spans="1:23" x14ac:dyDescent="0.3">
      <c r="A1347" s="96"/>
      <c r="B1347" s="96"/>
      <c r="C1347" s="96"/>
      <c r="D1347" s="96"/>
      <c r="E1347" s="103"/>
      <c r="F1347" s="96"/>
      <c r="G1347" s="96"/>
      <c r="H1347" s="96"/>
      <c r="I1347" s="96"/>
      <c r="J1347" s="96"/>
      <c r="L1347" s="96"/>
      <c r="M1347" s="96"/>
      <c r="P1347" s="96"/>
      <c r="Q1347" s="96"/>
      <c r="R1347" s="96"/>
      <c r="S1347" s="96"/>
      <c r="T1347" s="96"/>
      <c r="U1347" s="96"/>
      <c r="V1347" s="96"/>
      <c r="W1347" s="96"/>
    </row>
    <row r="1348" spans="1:23" x14ac:dyDescent="0.3">
      <c r="A1348" s="96"/>
      <c r="B1348" s="96"/>
      <c r="C1348" s="96"/>
      <c r="D1348" s="96"/>
      <c r="E1348" s="103"/>
      <c r="F1348" s="96"/>
      <c r="G1348" s="96"/>
      <c r="H1348" s="96"/>
      <c r="I1348" s="96"/>
      <c r="J1348" s="96"/>
      <c r="L1348" s="96"/>
      <c r="M1348" s="96"/>
      <c r="P1348" s="96"/>
      <c r="Q1348" s="96"/>
      <c r="R1348" s="96"/>
      <c r="S1348" s="96"/>
      <c r="T1348" s="96"/>
      <c r="U1348" s="96"/>
      <c r="V1348" s="96"/>
      <c r="W1348" s="96"/>
    </row>
    <row r="1349" spans="1:23" x14ac:dyDescent="0.3">
      <c r="A1349" s="96"/>
      <c r="B1349" s="96"/>
      <c r="C1349" s="96"/>
      <c r="D1349" s="96"/>
      <c r="E1349" s="103"/>
      <c r="F1349" s="96"/>
      <c r="G1349" s="96"/>
      <c r="H1349" s="96"/>
      <c r="I1349" s="96"/>
      <c r="J1349" s="96"/>
      <c r="L1349" s="96"/>
      <c r="M1349" s="96"/>
      <c r="P1349" s="96"/>
      <c r="Q1349" s="96"/>
      <c r="R1349" s="96"/>
      <c r="S1349" s="96"/>
      <c r="T1349" s="96"/>
      <c r="U1349" s="96"/>
      <c r="V1349" s="96"/>
      <c r="W1349" s="96"/>
    </row>
    <row r="1350" spans="1:23" x14ac:dyDescent="0.3">
      <c r="A1350" s="96"/>
      <c r="B1350" s="96"/>
      <c r="C1350" s="96"/>
      <c r="D1350" s="96"/>
      <c r="E1350" s="103"/>
      <c r="F1350" s="96"/>
      <c r="G1350" s="96"/>
      <c r="H1350" s="96"/>
      <c r="I1350" s="96"/>
      <c r="J1350" s="96"/>
      <c r="L1350" s="96"/>
      <c r="M1350" s="96"/>
      <c r="P1350" s="96"/>
      <c r="Q1350" s="96"/>
      <c r="R1350" s="96"/>
      <c r="S1350" s="96"/>
      <c r="T1350" s="96"/>
      <c r="U1350" s="96"/>
      <c r="V1350" s="96"/>
      <c r="W1350" s="96"/>
    </row>
    <row r="1351" spans="1:23" x14ac:dyDescent="0.3">
      <c r="A1351" s="96"/>
      <c r="B1351" s="96"/>
      <c r="C1351" s="96"/>
      <c r="D1351" s="96"/>
      <c r="E1351" s="103"/>
      <c r="F1351" s="96"/>
      <c r="G1351" s="96"/>
      <c r="H1351" s="96"/>
      <c r="I1351" s="96"/>
      <c r="J1351" s="96"/>
      <c r="L1351" s="96"/>
      <c r="M1351" s="96"/>
      <c r="P1351" s="96"/>
      <c r="Q1351" s="96"/>
      <c r="R1351" s="96"/>
      <c r="S1351" s="96"/>
      <c r="T1351" s="96"/>
      <c r="U1351" s="96"/>
      <c r="V1351" s="96"/>
      <c r="W1351" s="96"/>
    </row>
    <row r="1352" spans="1:23" x14ac:dyDescent="0.3">
      <c r="A1352" s="96"/>
      <c r="B1352" s="96"/>
      <c r="C1352" s="96"/>
      <c r="D1352" s="96"/>
      <c r="E1352" s="103"/>
      <c r="F1352" s="96"/>
      <c r="G1352" s="96"/>
      <c r="H1352" s="96"/>
      <c r="I1352" s="96"/>
      <c r="J1352" s="96"/>
      <c r="L1352" s="96"/>
      <c r="M1352" s="96"/>
      <c r="P1352" s="96"/>
      <c r="Q1352" s="96"/>
      <c r="R1352" s="96"/>
      <c r="S1352" s="96"/>
      <c r="T1352" s="96"/>
      <c r="U1352" s="96"/>
      <c r="V1352" s="96"/>
      <c r="W1352" s="96"/>
    </row>
    <row r="1353" spans="1:23" x14ac:dyDescent="0.3">
      <c r="A1353" s="96"/>
      <c r="B1353" s="96"/>
      <c r="C1353" s="96"/>
      <c r="D1353" s="96"/>
      <c r="E1353" s="103"/>
      <c r="F1353" s="96"/>
      <c r="G1353" s="96"/>
      <c r="H1353" s="96"/>
      <c r="I1353" s="96"/>
      <c r="J1353" s="96"/>
      <c r="L1353" s="96"/>
      <c r="M1353" s="96"/>
      <c r="P1353" s="96"/>
      <c r="Q1353" s="96"/>
      <c r="R1353" s="96"/>
      <c r="S1353" s="96"/>
      <c r="T1353" s="96"/>
      <c r="U1353" s="96"/>
      <c r="V1353" s="96"/>
      <c r="W1353" s="96"/>
    </row>
    <row r="1354" spans="1:23" x14ac:dyDescent="0.3">
      <c r="A1354" s="96"/>
      <c r="B1354" s="96"/>
      <c r="C1354" s="96"/>
      <c r="D1354" s="96"/>
      <c r="E1354" s="103"/>
      <c r="F1354" s="96"/>
      <c r="G1354" s="96"/>
      <c r="H1354" s="96"/>
      <c r="I1354" s="96"/>
      <c r="J1354" s="96"/>
      <c r="L1354" s="96"/>
      <c r="M1354" s="96"/>
      <c r="P1354" s="96"/>
      <c r="Q1354" s="96"/>
      <c r="R1354" s="96"/>
      <c r="S1354" s="96"/>
      <c r="T1354" s="96"/>
      <c r="U1354" s="96"/>
      <c r="V1354" s="96"/>
      <c r="W1354" s="96"/>
    </row>
    <row r="1355" spans="1:23" x14ac:dyDescent="0.3">
      <c r="A1355" s="96"/>
      <c r="B1355" s="96"/>
      <c r="C1355" s="96"/>
      <c r="D1355" s="96"/>
      <c r="E1355" s="103"/>
      <c r="F1355" s="96"/>
      <c r="G1355" s="96"/>
      <c r="H1355" s="96"/>
      <c r="I1355" s="96"/>
      <c r="J1355" s="96"/>
      <c r="L1355" s="96"/>
      <c r="M1355" s="96"/>
      <c r="P1355" s="96"/>
      <c r="Q1355" s="96"/>
      <c r="R1355" s="96"/>
      <c r="S1355" s="96"/>
      <c r="T1355" s="96"/>
      <c r="U1355" s="96"/>
      <c r="V1355" s="96"/>
      <c r="W1355" s="96"/>
    </row>
    <row r="1356" spans="1:23" x14ac:dyDescent="0.3">
      <c r="A1356" s="96"/>
      <c r="B1356" s="96"/>
      <c r="C1356" s="96"/>
      <c r="D1356" s="96"/>
      <c r="E1356" s="103"/>
      <c r="F1356" s="96"/>
      <c r="G1356" s="96"/>
      <c r="H1356" s="96"/>
      <c r="I1356" s="96"/>
      <c r="J1356" s="96"/>
      <c r="L1356" s="96"/>
      <c r="M1356" s="96"/>
      <c r="P1356" s="96"/>
      <c r="Q1356" s="96"/>
      <c r="R1356" s="96"/>
      <c r="S1356" s="96"/>
      <c r="T1356" s="96"/>
      <c r="U1356" s="96"/>
      <c r="V1356" s="96"/>
      <c r="W1356" s="96"/>
    </row>
    <row r="1357" spans="1:23" x14ac:dyDescent="0.3">
      <c r="A1357" s="96"/>
      <c r="B1357" s="96"/>
      <c r="C1357" s="96"/>
      <c r="D1357" s="96"/>
      <c r="E1357" s="103"/>
      <c r="F1357" s="96"/>
      <c r="G1357" s="96"/>
      <c r="H1357" s="96"/>
      <c r="I1357" s="96"/>
      <c r="J1357" s="96"/>
      <c r="L1357" s="96"/>
      <c r="M1357" s="96"/>
      <c r="P1357" s="96"/>
      <c r="Q1357" s="96"/>
      <c r="R1357" s="96"/>
      <c r="S1357" s="96"/>
      <c r="T1357" s="96"/>
      <c r="U1357" s="96"/>
      <c r="V1357" s="96"/>
      <c r="W1357" s="96"/>
    </row>
    <row r="1358" spans="1:23" x14ac:dyDescent="0.3">
      <c r="A1358" s="96"/>
      <c r="B1358" s="96"/>
      <c r="C1358" s="96"/>
      <c r="D1358" s="96"/>
      <c r="E1358" s="103"/>
      <c r="F1358" s="96"/>
      <c r="G1358" s="96"/>
      <c r="H1358" s="96"/>
      <c r="I1358" s="96"/>
      <c r="J1358" s="96"/>
      <c r="L1358" s="96"/>
      <c r="M1358" s="96"/>
      <c r="P1358" s="96"/>
      <c r="Q1358" s="96"/>
      <c r="R1358" s="96"/>
      <c r="S1358" s="96"/>
      <c r="T1358" s="96"/>
      <c r="U1358" s="96"/>
      <c r="V1358" s="96"/>
      <c r="W1358" s="96"/>
    </row>
    <row r="1359" spans="1:23" x14ac:dyDescent="0.3">
      <c r="A1359" s="96"/>
      <c r="B1359" s="96"/>
      <c r="C1359" s="96"/>
      <c r="D1359" s="96"/>
      <c r="E1359" s="103"/>
      <c r="F1359" s="96"/>
      <c r="G1359" s="96"/>
      <c r="H1359" s="96"/>
      <c r="I1359" s="96"/>
      <c r="J1359" s="96"/>
      <c r="L1359" s="96"/>
      <c r="M1359" s="96"/>
      <c r="P1359" s="96"/>
      <c r="Q1359" s="96"/>
      <c r="R1359" s="96"/>
      <c r="S1359" s="96"/>
      <c r="T1359" s="96"/>
      <c r="U1359" s="96"/>
      <c r="V1359" s="96"/>
      <c r="W1359" s="96"/>
    </row>
    <row r="1360" spans="1:23" x14ac:dyDescent="0.3">
      <c r="A1360" s="96"/>
      <c r="B1360" s="96"/>
      <c r="C1360" s="96"/>
      <c r="D1360" s="96"/>
      <c r="E1360" s="103"/>
      <c r="F1360" s="96"/>
      <c r="G1360" s="96"/>
      <c r="H1360" s="96"/>
      <c r="I1360" s="96"/>
      <c r="J1360" s="96"/>
      <c r="L1360" s="96"/>
      <c r="M1360" s="96"/>
      <c r="P1360" s="96"/>
      <c r="Q1360" s="96"/>
      <c r="R1360" s="96"/>
      <c r="S1360" s="96"/>
      <c r="T1360" s="96"/>
      <c r="U1360" s="96"/>
      <c r="V1360" s="96"/>
      <c r="W1360" s="96"/>
    </row>
    <row r="1361" spans="1:28" x14ac:dyDescent="0.3">
      <c r="A1361" s="96"/>
      <c r="B1361" s="96"/>
      <c r="C1361" s="96"/>
      <c r="D1361" s="96"/>
      <c r="E1361" s="103"/>
      <c r="F1361" s="96"/>
      <c r="G1361" s="96"/>
      <c r="H1361" s="96"/>
      <c r="I1361" s="96"/>
      <c r="J1361" s="96"/>
      <c r="L1361" s="96"/>
      <c r="M1361" s="96"/>
      <c r="P1361" s="96"/>
      <c r="Q1361" s="96"/>
      <c r="R1361" s="96"/>
      <c r="S1361" s="96"/>
      <c r="T1361" s="96"/>
      <c r="U1361" s="96"/>
      <c r="V1361" s="96"/>
      <c r="W1361" s="96"/>
    </row>
    <row r="1362" spans="1:28" x14ac:dyDescent="0.3">
      <c r="A1362" s="96"/>
      <c r="B1362" s="96"/>
      <c r="C1362" s="96"/>
      <c r="D1362" s="96"/>
      <c r="E1362" s="103"/>
      <c r="F1362" s="96"/>
      <c r="G1362" s="96"/>
      <c r="H1362" s="96"/>
      <c r="I1362" s="96"/>
      <c r="J1362" s="96"/>
      <c r="L1362" s="96"/>
      <c r="M1362" s="96"/>
      <c r="P1362" s="96"/>
      <c r="Q1362" s="96"/>
      <c r="R1362" s="96"/>
      <c r="S1362" s="96"/>
      <c r="T1362" s="96"/>
      <c r="U1362" s="96"/>
      <c r="V1362" s="96"/>
      <c r="W1362" s="96"/>
    </row>
    <row r="1363" spans="1:28" x14ac:dyDescent="0.3">
      <c r="A1363" s="96"/>
      <c r="B1363" s="96"/>
      <c r="C1363" s="96"/>
      <c r="D1363" s="96"/>
      <c r="E1363" s="103"/>
      <c r="F1363" s="96"/>
      <c r="G1363" s="96"/>
      <c r="H1363" s="96"/>
      <c r="I1363" s="96"/>
      <c r="J1363" s="96"/>
      <c r="L1363" s="96"/>
      <c r="M1363" s="96"/>
      <c r="P1363" s="96"/>
      <c r="Q1363" s="96"/>
      <c r="R1363" s="96"/>
      <c r="S1363" s="96"/>
      <c r="T1363" s="96"/>
      <c r="U1363" s="96"/>
      <c r="V1363" s="96"/>
      <c r="W1363" s="96"/>
    </row>
    <row r="1364" spans="1:28" x14ac:dyDescent="0.3">
      <c r="A1364" s="96"/>
      <c r="B1364" s="96"/>
      <c r="C1364" s="96"/>
      <c r="D1364" s="96"/>
      <c r="E1364" s="103"/>
      <c r="F1364" s="96"/>
      <c r="G1364" s="96"/>
      <c r="H1364" s="96"/>
      <c r="I1364" s="96"/>
      <c r="J1364" s="96"/>
      <c r="L1364" s="96"/>
      <c r="M1364" s="96"/>
      <c r="P1364" s="96"/>
      <c r="Q1364" s="96"/>
      <c r="R1364" s="96"/>
      <c r="S1364" s="96"/>
      <c r="T1364" s="96"/>
      <c r="U1364" s="96"/>
      <c r="V1364" s="96"/>
      <c r="W1364" s="96"/>
    </row>
    <row r="1365" spans="1:28" x14ac:dyDescent="0.3">
      <c r="A1365" s="96"/>
      <c r="B1365" s="96"/>
      <c r="C1365" s="96"/>
      <c r="D1365" s="96"/>
      <c r="E1365" s="103"/>
      <c r="F1365" s="96"/>
      <c r="G1365" s="96"/>
      <c r="H1365" s="96"/>
      <c r="I1365" s="96"/>
      <c r="J1365" s="96"/>
      <c r="L1365" s="96"/>
      <c r="M1365" s="96"/>
      <c r="P1365" s="96"/>
      <c r="Q1365" s="96"/>
      <c r="R1365" s="96"/>
      <c r="S1365" s="96"/>
      <c r="T1365" s="96"/>
      <c r="U1365" s="96"/>
      <c r="V1365" s="96"/>
      <c r="W1365" s="96"/>
    </row>
    <row r="1366" spans="1:28" x14ac:dyDescent="0.3">
      <c r="A1366" s="96"/>
      <c r="B1366" s="96"/>
      <c r="C1366" s="96"/>
      <c r="D1366" s="96"/>
      <c r="E1366" s="103"/>
      <c r="F1366" s="96"/>
      <c r="G1366" s="96"/>
      <c r="H1366" s="96"/>
      <c r="I1366" s="96"/>
      <c r="J1366" s="96"/>
      <c r="L1366" s="96"/>
      <c r="M1366" s="96"/>
      <c r="P1366" s="96"/>
      <c r="Q1366" s="96"/>
      <c r="R1366" s="96"/>
      <c r="S1366" s="96"/>
      <c r="T1366" s="96"/>
      <c r="U1366" s="96"/>
      <c r="V1366" s="96"/>
      <c r="W1366" s="96"/>
    </row>
    <row r="1367" spans="1:28" x14ac:dyDescent="0.3">
      <c r="A1367" s="96"/>
      <c r="B1367" s="96"/>
      <c r="C1367" s="96"/>
      <c r="D1367" s="96"/>
      <c r="E1367" s="103"/>
      <c r="F1367" s="96"/>
      <c r="G1367" s="96"/>
      <c r="H1367" s="96"/>
      <c r="I1367" s="96"/>
      <c r="J1367" s="96"/>
      <c r="L1367" s="96"/>
      <c r="M1367" s="96"/>
      <c r="P1367" s="96"/>
      <c r="Q1367" s="96"/>
      <c r="R1367" s="96"/>
      <c r="S1367" s="96"/>
      <c r="T1367" s="96"/>
      <c r="U1367" s="96"/>
      <c r="V1367" s="96"/>
      <c r="W1367" s="96"/>
    </row>
    <row r="1368" spans="1:28" x14ac:dyDescent="0.3">
      <c r="A1368" s="96"/>
      <c r="B1368" s="96"/>
      <c r="C1368" s="96"/>
      <c r="D1368" s="96"/>
      <c r="E1368" s="103"/>
      <c r="F1368" s="96"/>
      <c r="G1368" s="96"/>
      <c r="H1368" s="96"/>
      <c r="I1368" s="96"/>
      <c r="J1368" s="96"/>
      <c r="L1368" s="96"/>
      <c r="M1368" s="96"/>
      <c r="P1368" s="96"/>
      <c r="Q1368" s="96"/>
      <c r="R1368" s="96"/>
      <c r="S1368" s="96"/>
      <c r="T1368" s="96"/>
      <c r="U1368" s="96"/>
      <c r="V1368" s="96"/>
      <c r="W1368" s="96"/>
    </row>
    <row r="1369" spans="1:28" x14ac:dyDescent="0.3">
      <c r="A1369" s="96"/>
      <c r="B1369" s="96"/>
      <c r="C1369" s="96"/>
      <c r="D1369" s="96"/>
      <c r="E1369" s="103"/>
      <c r="F1369" s="96"/>
      <c r="G1369" s="96"/>
      <c r="H1369" s="96"/>
      <c r="I1369" s="96"/>
      <c r="J1369" s="96"/>
      <c r="L1369" s="96"/>
      <c r="M1369" s="96"/>
      <c r="P1369" s="96"/>
      <c r="Q1369" s="96"/>
      <c r="R1369" s="96"/>
      <c r="S1369" s="96"/>
      <c r="T1369" s="96"/>
      <c r="U1369" s="96"/>
      <c r="V1369" s="96"/>
      <c r="W1369" s="96"/>
    </row>
    <row r="1370" spans="1:28" x14ac:dyDescent="0.3">
      <c r="A1370" s="96"/>
      <c r="B1370" s="96"/>
      <c r="C1370" s="96"/>
      <c r="D1370" s="96"/>
      <c r="E1370" s="103"/>
      <c r="F1370" s="96"/>
      <c r="G1370" s="96"/>
      <c r="H1370" s="96"/>
      <c r="I1370" s="96"/>
      <c r="J1370" s="96"/>
      <c r="L1370" s="96"/>
      <c r="M1370" s="96"/>
      <c r="P1370" s="96"/>
      <c r="Q1370" s="96"/>
      <c r="R1370" s="96"/>
      <c r="S1370" s="96"/>
      <c r="T1370" s="96"/>
      <c r="U1370" s="96"/>
      <c r="V1370" s="96"/>
      <c r="W1370" s="96"/>
      <c r="AA1370" s="96"/>
      <c r="AB1370" s="96"/>
    </row>
    <row r="1371" spans="1:28" x14ac:dyDescent="0.3">
      <c r="A1371" s="96"/>
      <c r="B1371" s="96"/>
      <c r="C1371" s="96"/>
      <c r="D1371" s="96"/>
      <c r="E1371" s="103"/>
      <c r="F1371" s="96"/>
      <c r="G1371" s="96"/>
      <c r="H1371" s="96"/>
      <c r="I1371" s="96"/>
      <c r="J1371" s="96"/>
      <c r="L1371" s="96"/>
      <c r="M1371" s="96"/>
      <c r="P1371" s="96"/>
      <c r="Q1371" s="96"/>
      <c r="R1371" s="96"/>
      <c r="S1371" s="96"/>
      <c r="T1371" s="96"/>
      <c r="U1371" s="96"/>
      <c r="V1371" s="96"/>
      <c r="W1371" s="96"/>
      <c r="AA1371" s="104"/>
      <c r="AB1371" s="104"/>
    </row>
    <row r="1372" spans="1:28" x14ac:dyDescent="0.3">
      <c r="A1372" s="96"/>
      <c r="B1372" s="96"/>
      <c r="C1372" s="96"/>
      <c r="D1372" s="96"/>
      <c r="E1372" s="103"/>
      <c r="F1372" s="96"/>
      <c r="G1372" s="96"/>
      <c r="H1372" s="96"/>
      <c r="I1372" s="96"/>
      <c r="J1372" s="96"/>
      <c r="L1372" s="96"/>
      <c r="M1372" s="96"/>
      <c r="P1372" s="96"/>
      <c r="Q1372" s="96"/>
      <c r="R1372" s="96"/>
      <c r="S1372" s="96"/>
      <c r="T1372" s="96"/>
      <c r="U1372" s="96"/>
      <c r="V1372" s="96"/>
      <c r="W1372" s="96"/>
      <c r="AA1372" s="96"/>
      <c r="AB1372" s="96"/>
    </row>
    <row r="1373" spans="1:28" x14ac:dyDescent="0.3">
      <c r="A1373" s="96"/>
      <c r="B1373" s="96"/>
      <c r="C1373" s="96"/>
      <c r="D1373" s="96"/>
      <c r="E1373" s="103"/>
      <c r="F1373" s="96"/>
      <c r="G1373" s="96"/>
      <c r="H1373" s="96"/>
      <c r="I1373" s="96"/>
      <c r="J1373" s="96"/>
      <c r="L1373" s="96"/>
      <c r="M1373" s="96"/>
      <c r="P1373" s="96"/>
      <c r="Q1373" s="96"/>
      <c r="R1373" s="96"/>
      <c r="S1373" s="96"/>
      <c r="T1373" s="96"/>
      <c r="U1373" s="96"/>
      <c r="V1373" s="96"/>
      <c r="W1373" s="96"/>
      <c r="AA1373" s="96"/>
      <c r="AB1373" s="96"/>
    </row>
    <row r="1374" spans="1:28" x14ac:dyDescent="0.3">
      <c r="A1374" s="96"/>
      <c r="B1374" s="96"/>
      <c r="C1374" s="96"/>
      <c r="D1374" s="96"/>
      <c r="E1374" s="103"/>
      <c r="F1374" s="96"/>
      <c r="G1374" s="96"/>
      <c r="H1374" s="96"/>
      <c r="I1374" s="96"/>
      <c r="J1374" s="96"/>
      <c r="L1374" s="96"/>
      <c r="M1374" s="96"/>
      <c r="P1374" s="96"/>
      <c r="Q1374" s="96"/>
      <c r="R1374" s="96"/>
      <c r="S1374" s="96"/>
      <c r="T1374" s="96"/>
      <c r="U1374" s="96"/>
      <c r="V1374" s="96"/>
      <c r="W1374" s="96"/>
    </row>
    <row r="1375" spans="1:28" x14ac:dyDescent="0.3">
      <c r="A1375" s="96"/>
      <c r="B1375" s="96"/>
      <c r="C1375" s="96"/>
      <c r="D1375" s="96"/>
      <c r="E1375" s="103"/>
      <c r="F1375" s="96"/>
      <c r="G1375" s="96"/>
      <c r="H1375" s="96"/>
      <c r="I1375" s="96"/>
      <c r="J1375" s="96"/>
      <c r="L1375" s="96"/>
      <c r="M1375" s="96"/>
      <c r="P1375" s="96"/>
      <c r="Q1375" s="96"/>
      <c r="R1375" s="96"/>
      <c r="S1375" s="96"/>
      <c r="T1375" s="96"/>
      <c r="U1375" s="96"/>
      <c r="V1375" s="96"/>
      <c r="W1375" s="96"/>
    </row>
    <row r="1376" spans="1:28" x14ac:dyDescent="0.3">
      <c r="A1376" s="96"/>
      <c r="B1376" s="96"/>
      <c r="C1376" s="96"/>
      <c r="D1376" s="96"/>
      <c r="E1376" s="103"/>
      <c r="F1376" s="96"/>
      <c r="G1376" s="96"/>
      <c r="H1376" s="96"/>
      <c r="I1376" s="96"/>
      <c r="J1376" s="96"/>
      <c r="L1376" s="96"/>
      <c r="M1376" s="96"/>
      <c r="P1376" s="96"/>
      <c r="Q1376" s="96"/>
      <c r="R1376" s="96"/>
      <c r="S1376" s="96"/>
      <c r="T1376" s="96"/>
      <c r="U1376" s="96"/>
      <c r="V1376" s="96"/>
      <c r="W1376" s="96"/>
    </row>
    <row r="1377" spans="1:23" x14ac:dyDescent="0.3">
      <c r="A1377" s="96"/>
      <c r="B1377" s="96"/>
      <c r="C1377" s="96"/>
      <c r="D1377" s="96"/>
      <c r="E1377" s="103"/>
      <c r="F1377" s="96"/>
      <c r="G1377" s="96"/>
      <c r="H1377" s="96"/>
      <c r="I1377" s="96"/>
      <c r="J1377" s="96"/>
      <c r="L1377" s="96"/>
      <c r="M1377" s="96"/>
      <c r="P1377" s="96"/>
      <c r="Q1377" s="96"/>
      <c r="R1377" s="96"/>
      <c r="S1377" s="96"/>
      <c r="T1377" s="96"/>
      <c r="U1377" s="96"/>
      <c r="V1377" s="96"/>
      <c r="W1377" s="96"/>
    </row>
    <row r="1378" spans="1:23" x14ac:dyDescent="0.3">
      <c r="A1378" s="96"/>
      <c r="B1378" s="96"/>
      <c r="C1378" s="96"/>
      <c r="D1378" s="96"/>
      <c r="E1378" s="103"/>
      <c r="F1378" s="96"/>
      <c r="G1378" s="96"/>
      <c r="H1378" s="96"/>
      <c r="I1378" s="96"/>
      <c r="J1378" s="96"/>
      <c r="L1378" s="96"/>
      <c r="M1378" s="96"/>
      <c r="P1378" s="96"/>
      <c r="Q1378" s="96"/>
      <c r="R1378" s="96"/>
      <c r="S1378" s="96"/>
      <c r="T1378" s="96"/>
      <c r="U1378" s="96"/>
      <c r="V1378" s="96"/>
      <c r="W1378" s="96"/>
    </row>
    <row r="1379" spans="1:23" x14ac:dyDescent="0.3">
      <c r="A1379" s="96"/>
      <c r="B1379" s="96"/>
      <c r="C1379" s="96"/>
      <c r="D1379" s="96"/>
      <c r="E1379" s="103"/>
      <c r="F1379" s="96"/>
      <c r="G1379" s="96"/>
      <c r="H1379" s="96"/>
      <c r="I1379" s="96"/>
      <c r="J1379" s="96"/>
      <c r="L1379" s="96"/>
      <c r="M1379" s="96"/>
      <c r="P1379" s="96"/>
      <c r="Q1379" s="96"/>
      <c r="R1379" s="96"/>
      <c r="S1379" s="96"/>
      <c r="T1379" s="96"/>
      <c r="U1379" s="96"/>
      <c r="V1379" s="96"/>
      <c r="W1379" s="96"/>
    </row>
    <row r="1380" spans="1:23" x14ac:dyDescent="0.3">
      <c r="A1380" s="96"/>
      <c r="B1380" s="96"/>
      <c r="C1380" s="96"/>
      <c r="D1380" s="96"/>
      <c r="E1380" s="103"/>
      <c r="F1380" s="96"/>
      <c r="G1380" s="96"/>
      <c r="H1380" s="96"/>
      <c r="I1380" s="96"/>
      <c r="J1380" s="96"/>
      <c r="L1380" s="96"/>
      <c r="M1380" s="96"/>
      <c r="P1380" s="96"/>
      <c r="Q1380" s="96"/>
      <c r="R1380" s="96"/>
      <c r="S1380" s="96"/>
      <c r="T1380" s="96"/>
      <c r="U1380" s="96"/>
      <c r="V1380" s="96"/>
      <c r="W1380" s="96"/>
    </row>
    <row r="1381" spans="1:23" x14ac:dyDescent="0.3">
      <c r="A1381" s="96"/>
      <c r="B1381" s="96"/>
      <c r="C1381" s="96"/>
      <c r="D1381" s="96"/>
      <c r="E1381" s="103"/>
      <c r="F1381" s="96"/>
      <c r="G1381" s="96"/>
      <c r="H1381" s="96"/>
      <c r="I1381" s="96"/>
      <c r="J1381" s="96"/>
      <c r="L1381" s="96"/>
      <c r="M1381" s="96"/>
      <c r="P1381" s="96"/>
      <c r="Q1381" s="96"/>
      <c r="R1381" s="96"/>
      <c r="S1381" s="96"/>
      <c r="T1381" s="96"/>
      <c r="U1381" s="96"/>
      <c r="V1381" s="96"/>
      <c r="W1381" s="96"/>
    </row>
    <row r="1382" spans="1:23" x14ac:dyDescent="0.3">
      <c r="A1382" s="96"/>
      <c r="B1382" s="96"/>
      <c r="C1382" s="96"/>
      <c r="D1382" s="96"/>
      <c r="E1382" s="103"/>
      <c r="F1382" s="96"/>
      <c r="G1382" s="96"/>
      <c r="H1382" s="96"/>
      <c r="I1382" s="96"/>
      <c r="J1382" s="96"/>
      <c r="L1382" s="96"/>
      <c r="M1382" s="96"/>
      <c r="P1382" s="96"/>
      <c r="Q1382" s="96"/>
      <c r="R1382" s="96"/>
      <c r="S1382" s="96"/>
      <c r="T1382" s="96"/>
      <c r="U1382" s="96"/>
      <c r="V1382" s="96"/>
      <c r="W1382" s="96"/>
    </row>
    <row r="1383" spans="1:23" x14ac:dyDescent="0.3">
      <c r="A1383" s="96"/>
      <c r="B1383" s="96"/>
      <c r="C1383" s="96"/>
      <c r="D1383" s="96"/>
      <c r="E1383" s="103"/>
      <c r="F1383" s="96"/>
      <c r="G1383" s="96"/>
      <c r="H1383" s="96"/>
      <c r="I1383" s="96"/>
      <c r="J1383" s="96"/>
      <c r="L1383" s="96"/>
      <c r="M1383" s="96"/>
      <c r="P1383" s="96"/>
      <c r="Q1383" s="96"/>
      <c r="R1383" s="96"/>
      <c r="S1383" s="96"/>
      <c r="T1383" s="96"/>
      <c r="U1383" s="96"/>
      <c r="V1383" s="96"/>
      <c r="W1383" s="96"/>
    </row>
    <row r="1384" spans="1:23" x14ac:dyDescent="0.3">
      <c r="A1384" s="96"/>
      <c r="B1384" s="96"/>
      <c r="C1384" s="96"/>
      <c r="D1384" s="96"/>
      <c r="E1384" s="103"/>
      <c r="F1384" s="96"/>
      <c r="G1384" s="96"/>
      <c r="H1384" s="96"/>
      <c r="I1384" s="96"/>
      <c r="J1384" s="96"/>
      <c r="L1384" s="96"/>
      <c r="M1384" s="96"/>
      <c r="P1384" s="96"/>
      <c r="Q1384" s="96"/>
      <c r="R1384" s="96"/>
      <c r="S1384" s="96"/>
      <c r="T1384" s="96"/>
      <c r="U1384" s="96"/>
      <c r="V1384" s="96"/>
      <c r="W1384" s="96"/>
    </row>
    <row r="1385" spans="1:23" x14ac:dyDescent="0.3">
      <c r="A1385" s="96"/>
      <c r="B1385" s="96"/>
      <c r="C1385" s="96"/>
      <c r="D1385" s="96"/>
      <c r="E1385" s="103"/>
      <c r="F1385" s="96"/>
      <c r="G1385" s="96"/>
      <c r="H1385" s="96"/>
      <c r="I1385" s="96"/>
      <c r="J1385" s="96"/>
      <c r="L1385" s="96"/>
      <c r="M1385" s="96"/>
      <c r="P1385" s="96"/>
      <c r="Q1385" s="96"/>
      <c r="R1385" s="96"/>
      <c r="S1385" s="96"/>
      <c r="T1385" s="96"/>
      <c r="U1385" s="96"/>
      <c r="V1385" s="96"/>
      <c r="W1385" s="96"/>
    </row>
    <row r="1386" spans="1:23" x14ac:dyDescent="0.3">
      <c r="A1386" s="96"/>
      <c r="B1386" s="96"/>
      <c r="C1386" s="96"/>
      <c r="D1386" s="96"/>
      <c r="E1386" s="103"/>
      <c r="F1386" s="96"/>
      <c r="G1386" s="96"/>
      <c r="H1386" s="96"/>
      <c r="I1386" s="96"/>
      <c r="J1386" s="96"/>
      <c r="L1386" s="96"/>
      <c r="M1386" s="96"/>
      <c r="P1386" s="96"/>
      <c r="Q1386" s="96"/>
      <c r="R1386" s="96"/>
      <c r="S1386" s="96"/>
      <c r="T1386" s="96"/>
      <c r="U1386" s="96"/>
      <c r="V1386" s="96"/>
      <c r="W1386" s="96"/>
    </row>
    <row r="1387" spans="1:23" x14ac:dyDescent="0.3">
      <c r="A1387" s="96"/>
      <c r="B1387" s="96"/>
      <c r="C1387" s="96"/>
      <c r="D1387" s="96"/>
      <c r="E1387" s="103"/>
      <c r="F1387" s="96"/>
      <c r="G1387" s="96"/>
      <c r="H1387" s="96"/>
      <c r="I1387" s="96"/>
      <c r="J1387" s="96"/>
      <c r="L1387" s="96"/>
      <c r="M1387" s="96"/>
      <c r="P1387" s="96"/>
      <c r="Q1387" s="96"/>
      <c r="R1387" s="96"/>
      <c r="S1387" s="96"/>
      <c r="T1387" s="96"/>
      <c r="U1387" s="96"/>
      <c r="V1387" s="96"/>
      <c r="W1387" s="96"/>
    </row>
    <row r="1388" spans="1:23" x14ac:dyDescent="0.3">
      <c r="A1388" s="96"/>
      <c r="B1388" s="96"/>
      <c r="C1388" s="96"/>
      <c r="D1388" s="96"/>
      <c r="E1388" s="103"/>
      <c r="F1388" s="96"/>
      <c r="G1388" s="96"/>
      <c r="H1388" s="96"/>
      <c r="I1388" s="96"/>
      <c r="J1388" s="96"/>
      <c r="L1388" s="96"/>
      <c r="M1388" s="96"/>
      <c r="P1388" s="96"/>
      <c r="Q1388" s="96"/>
      <c r="R1388" s="96"/>
      <c r="S1388" s="96"/>
      <c r="T1388" s="96"/>
      <c r="U1388" s="96"/>
      <c r="V1388" s="96"/>
      <c r="W1388" s="96"/>
    </row>
    <row r="1389" spans="1:23" x14ac:dyDescent="0.3">
      <c r="A1389" s="96"/>
      <c r="B1389" s="96"/>
      <c r="C1389" s="96"/>
      <c r="D1389" s="96"/>
      <c r="E1389" s="103"/>
      <c r="F1389" s="96"/>
      <c r="G1389" s="96"/>
      <c r="H1389" s="96"/>
      <c r="I1389" s="96"/>
      <c r="J1389" s="96"/>
      <c r="L1389" s="96"/>
      <c r="M1389" s="96"/>
      <c r="P1389" s="96"/>
      <c r="Q1389" s="96"/>
      <c r="R1389" s="96"/>
      <c r="S1389" s="96"/>
      <c r="T1389" s="96"/>
      <c r="U1389" s="96"/>
      <c r="V1389" s="96"/>
      <c r="W1389" s="96"/>
    </row>
    <row r="1390" spans="1:23" x14ac:dyDescent="0.3">
      <c r="A1390" s="96"/>
      <c r="B1390" s="96"/>
      <c r="C1390" s="96"/>
      <c r="D1390" s="96"/>
      <c r="E1390" s="103"/>
      <c r="F1390" s="96"/>
      <c r="G1390" s="96"/>
      <c r="H1390" s="96"/>
      <c r="I1390" s="96"/>
      <c r="J1390" s="96"/>
      <c r="L1390" s="96"/>
      <c r="M1390" s="96"/>
      <c r="P1390" s="96"/>
      <c r="Q1390" s="96"/>
      <c r="R1390" s="96"/>
      <c r="S1390" s="96"/>
      <c r="T1390" s="96"/>
      <c r="U1390" s="96"/>
      <c r="V1390" s="96"/>
      <c r="W1390" s="96"/>
    </row>
    <row r="1391" spans="1:23" x14ac:dyDescent="0.3">
      <c r="A1391" s="96"/>
      <c r="B1391" s="96"/>
      <c r="C1391" s="96"/>
      <c r="D1391" s="96"/>
      <c r="E1391" s="103"/>
      <c r="F1391" s="96"/>
      <c r="G1391" s="96"/>
      <c r="H1391" s="96"/>
      <c r="I1391" s="96"/>
      <c r="J1391" s="96"/>
      <c r="L1391" s="96"/>
      <c r="M1391" s="96"/>
      <c r="P1391" s="96"/>
      <c r="Q1391" s="96"/>
      <c r="R1391" s="96"/>
      <c r="S1391" s="96"/>
      <c r="T1391" s="96"/>
      <c r="U1391" s="96"/>
      <c r="V1391" s="96"/>
      <c r="W1391" s="96"/>
    </row>
    <row r="1392" spans="1:23" x14ac:dyDescent="0.3">
      <c r="A1392" s="96"/>
      <c r="B1392" s="96"/>
      <c r="C1392" s="96"/>
      <c r="D1392" s="96"/>
      <c r="E1392" s="103"/>
      <c r="F1392" s="96"/>
      <c r="G1392" s="96"/>
      <c r="H1392" s="96"/>
      <c r="I1392" s="96"/>
      <c r="J1392" s="96"/>
      <c r="L1392" s="96"/>
      <c r="M1392" s="96"/>
      <c r="P1392" s="96"/>
      <c r="Q1392" s="96"/>
      <c r="R1392" s="96"/>
      <c r="S1392" s="96"/>
      <c r="T1392" s="96"/>
      <c r="U1392" s="96"/>
      <c r="V1392" s="96"/>
      <c r="W1392" s="96"/>
    </row>
    <row r="1393" spans="1:28" x14ac:dyDescent="0.3">
      <c r="A1393" s="96"/>
      <c r="B1393" s="96"/>
      <c r="C1393" s="96"/>
      <c r="D1393" s="96"/>
      <c r="E1393" s="103"/>
      <c r="F1393" s="96"/>
      <c r="G1393" s="96"/>
      <c r="H1393" s="96"/>
      <c r="I1393" s="96"/>
      <c r="J1393" s="96"/>
      <c r="L1393" s="96"/>
      <c r="M1393" s="96"/>
      <c r="P1393" s="96"/>
      <c r="Q1393" s="96"/>
      <c r="R1393" s="96"/>
      <c r="S1393" s="96"/>
      <c r="T1393" s="96"/>
      <c r="U1393" s="96"/>
      <c r="V1393" s="96"/>
      <c r="W1393" s="96"/>
    </row>
    <row r="1394" spans="1:28" x14ac:dyDescent="0.3">
      <c r="A1394" s="96"/>
      <c r="B1394" s="96"/>
      <c r="C1394" s="96"/>
      <c r="D1394" s="96"/>
      <c r="E1394" s="103"/>
      <c r="F1394" s="96"/>
      <c r="G1394" s="96"/>
      <c r="H1394" s="96"/>
      <c r="I1394" s="96"/>
      <c r="J1394" s="96"/>
      <c r="L1394" s="96"/>
      <c r="M1394" s="96"/>
      <c r="P1394" s="96"/>
      <c r="Q1394" s="96"/>
      <c r="R1394" s="96"/>
      <c r="S1394" s="96"/>
      <c r="T1394" s="96"/>
      <c r="U1394" s="96"/>
      <c r="V1394" s="96"/>
      <c r="W1394" s="96"/>
    </row>
    <row r="1395" spans="1:28" x14ac:dyDescent="0.3">
      <c r="A1395" s="96"/>
      <c r="B1395" s="96"/>
      <c r="C1395" s="96"/>
      <c r="D1395" s="96"/>
      <c r="E1395" s="103"/>
      <c r="F1395" s="96"/>
      <c r="G1395" s="96"/>
      <c r="H1395" s="96"/>
      <c r="I1395" s="96"/>
      <c r="J1395" s="96"/>
      <c r="L1395" s="96"/>
      <c r="M1395" s="96"/>
      <c r="P1395" s="96"/>
      <c r="Q1395" s="96"/>
      <c r="R1395" s="96"/>
      <c r="S1395" s="96"/>
      <c r="T1395" s="96"/>
      <c r="U1395" s="96"/>
      <c r="V1395" s="96"/>
      <c r="W1395" s="96"/>
    </row>
    <row r="1396" spans="1:28" x14ac:dyDescent="0.3">
      <c r="A1396" s="96"/>
      <c r="B1396" s="96"/>
      <c r="C1396" s="96"/>
      <c r="D1396" s="96"/>
      <c r="E1396" s="103"/>
      <c r="F1396" s="96"/>
      <c r="G1396" s="96"/>
      <c r="H1396" s="96"/>
      <c r="I1396" s="96"/>
      <c r="J1396" s="96"/>
      <c r="L1396" s="96"/>
      <c r="M1396" s="96"/>
      <c r="P1396" s="96"/>
      <c r="Q1396" s="96"/>
      <c r="R1396" s="96"/>
      <c r="S1396" s="96"/>
      <c r="T1396" s="96"/>
      <c r="U1396" s="96"/>
      <c r="V1396" s="96"/>
      <c r="W1396" s="96"/>
    </row>
    <row r="1397" spans="1:28" x14ac:dyDescent="0.3">
      <c r="A1397" s="96"/>
      <c r="B1397" s="96"/>
      <c r="C1397" s="96"/>
      <c r="D1397" s="96"/>
      <c r="E1397" s="103"/>
      <c r="F1397" s="96"/>
      <c r="G1397" s="96"/>
      <c r="H1397" s="96"/>
      <c r="I1397" s="96"/>
      <c r="J1397" s="96"/>
      <c r="L1397" s="96"/>
      <c r="M1397" s="96"/>
      <c r="P1397" s="96"/>
      <c r="Q1397" s="96"/>
      <c r="R1397" s="96"/>
      <c r="S1397" s="96"/>
      <c r="T1397" s="96"/>
      <c r="U1397" s="96"/>
      <c r="V1397" s="96"/>
      <c r="W1397" s="96"/>
    </row>
    <row r="1398" spans="1:28" x14ac:dyDescent="0.3">
      <c r="A1398" s="96"/>
      <c r="B1398" s="96"/>
      <c r="C1398" s="96"/>
      <c r="D1398" s="96"/>
      <c r="E1398" s="103"/>
      <c r="F1398" s="96"/>
      <c r="G1398" s="96"/>
      <c r="H1398" s="96"/>
      <c r="I1398" s="96"/>
      <c r="J1398" s="96"/>
      <c r="L1398" s="96"/>
      <c r="M1398" s="96"/>
      <c r="P1398" s="96"/>
      <c r="Q1398" s="96"/>
      <c r="R1398" s="96"/>
      <c r="S1398" s="96"/>
      <c r="T1398" s="96"/>
      <c r="U1398" s="96"/>
      <c r="V1398" s="96"/>
      <c r="W1398" s="96"/>
      <c r="AA1398" s="96"/>
      <c r="AB1398" s="96"/>
    </row>
    <row r="1399" spans="1:28" x14ac:dyDescent="0.3">
      <c r="A1399" s="96"/>
      <c r="B1399" s="96"/>
      <c r="C1399" s="96"/>
      <c r="D1399" s="96"/>
      <c r="E1399" s="103"/>
      <c r="F1399" s="96"/>
      <c r="G1399" s="96"/>
      <c r="H1399" s="96"/>
      <c r="I1399" s="96"/>
      <c r="J1399" s="96"/>
      <c r="L1399" s="96"/>
      <c r="M1399" s="96"/>
      <c r="P1399" s="96"/>
      <c r="Q1399" s="96"/>
      <c r="R1399" s="96"/>
      <c r="S1399" s="96"/>
      <c r="T1399" s="96"/>
      <c r="U1399" s="96"/>
      <c r="V1399" s="96"/>
      <c r="W1399" s="96"/>
      <c r="AA1399" s="104"/>
      <c r="AB1399" s="104"/>
    </row>
    <row r="1400" spans="1:28" x14ac:dyDescent="0.3">
      <c r="A1400" s="96"/>
      <c r="B1400" s="96"/>
      <c r="C1400" s="96"/>
      <c r="D1400" s="96"/>
      <c r="E1400" s="103"/>
      <c r="F1400" s="96"/>
      <c r="G1400" s="96"/>
      <c r="H1400" s="96"/>
      <c r="I1400" s="96"/>
      <c r="J1400" s="96"/>
      <c r="L1400" s="96"/>
      <c r="M1400" s="96"/>
      <c r="P1400" s="96"/>
      <c r="Q1400" s="96"/>
      <c r="R1400" s="96"/>
      <c r="S1400" s="96"/>
      <c r="T1400" s="96"/>
      <c r="U1400" s="96"/>
      <c r="V1400" s="96"/>
      <c r="W1400" s="96"/>
      <c r="AA1400" s="96"/>
      <c r="AB1400" s="96"/>
    </row>
    <row r="1401" spans="1:28" x14ac:dyDescent="0.3">
      <c r="A1401" s="96"/>
      <c r="B1401" s="96"/>
      <c r="C1401" s="96"/>
      <c r="D1401" s="96"/>
      <c r="E1401" s="103"/>
      <c r="F1401" s="96"/>
      <c r="G1401" s="96"/>
      <c r="H1401" s="96"/>
      <c r="I1401" s="96"/>
      <c r="J1401" s="96"/>
      <c r="L1401" s="96"/>
      <c r="M1401" s="96"/>
      <c r="P1401" s="96"/>
      <c r="Q1401" s="96"/>
      <c r="R1401" s="96"/>
      <c r="S1401" s="96"/>
      <c r="T1401" s="96"/>
      <c r="U1401" s="96"/>
      <c r="V1401" s="96"/>
      <c r="W1401" s="96"/>
      <c r="AA1401" s="96"/>
      <c r="AB1401" s="96"/>
    </row>
    <row r="1402" spans="1:28" x14ac:dyDescent="0.3">
      <c r="A1402" s="96"/>
      <c r="B1402" s="96"/>
      <c r="C1402" s="96"/>
      <c r="D1402" s="96"/>
      <c r="E1402" s="103"/>
      <c r="F1402" s="96"/>
      <c r="G1402" s="96"/>
      <c r="H1402" s="96"/>
      <c r="I1402" s="96"/>
      <c r="J1402" s="96"/>
      <c r="L1402" s="96"/>
      <c r="M1402" s="96"/>
      <c r="P1402" s="96"/>
      <c r="Q1402" s="96"/>
      <c r="R1402" s="96"/>
      <c r="S1402" s="96"/>
      <c r="T1402" s="96"/>
      <c r="U1402" s="96"/>
      <c r="V1402" s="96"/>
      <c r="W1402" s="96"/>
    </row>
    <row r="1403" spans="1:28" x14ac:dyDescent="0.3">
      <c r="A1403" s="96"/>
      <c r="B1403" s="96"/>
      <c r="C1403" s="96"/>
      <c r="D1403" s="96"/>
      <c r="E1403" s="103"/>
      <c r="F1403" s="96"/>
      <c r="G1403" s="96"/>
      <c r="H1403" s="96"/>
      <c r="I1403" s="96"/>
      <c r="J1403" s="96"/>
      <c r="L1403" s="96"/>
      <c r="M1403" s="96"/>
      <c r="P1403" s="96"/>
      <c r="Q1403" s="96"/>
      <c r="R1403" s="96"/>
      <c r="S1403" s="96"/>
      <c r="T1403" s="96"/>
      <c r="U1403" s="96"/>
      <c r="V1403" s="96"/>
      <c r="W1403" s="96"/>
    </row>
    <row r="1404" spans="1:28" x14ac:dyDescent="0.3">
      <c r="A1404" s="96"/>
      <c r="B1404" s="96"/>
      <c r="C1404" s="96"/>
      <c r="D1404" s="96"/>
      <c r="E1404" s="103"/>
      <c r="F1404" s="96"/>
      <c r="G1404" s="96"/>
      <c r="H1404" s="96"/>
      <c r="I1404" s="96"/>
      <c r="J1404" s="96"/>
      <c r="L1404" s="96"/>
      <c r="M1404" s="96"/>
      <c r="P1404" s="96"/>
      <c r="Q1404" s="96"/>
      <c r="R1404" s="96"/>
      <c r="S1404" s="96"/>
      <c r="T1404" s="96"/>
      <c r="U1404" s="96"/>
      <c r="V1404" s="96"/>
      <c r="W1404" s="96"/>
      <c r="AA1404" s="9"/>
      <c r="AB1404" s="9"/>
    </row>
    <row r="1405" spans="1:28" x14ac:dyDescent="0.3">
      <c r="A1405" s="96"/>
      <c r="B1405" s="96"/>
      <c r="C1405" s="96"/>
      <c r="D1405" s="96"/>
      <c r="E1405" s="103"/>
      <c r="F1405" s="96"/>
      <c r="G1405" s="96"/>
      <c r="H1405" s="96"/>
      <c r="I1405" s="96"/>
      <c r="J1405" s="96"/>
      <c r="L1405" s="96"/>
      <c r="M1405" s="96"/>
      <c r="P1405" s="96"/>
      <c r="Q1405" s="96"/>
      <c r="R1405" s="96"/>
      <c r="S1405" s="96"/>
      <c r="T1405" s="96"/>
      <c r="U1405" s="96"/>
      <c r="V1405" s="96"/>
      <c r="W1405" s="96"/>
      <c r="AA1405" s="7"/>
      <c r="AB1405" s="7"/>
    </row>
    <row r="1406" spans="1:28" x14ac:dyDescent="0.3">
      <c r="A1406" s="96"/>
      <c r="B1406" s="96"/>
      <c r="C1406" s="96"/>
      <c r="D1406" s="96"/>
      <c r="E1406" s="103"/>
      <c r="F1406" s="96"/>
      <c r="G1406" s="96"/>
      <c r="H1406" s="96"/>
      <c r="I1406" s="96"/>
      <c r="J1406" s="96"/>
      <c r="L1406" s="96"/>
      <c r="M1406" s="96"/>
      <c r="P1406" s="96"/>
      <c r="Q1406" s="96"/>
      <c r="R1406" s="96"/>
      <c r="S1406" s="96"/>
      <c r="T1406" s="96"/>
      <c r="U1406" s="96"/>
      <c r="V1406" s="96"/>
      <c r="W1406" s="96"/>
      <c r="AA1406" s="7"/>
      <c r="AB1406" s="7"/>
    </row>
    <row r="1407" spans="1:28" x14ac:dyDescent="0.3">
      <c r="A1407" s="96"/>
      <c r="B1407" s="96"/>
      <c r="C1407" s="96"/>
      <c r="D1407" s="96"/>
      <c r="E1407" s="103"/>
      <c r="F1407" s="96"/>
      <c r="G1407" s="96"/>
      <c r="H1407" s="96"/>
      <c r="I1407" s="96"/>
      <c r="J1407" s="96"/>
      <c r="L1407" s="96"/>
      <c r="M1407" s="96"/>
      <c r="P1407" s="96"/>
      <c r="Q1407" s="96"/>
      <c r="R1407" s="96"/>
      <c r="S1407" s="96"/>
      <c r="T1407" s="96"/>
      <c r="U1407" s="96"/>
      <c r="V1407" s="96"/>
      <c r="W1407" s="96"/>
      <c r="AA1407" s="105"/>
      <c r="AB1407" s="105"/>
    </row>
    <row r="1408" spans="1:28" x14ac:dyDescent="0.3">
      <c r="A1408" s="96"/>
      <c r="B1408" s="96"/>
      <c r="C1408" s="96"/>
      <c r="D1408" s="96"/>
      <c r="E1408" s="103"/>
      <c r="F1408" s="96"/>
      <c r="G1408" s="96"/>
      <c r="H1408" s="96"/>
      <c r="I1408" s="96"/>
      <c r="J1408" s="96"/>
      <c r="L1408" s="96"/>
      <c r="M1408" s="96"/>
      <c r="P1408" s="96"/>
      <c r="Q1408" s="96"/>
      <c r="R1408" s="96"/>
      <c r="S1408" s="96"/>
      <c r="T1408" s="96"/>
      <c r="U1408" s="96"/>
      <c r="V1408" s="96"/>
      <c r="W1408" s="96"/>
      <c r="AA1408" s="7"/>
      <c r="AB1408" s="7"/>
    </row>
    <row r="1409" spans="1:28" x14ac:dyDescent="0.3">
      <c r="A1409" s="96"/>
      <c r="B1409" s="96"/>
      <c r="C1409" s="96"/>
      <c r="D1409" s="96"/>
      <c r="E1409" s="103"/>
      <c r="F1409" s="96"/>
      <c r="G1409" s="96"/>
      <c r="H1409" s="96"/>
      <c r="I1409" s="96"/>
      <c r="J1409" s="96"/>
      <c r="L1409" s="96"/>
      <c r="M1409" s="96"/>
      <c r="P1409" s="96"/>
      <c r="Q1409" s="96"/>
      <c r="R1409" s="96"/>
      <c r="S1409" s="96"/>
      <c r="T1409" s="96"/>
      <c r="U1409" s="96"/>
      <c r="V1409" s="96"/>
      <c r="W1409" s="96"/>
    </row>
    <row r="1410" spans="1:28" x14ac:dyDescent="0.3">
      <c r="A1410" s="96"/>
      <c r="B1410" s="96"/>
      <c r="C1410" s="96"/>
      <c r="D1410" s="96"/>
      <c r="E1410" s="103"/>
      <c r="F1410" s="96"/>
      <c r="G1410" s="96"/>
      <c r="H1410" s="96"/>
      <c r="I1410" s="96"/>
      <c r="J1410" s="96"/>
      <c r="L1410" s="96"/>
      <c r="M1410" s="96"/>
      <c r="P1410" s="96"/>
      <c r="Q1410" s="96"/>
      <c r="R1410" s="96"/>
      <c r="S1410" s="96"/>
      <c r="T1410" s="96"/>
      <c r="U1410" s="96"/>
      <c r="V1410" s="96"/>
      <c r="W1410" s="96"/>
    </row>
    <row r="1411" spans="1:28" x14ac:dyDescent="0.3">
      <c r="A1411" s="96"/>
      <c r="B1411" s="96"/>
      <c r="C1411" s="96"/>
      <c r="D1411" s="96"/>
      <c r="E1411" s="103"/>
      <c r="F1411" s="96"/>
      <c r="G1411" s="96"/>
      <c r="H1411" s="96"/>
      <c r="I1411" s="96"/>
      <c r="J1411" s="96"/>
      <c r="L1411" s="96"/>
      <c r="M1411" s="96"/>
      <c r="P1411" s="96"/>
      <c r="Q1411" s="96"/>
      <c r="R1411" s="96"/>
      <c r="S1411" s="96"/>
      <c r="T1411" s="96"/>
      <c r="U1411" s="96"/>
      <c r="V1411" s="96"/>
      <c r="W1411" s="96"/>
    </row>
    <row r="1412" spans="1:28" x14ac:dyDescent="0.3">
      <c r="A1412" s="96"/>
      <c r="B1412" s="96"/>
      <c r="C1412" s="96"/>
      <c r="D1412" s="96"/>
      <c r="E1412" s="103"/>
      <c r="F1412" s="96"/>
      <c r="G1412" s="96"/>
      <c r="H1412" s="96"/>
      <c r="I1412" s="96"/>
      <c r="J1412" s="96"/>
      <c r="L1412" s="96"/>
      <c r="M1412" s="96"/>
      <c r="P1412" s="96"/>
      <c r="Q1412" s="96"/>
      <c r="R1412" s="96"/>
      <c r="S1412" s="96"/>
      <c r="T1412" s="96"/>
      <c r="U1412" s="96"/>
      <c r="V1412" s="96"/>
      <c r="W1412" s="96"/>
    </row>
    <row r="1413" spans="1:28" x14ac:dyDescent="0.3">
      <c r="A1413" s="96"/>
      <c r="B1413" s="96"/>
      <c r="C1413" s="96"/>
      <c r="D1413" s="96"/>
      <c r="E1413" s="103"/>
      <c r="F1413" s="96"/>
      <c r="G1413" s="96"/>
      <c r="H1413" s="96"/>
      <c r="I1413" s="96"/>
      <c r="J1413" s="96"/>
      <c r="L1413" s="96"/>
      <c r="M1413" s="96"/>
      <c r="P1413" s="96"/>
      <c r="Q1413" s="96"/>
      <c r="R1413" s="96"/>
      <c r="S1413" s="96"/>
      <c r="T1413" s="96"/>
      <c r="U1413" s="96"/>
      <c r="V1413" s="96"/>
      <c r="W1413" s="96"/>
    </row>
    <row r="1414" spans="1:28" x14ac:dyDescent="0.3">
      <c r="A1414" s="96"/>
      <c r="B1414" s="96"/>
      <c r="C1414" s="96"/>
      <c r="D1414" s="96"/>
      <c r="E1414" s="103"/>
      <c r="F1414" s="96"/>
      <c r="G1414" s="96"/>
      <c r="H1414" s="96"/>
      <c r="I1414" s="96"/>
      <c r="J1414" s="96"/>
      <c r="L1414" s="96"/>
      <c r="M1414" s="96"/>
      <c r="P1414" s="96"/>
      <c r="Q1414" s="96"/>
      <c r="R1414" s="96"/>
      <c r="S1414" s="96"/>
      <c r="T1414" s="96"/>
      <c r="U1414" s="96"/>
      <c r="V1414" s="96"/>
      <c r="W1414" s="96"/>
      <c r="AA1414" s="7"/>
      <c r="AB1414" s="7"/>
    </row>
    <row r="1415" spans="1:28" x14ac:dyDescent="0.3">
      <c r="A1415" s="96"/>
      <c r="B1415" s="96"/>
      <c r="C1415" s="96"/>
      <c r="D1415" s="96"/>
      <c r="E1415" s="103"/>
      <c r="F1415" s="96"/>
      <c r="G1415" s="96"/>
      <c r="H1415" s="96"/>
      <c r="I1415" s="96"/>
      <c r="J1415" s="96"/>
      <c r="L1415" s="96"/>
      <c r="M1415" s="96"/>
      <c r="P1415" s="96"/>
      <c r="Q1415" s="96"/>
      <c r="R1415" s="96"/>
      <c r="S1415" s="96"/>
      <c r="T1415" s="96"/>
      <c r="U1415" s="96"/>
      <c r="V1415" s="96"/>
      <c r="W1415" s="96"/>
      <c r="AA1415" s="7"/>
      <c r="AB1415" s="7"/>
    </row>
    <row r="1416" spans="1:28" x14ac:dyDescent="0.3">
      <c r="A1416" s="96"/>
      <c r="B1416" s="96"/>
      <c r="C1416" s="96"/>
      <c r="D1416" s="96"/>
      <c r="E1416" s="103"/>
      <c r="F1416" s="96"/>
      <c r="G1416" s="96"/>
      <c r="H1416" s="96"/>
      <c r="I1416" s="96"/>
      <c r="J1416" s="96"/>
      <c r="L1416" s="96"/>
      <c r="M1416" s="96"/>
      <c r="P1416" s="96"/>
      <c r="Q1416" s="96"/>
      <c r="R1416" s="96"/>
      <c r="S1416" s="96"/>
      <c r="T1416" s="96"/>
      <c r="U1416" s="96"/>
      <c r="V1416" s="96"/>
      <c r="W1416" s="96"/>
      <c r="AA1416" s="7"/>
      <c r="AB1416" s="7"/>
    </row>
    <row r="1417" spans="1:28" x14ac:dyDescent="0.3">
      <c r="A1417" s="96"/>
      <c r="B1417" s="96"/>
      <c r="C1417" s="96"/>
      <c r="D1417" s="96"/>
      <c r="E1417" s="103"/>
      <c r="F1417" s="96"/>
      <c r="G1417" s="96"/>
      <c r="H1417" s="96"/>
      <c r="I1417" s="96"/>
      <c r="J1417" s="96"/>
      <c r="L1417" s="96"/>
      <c r="M1417" s="96"/>
      <c r="P1417" s="96"/>
      <c r="Q1417" s="96"/>
      <c r="R1417" s="96"/>
      <c r="S1417" s="96"/>
      <c r="T1417" s="96"/>
      <c r="U1417" s="96"/>
      <c r="V1417" s="96"/>
      <c r="W1417" s="96"/>
    </row>
    <row r="1418" spans="1:28" x14ac:dyDescent="0.3">
      <c r="A1418" s="96"/>
      <c r="B1418" s="96"/>
      <c r="C1418" s="96"/>
      <c r="D1418" s="96"/>
      <c r="E1418" s="103"/>
      <c r="F1418" s="96"/>
      <c r="G1418" s="96"/>
      <c r="H1418" s="96"/>
      <c r="I1418" s="96"/>
      <c r="J1418" s="96"/>
      <c r="L1418" s="96"/>
      <c r="M1418" s="96"/>
      <c r="P1418" s="96"/>
      <c r="Q1418" s="96"/>
      <c r="R1418" s="96"/>
      <c r="S1418" s="96"/>
      <c r="T1418" s="96"/>
      <c r="U1418" s="96"/>
      <c r="V1418" s="96"/>
      <c r="W1418" s="96"/>
    </row>
    <row r="1419" spans="1:28" x14ac:dyDescent="0.3">
      <c r="A1419" s="96"/>
      <c r="B1419" s="96"/>
      <c r="C1419" s="96"/>
      <c r="D1419" s="96"/>
      <c r="E1419" s="103"/>
      <c r="F1419" s="96"/>
      <c r="G1419" s="96"/>
      <c r="H1419" s="96"/>
      <c r="I1419" s="96"/>
      <c r="J1419" s="96"/>
      <c r="L1419" s="96"/>
      <c r="M1419" s="96"/>
      <c r="P1419" s="96"/>
      <c r="Q1419" s="96"/>
      <c r="R1419" s="96"/>
      <c r="S1419" s="96"/>
      <c r="T1419" s="96"/>
      <c r="U1419" s="96"/>
      <c r="V1419" s="96"/>
      <c r="W1419" s="96"/>
    </row>
    <row r="1420" spans="1:28" x14ac:dyDescent="0.3">
      <c r="A1420" s="96"/>
      <c r="B1420" s="96"/>
      <c r="C1420" s="96"/>
      <c r="D1420" s="96"/>
      <c r="E1420" s="103"/>
      <c r="F1420" s="96"/>
      <c r="G1420" s="96"/>
      <c r="H1420" s="96"/>
      <c r="I1420" s="96"/>
      <c r="J1420" s="96"/>
      <c r="L1420" s="96"/>
      <c r="M1420" s="96"/>
      <c r="P1420" s="96"/>
      <c r="Q1420" s="96"/>
      <c r="R1420" s="96"/>
      <c r="S1420" s="96"/>
      <c r="T1420" s="96"/>
      <c r="U1420" s="96"/>
      <c r="V1420" s="96"/>
      <c r="W1420" s="96"/>
    </row>
    <row r="1421" spans="1:28" x14ac:dyDescent="0.3">
      <c r="A1421" s="96"/>
      <c r="B1421" s="96"/>
      <c r="C1421" s="96"/>
      <c r="D1421" s="96"/>
      <c r="E1421" s="103"/>
      <c r="F1421" s="96"/>
      <c r="G1421" s="96"/>
      <c r="H1421" s="96"/>
      <c r="I1421" s="96"/>
      <c r="J1421" s="96"/>
      <c r="L1421" s="96"/>
      <c r="M1421" s="96"/>
      <c r="P1421" s="96"/>
      <c r="Q1421" s="96"/>
      <c r="R1421" s="96"/>
      <c r="S1421" s="96"/>
      <c r="T1421" s="96"/>
      <c r="U1421" s="96"/>
      <c r="V1421" s="96"/>
      <c r="W1421" s="96"/>
    </row>
    <row r="1422" spans="1:28" x14ac:dyDescent="0.3">
      <c r="A1422" s="96"/>
      <c r="B1422" s="96"/>
      <c r="C1422" s="96"/>
      <c r="D1422" s="96"/>
      <c r="E1422" s="103"/>
      <c r="F1422" s="96"/>
      <c r="G1422" s="96"/>
      <c r="H1422" s="96"/>
      <c r="I1422" s="96"/>
      <c r="J1422" s="96"/>
      <c r="L1422" s="96"/>
      <c r="M1422" s="96"/>
      <c r="P1422" s="96"/>
      <c r="Q1422" s="96"/>
      <c r="R1422" s="96"/>
      <c r="S1422" s="96"/>
      <c r="T1422" s="96"/>
      <c r="U1422" s="96"/>
      <c r="V1422" s="96"/>
      <c r="W1422" s="96"/>
      <c r="AA1422" s="7"/>
      <c r="AB1422" s="7"/>
    </row>
    <row r="1423" spans="1:28" x14ac:dyDescent="0.3">
      <c r="A1423" s="96"/>
      <c r="B1423" s="96"/>
      <c r="C1423" s="96"/>
      <c r="D1423" s="96"/>
      <c r="E1423" s="103"/>
      <c r="F1423" s="96"/>
      <c r="G1423" s="96"/>
      <c r="H1423" s="96"/>
      <c r="I1423" s="96"/>
      <c r="J1423" s="96"/>
      <c r="L1423" s="96"/>
      <c r="M1423" s="96"/>
      <c r="P1423" s="96"/>
      <c r="Q1423" s="96"/>
      <c r="R1423" s="96"/>
      <c r="S1423" s="96"/>
      <c r="T1423" s="96"/>
      <c r="U1423" s="96"/>
      <c r="V1423" s="96"/>
      <c r="W1423" s="96"/>
      <c r="AA1423" s="7"/>
      <c r="AB1423" s="7"/>
    </row>
    <row r="1424" spans="1:28" x14ac:dyDescent="0.3">
      <c r="A1424" s="96"/>
      <c r="B1424" s="96"/>
      <c r="C1424" s="96"/>
      <c r="D1424" s="96"/>
      <c r="E1424" s="103"/>
      <c r="F1424" s="96"/>
      <c r="G1424" s="96"/>
      <c r="H1424" s="96"/>
      <c r="I1424" s="96"/>
      <c r="J1424" s="96"/>
      <c r="L1424" s="96"/>
      <c r="M1424" s="96"/>
      <c r="P1424" s="96"/>
      <c r="Q1424" s="96"/>
      <c r="R1424" s="96"/>
      <c r="S1424" s="96"/>
      <c r="T1424" s="96"/>
      <c r="U1424" s="96"/>
      <c r="V1424" s="96"/>
      <c r="W1424" s="96"/>
      <c r="AA1424" s="7"/>
      <c r="AB1424" s="7"/>
    </row>
    <row r="1425" spans="1:23" x14ac:dyDescent="0.3">
      <c r="A1425" s="96"/>
      <c r="B1425" s="96"/>
      <c r="C1425" s="96"/>
      <c r="D1425" s="96"/>
      <c r="E1425" s="103"/>
      <c r="F1425" s="96"/>
      <c r="G1425" s="96"/>
      <c r="H1425" s="96"/>
      <c r="I1425" s="96"/>
      <c r="J1425" s="96"/>
      <c r="L1425" s="96"/>
      <c r="M1425" s="96"/>
      <c r="P1425" s="96"/>
      <c r="Q1425" s="96"/>
      <c r="R1425" s="96"/>
      <c r="S1425" s="96"/>
      <c r="T1425" s="96"/>
      <c r="U1425" s="96"/>
      <c r="V1425" s="96"/>
      <c r="W1425" s="96"/>
    </row>
    <row r="1426" spans="1:23" x14ac:dyDescent="0.3">
      <c r="A1426" s="96"/>
      <c r="B1426" s="96"/>
      <c r="C1426" s="96"/>
      <c r="D1426" s="96"/>
      <c r="E1426" s="103"/>
      <c r="F1426" s="96"/>
      <c r="G1426" s="96"/>
      <c r="H1426" s="96"/>
      <c r="I1426" s="96"/>
      <c r="J1426" s="96"/>
      <c r="L1426" s="96"/>
      <c r="M1426" s="96"/>
      <c r="P1426" s="96"/>
      <c r="Q1426" s="96"/>
      <c r="R1426" s="96"/>
      <c r="S1426" s="96"/>
      <c r="T1426" s="96"/>
      <c r="U1426" s="96"/>
      <c r="V1426" s="96"/>
      <c r="W1426" s="96"/>
    </row>
    <row r="1427" spans="1:23" x14ac:dyDescent="0.3">
      <c r="A1427" s="96"/>
      <c r="B1427" s="96"/>
      <c r="C1427" s="96"/>
      <c r="D1427" s="96"/>
      <c r="E1427" s="103"/>
      <c r="F1427" s="96"/>
      <c r="G1427" s="96"/>
      <c r="H1427" s="96"/>
      <c r="I1427" s="96"/>
      <c r="J1427" s="96"/>
      <c r="L1427" s="96"/>
      <c r="M1427" s="96"/>
      <c r="P1427" s="96"/>
      <c r="Q1427" s="96"/>
      <c r="R1427" s="96"/>
      <c r="S1427" s="96"/>
      <c r="T1427" s="96"/>
      <c r="U1427" s="96"/>
      <c r="V1427" s="96"/>
      <c r="W1427" s="96"/>
    </row>
    <row r="1428" spans="1:23" x14ac:dyDescent="0.3">
      <c r="A1428" s="96"/>
      <c r="B1428" s="96"/>
      <c r="C1428" s="96"/>
      <c r="D1428" s="96"/>
      <c r="E1428" s="103"/>
      <c r="F1428" s="96"/>
      <c r="G1428" s="96"/>
      <c r="H1428" s="96"/>
      <c r="I1428" s="96"/>
      <c r="J1428" s="96"/>
      <c r="L1428" s="96"/>
      <c r="M1428" s="96"/>
      <c r="P1428" s="96"/>
      <c r="Q1428" s="96"/>
      <c r="R1428" s="96"/>
      <c r="S1428" s="96"/>
      <c r="T1428" s="96"/>
      <c r="U1428" s="96"/>
      <c r="V1428" s="96"/>
      <c r="W1428" s="96"/>
    </row>
    <row r="1429" spans="1:23" x14ac:dyDescent="0.3">
      <c r="A1429" s="96"/>
      <c r="B1429" s="96"/>
      <c r="C1429" s="96"/>
      <c r="D1429" s="96"/>
      <c r="E1429" s="103"/>
      <c r="F1429" s="96"/>
      <c r="G1429" s="96"/>
      <c r="H1429" s="96"/>
      <c r="I1429" s="96"/>
      <c r="J1429" s="96"/>
      <c r="L1429" s="96"/>
      <c r="M1429" s="96"/>
      <c r="P1429" s="96"/>
      <c r="Q1429" s="96"/>
      <c r="R1429" s="96"/>
      <c r="S1429" s="96"/>
      <c r="T1429" s="96"/>
      <c r="U1429" s="96"/>
      <c r="V1429" s="96"/>
      <c r="W1429" s="96"/>
    </row>
    <row r="1430" spans="1:23" x14ac:dyDescent="0.3">
      <c r="A1430" s="96"/>
      <c r="B1430" s="96"/>
      <c r="C1430" s="96"/>
      <c r="D1430" s="96"/>
      <c r="E1430" s="103"/>
      <c r="F1430" s="96"/>
      <c r="G1430" s="96"/>
      <c r="H1430" s="96"/>
      <c r="I1430" s="96"/>
      <c r="J1430" s="96"/>
      <c r="L1430" s="96"/>
      <c r="M1430" s="96"/>
      <c r="P1430" s="96"/>
      <c r="Q1430" s="96"/>
      <c r="R1430" s="96"/>
      <c r="S1430" s="96"/>
      <c r="T1430" s="96"/>
      <c r="U1430" s="96"/>
      <c r="V1430" s="96"/>
      <c r="W1430" s="96"/>
    </row>
    <row r="1431" spans="1:23" x14ac:dyDescent="0.3">
      <c r="A1431" s="96"/>
      <c r="B1431" s="96"/>
      <c r="C1431" s="96"/>
      <c r="D1431" s="96"/>
      <c r="E1431" s="103"/>
      <c r="F1431" s="96"/>
      <c r="G1431" s="96"/>
      <c r="H1431" s="96"/>
      <c r="I1431" s="96"/>
      <c r="J1431" s="96"/>
      <c r="L1431" s="96"/>
      <c r="M1431" s="96"/>
      <c r="P1431" s="96"/>
      <c r="Q1431" s="96"/>
      <c r="R1431" s="96"/>
      <c r="S1431" s="96"/>
      <c r="T1431" s="96"/>
      <c r="U1431" s="96"/>
      <c r="V1431" s="96"/>
      <c r="W1431" s="96"/>
    </row>
    <row r="1432" spans="1:23" x14ac:dyDescent="0.3">
      <c r="A1432" s="96"/>
      <c r="B1432" s="96"/>
      <c r="C1432" s="96"/>
      <c r="D1432" s="96"/>
      <c r="E1432" s="103"/>
      <c r="F1432" s="96"/>
      <c r="G1432" s="96"/>
      <c r="H1432" s="96"/>
      <c r="I1432" s="96"/>
      <c r="J1432" s="96"/>
      <c r="L1432" s="96"/>
      <c r="M1432" s="96"/>
      <c r="P1432" s="96"/>
      <c r="Q1432" s="96"/>
      <c r="R1432" s="96"/>
      <c r="S1432" s="96"/>
      <c r="T1432" s="96"/>
      <c r="U1432" s="96"/>
      <c r="V1432" s="96"/>
      <c r="W1432" s="96"/>
    </row>
    <row r="1433" spans="1:23" x14ac:dyDescent="0.3">
      <c r="A1433" s="96"/>
      <c r="B1433" s="96"/>
      <c r="C1433" s="96"/>
      <c r="D1433" s="96"/>
      <c r="E1433" s="103"/>
      <c r="F1433" s="96"/>
      <c r="G1433" s="96"/>
      <c r="H1433" s="96"/>
      <c r="I1433" s="96"/>
      <c r="J1433" s="96"/>
      <c r="L1433" s="96"/>
      <c r="M1433" s="96"/>
      <c r="P1433" s="96"/>
      <c r="Q1433" s="96"/>
      <c r="R1433" s="96"/>
      <c r="S1433" s="96"/>
      <c r="T1433" s="96"/>
      <c r="U1433" s="96"/>
      <c r="V1433" s="96"/>
      <c r="W1433" s="96"/>
    </row>
    <row r="1434" spans="1:23" x14ac:dyDescent="0.3">
      <c r="A1434" s="96"/>
      <c r="B1434" s="96"/>
      <c r="C1434" s="96"/>
      <c r="D1434" s="96"/>
      <c r="E1434" s="103"/>
      <c r="F1434" s="96"/>
      <c r="G1434" s="96"/>
      <c r="H1434" s="96"/>
      <c r="I1434" s="96"/>
      <c r="J1434" s="96"/>
      <c r="L1434" s="96"/>
      <c r="M1434" s="96"/>
      <c r="P1434" s="96"/>
      <c r="Q1434" s="96"/>
      <c r="R1434" s="96"/>
      <c r="S1434" s="96"/>
      <c r="T1434" s="96"/>
      <c r="U1434" s="96"/>
      <c r="V1434" s="96"/>
      <c r="W1434" s="96"/>
    </row>
    <row r="1435" spans="1:23" x14ac:dyDescent="0.3">
      <c r="A1435" s="96"/>
      <c r="B1435" s="96"/>
      <c r="C1435" s="96"/>
      <c r="D1435" s="96"/>
      <c r="E1435" s="103"/>
      <c r="F1435" s="96"/>
      <c r="G1435" s="96"/>
      <c r="H1435" s="96"/>
      <c r="I1435" s="96"/>
      <c r="J1435" s="96"/>
      <c r="L1435" s="96"/>
      <c r="M1435" s="96"/>
      <c r="P1435" s="96"/>
      <c r="Q1435" s="96"/>
      <c r="R1435" s="96"/>
      <c r="S1435" s="96"/>
      <c r="T1435" s="96"/>
      <c r="U1435" s="96"/>
      <c r="V1435" s="96"/>
      <c r="W1435" s="96"/>
    </row>
    <row r="1436" spans="1:23" x14ac:dyDescent="0.3">
      <c r="A1436" s="96"/>
      <c r="B1436" s="96"/>
      <c r="C1436" s="96"/>
      <c r="D1436" s="96"/>
      <c r="E1436" s="103"/>
      <c r="F1436" s="96"/>
      <c r="G1436" s="96"/>
      <c r="H1436" s="96"/>
      <c r="I1436" s="96"/>
      <c r="J1436" s="96"/>
      <c r="L1436" s="96"/>
      <c r="M1436" s="96"/>
      <c r="P1436" s="96"/>
      <c r="Q1436" s="96"/>
      <c r="R1436" s="96"/>
      <c r="S1436" s="96"/>
      <c r="T1436" s="96"/>
      <c r="U1436" s="96"/>
      <c r="V1436" s="96"/>
      <c r="W1436" s="96"/>
    </row>
    <row r="1437" spans="1:23" x14ac:dyDescent="0.3">
      <c r="A1437" s="96"/>
      <c r="B1437" s="96"/>
      <c r="C1437" s="96"/>
      <c r="D1437" s="96"/>
      <c r="E1437" s="103"/>
      <c r="F1437" s="96"/>
      <c r="G1437" s="96"/>
      <c r="H1437" s="96"/>
      <c r="I1437" s="96"/>
      <c r="J1437" s="96"/>
      <c r="L1437" s="96"/>
      <c r="M1437" s="96"/>
      <c r="P1437" s="96"/>
      <c r="Q1437" s="96"/>
      <c r="R1437" s="96"/>
      <c r="S1437" s="96"/>
      <c r="T1437" s="96"/>
      <c r="U1437" s="96"/>
      <c r="V1437" s="96"/>
      <c r="W1437" s="96"/>
    </row>
    <row r="1438" spans="1:23" x14ac:dyDescent="0.3">
      <c r="A1438" s="96"/>
      <c r="B1438" s="96"/>
      <c r="C1438" s="96"/>
      <c r="D1438" s="96"/>
      <c r="E1438" s="103"/>
      <c r="F1438" s="96"/>
      <c r="G1438" s="96"/>
      <c r="H1438" s="96"/>
      <c r="I1438" s="96"/>
      <c r="J1438" s="96"/>
      <c r="L1438" s="96"/>
      <c r="M1438" s="96"/>
      <c r="P1438" s="96"/>
      <c r="Q1438" s="96"/>
      <c r="R1438" s="96"/>
      <c r="S1438" s="96"/>
      <c r="T1438" s="96"/>
      <c r="U1438" s="96"/>
      <c r="V1438" s="96"/>
      <c r="W1438" s="96"/>
    </row>
    <row r="1439" spans="1:23" x14ac:dyDescent="0.3">
      <c r="A1439" s="96"/>
      <c r="B1439" s="96"/>
      <c r="C1439" s="96"/>
      <c r="D1439" s="96"/>
      <c r="E1439" s="103"/>
      <c r="F1439" s="96"/>
      <c r="G1439" s="96"/>
      <c r="H1439" s="96"/>
      <c r="I1439" s="96"/>
      <c r="J1439" s="96"/>
      <c r="L1439" s="96"/>
      <c r="M1439" s="96"/>
      <c r="P1439" s="96"/>
      <c r="Q1439" s="96"/>
      <c r="R1439" s="96"/>
      <c r="S1439" s="96"/>
      <c r="T1439" s="96"/>
      <c r="U1439" s="96"/>
      <c r="V1439" s="96"/>
      <c r="W1439" s="96"/>
    </row>
    <row r="1440" spans="1:23" x14ac:dyDescent="0.3">
      <c r="A1440" s="96"/>
      <c r="B1440" s="96"/>
      <c r="C1440" s="96"/>
      <c r="D1440" s="96"/>
      <c r="E1440" s="103"/>
      <c r="F1440" s="96"/>
      <c r="G1440" s="96"/>
      <c r="H1440" s="96"/>
      <c r="I1440" s="96"/>
      <c r="J1440" s="96"/>
      <c r="L1440" s="96"/>
      <c r="M1440" s="96"/>
      <c r="P1440" s="96"/>
      <c r="Q1440" s="96"/>
      <c r="R1440" s="96"/>
      <c r="S1440" s="96"/>
      <c r="T1440" s="96"/>
      <c r="U1440" s="96"/>
      <c r="V1440" s="96"/>
      <c r="W1440" s="96"/>
    </row>
    <row r="1441" spans="1:23" x14ac:dyDescent="0.3">
      <c r="A1441" s="96"/>
      <c r="B1441" s="96"/>
      <c r="C1441" s="96"/>
      <c r="D1441" s="96"/>
      <c r="E1441" s="103"/>
      <c r="F1441" s="96"/>
      <c r="G1441" s="96"/>
      <c r="H1441" s="96"/>
      <c r="I1441" s="96"/>
      <c r="J1441" s="96"/>
      <c r="L1441" s="96"/>
      <c r="M1441" s="96"/>
      <c r="P1441" s="96"/>
      <c r="Q1441" s="96"/>
      <c r="R1441" s="96"/>
      <c r="S1441" s="96"/>
      <c r="T1441" s="96"/>
      <c r="U1441" s="96"/>
      <c r="V1441" s="96"/>
      <c r="W1441" s="96"/>
    </row>
    <row r="1442" spans="1:23" x14ac:dyDescent="0.3">
      <c r="A1442" s="96"/>
      <c r="B1442" s="96"/>
      <c r="C1442" s="96"/>
      <c r="D1442" s="96"/>
      <c r="E1442" s="103"/>
      <c r="F1442" s="96"/>
      <c r="G1442" s="96"/>
      <c r="H1442" s="96"/>
      <c r="I1442" s="96"/>
      <c r="J1442" s="96"/>
      <c r="L1442" s="96"/>
      <c r="M1442" s="96"/>
      <c r="P1442" s="96"/>
      <c r="Q1442" s="96"/>
      <c r="R1442" s="96"/>
      <c r="S1442" s="96"/>
      <c r="T1442" s="96"/>
      <c r="U1442" s="96"/>
      <c r="V1442" s="96"/>
      <c r="W1442" s="96"/>
    </row>
    <row r="1443" spans="1:23" x14ac:dyDescent="0.3">
      <c r="A1443" s="96"/>
      <c r="B1443" s="96"/>
      <c r="C1443" s="96"/>
      <c r="D1443" s="96"/>
      <c r="E1443" s="103"/>
      <c r="F1443" s="96"/>
      <c r="G1443" s="96"/>
      <c r="H1443" s="96"/>
      <c r="I1443" s="96"/>
      <c r="J1443" s="96"/>
      <c r="L1443" s="96"/>
      <c r="M1443" s="96"/>
      <c r="P1443" s="96"/>
      <c r="Q1443" s="96"/>
      <c r="R1443" s="96"/>
      <c r="S1443" s="96"/>
      <c r="T1443" s="96"/>
      <c r="U1443" s="96"/>
      <c r="V1443" s="96"/>
      <c r="W1443" s="96"/>
    </row>
    <row r="1444" spans="1:23" x14ac:dyDescent="0.3">
      <c r="A1444" s="96"/>
      <c r="B1444" s="96"/>
      <c r="C1444" s="96"/>
      <c r="D1444" s="96"/>
      <c r="E1444" s="103"/>
      <c r="F1444" s="96"/>
      <c r="G1444" s="96"/>
      <c r="H1444" s="96"/>
      <c r="I1444" s="96"/>
      <c r="J1444" s="96"/>
      <c r="L1444" s="96"/>
      <c r="M1444" s="96"/>
      <c r="P1444" s="96"/>
      <c r="Q1444" s="96"/>
      <c r="R1444" s="96"/>
      <c r="S1444" s="96"/>
      <c r="T1444" s="96"/>
      <c r="U1444" s="96"/>
      <c r="V1444" s="96"/>
      <c r="W1444" s="96"/>
    </row>
    <row r="1445" spans="1:23" x14ac:dyDescent="0.3">
      <c r="A1445" s="96"/>
      <c r="B1445" s="96"/>
      <c r="C1445" s="96"/>
      <c r="D1445" s="96"/>
      <c r="E1445" s="103"/>
      <c r="F1445" s="96"/>
      <c r="G1445" s="96"/>
      <c r="H1445" s="96"/>
      <c r="I1445" s="96"/>
      <c r="J1445" s="96"/>
      <c r="L1445" s="96"/>
      <c r="M1445" s="96"/>
      <c r="P1445" s="96"/>
      <c r="Q1445" s="96"/>
      <c r="R1445" s="96"/>
      <c r="S1445" s="96"/>
      <c r="T1445" s="96"/>
      <c r="U1445" s="96"/>
      <c r="V1445" s="96"/>
      <c r="W1445" s="96"/>
    </row>
    <row r="1446" spans="1:23" x14ac:dyDescent="0.3">
      <c r="A1446" s="96"/>
      <c r="B1446" s="96"/>
      <c r="C1446" s="96"/>
      <c r="D1446" s="96"/>
      <c r="E1446" s="103"/>
      <c r="F1446" s="96"/>
      <c r="G1446" s="96"/>
      <c r="H1446" s="96"/>
      <c r="I1446" s="96"/>
      <c r="J1446" s="96"/>
      <c r="L1446" s="96"/>
      <c r="M1446" s="96"/>
      <c r="P1446" s="96"/>
      <c r="Q1446" s="96"/>
      <c r="R1446" s="96"/>
      <c r="S1446" s="96"/>
      <c r="T1446" s="96"/>
      <c r="U1446" s="96"/>
      <c r="V1446" s="96"/>
      <c r="W1446" s="96"/>
    </row>
    <row r="1447" spans="1:23" x14ac:dyDescent="0.3">
      <c r="A1447" s="96"/>
      <c r="B1447" s="96"/>
      <c r="C1447" s="96"/>
      <c r="D1447" s="96"/>
      <c r="E1447" s="103"/>
      <c r="F1447" s="96"/>
      <c r="G1447" s="96"/>
      <c r="H1447" s="96"/>
      <c r="I1447" s="96"/>
      <c r="J1447" s="96"/>
      <c r="L1447" s="96"/>
      <c r="M1447" s="96"/>
      <c r="P1447" s="96"/>
      <c r="Q1447" s="96"/>
      <c r="R1447" s="96"/>
      <c r="S1447" s="96"/>
      <c r="T1447" s="96"/>
      <c r="U1447" s="96"/>
      <c r="V1447" s="96"/>
      <c r="W1447" s="96"/>
    </row>
    <row r="1448" spans="1:23" x14ac:dyDescent="0.3">
      <c r="A1448" s="96"/>
      <c r="B1448" s="96"/>
      <c r="C1448" s="96"/>
      <c r="D1448" s="96"/>
      <c r="E1448" s="103"/>
      <c r="F1448" s="96"/>
      <c r="G1448" s="96"/>
      <c r="H1448" s="96"/>
      <c r="I1448" s="96"/>
      <c r="J1448" s="96"/>
      <c r="L1448" s="96"/>
      <c r="M1448" s="96"/>
      <c r="P1448" s="96"/>
      <c r="Q1448" s="96"/>
      <c r="R1448" s="96"/>
      <c r="S1448" s="96"/>
      <c r="T1448" s="96"/>
      <c r="U1448" s="96"/>
      <c r="V1448" s="96"/>
      <c r="W1448" s="96"/>
    </row>
    <row r="1449" spans="1:23" x14ac:dyDescent="0.3">
      <c r="A1449" s="96"/>
      <c r="B1449" s="96"/>
      <c r="C1449" s="96"/>
      <c r="D1449" s="96"/>
      <c r="E1449" s="103"/>
      <c r="F1449" s="96"/>
      <c r="G1449" s="96"/>
      <c r="H1449" s="96"/>
      <c r="I1449" s="96"/>
      <c r="J1449" s="96"/>
      <c r="L1449" s="96"/>
      <c r="M1449" s="96"/>
      <c r="P1449" s="96"/>
      <c r="Q1449" s="96"/>
      <c r="R1449" s="96"/>
      <c r="S1449" s="96"/>
      <c r="T1449" s="96"/>
      <c r="U1449" s="96"/>
      <c r="V1449" s="96"/>
      <c r="W1449" s="96"/>
    </row>
    <row r="1450" spans="1:23" x14ac:dyDescent="0.3">
      <c r="A1450" s="96"/>
      <c r="B1450" s="96"/>
      <c r="C1450" s="96"/>
      <c r="D1450" s="96"/>
      <c r="E1450" s="103"/>
      <c r="F1450" s="96"/>
      <c r="G1450" s="96"/>
      <c r="H1450" s="96"/>
      <c r="I1450" s="96"/>
      <c r="J1450" s="96"/>
      <c r="L1450" s="96"/>
      <c r="M1450" s="96"/>
      <c r="P1450" s="96"/>
      <c r="Q1450" s="96"/>
      <c r="R1450" s="96"/>
      <c r="S1450" s="96"/>
      <c r="T1450" s="96"/>
      <c r="U1450" s="96"/>
      <c r="V1450" s="96"/>
      <c r="W1450" s="96"/>
    </row>
    <row r="1451" spans="1:23" x14ac:dyDescent="0.3">
      <c r="A1451" s="96"/>
      <c r="B1451" s="96"/>
      <c r="C1451" s="96"/>
      <c r="D1451" s="96"/>
      <c r="E1451" s="103"/>
      <c r="F1451" s="96"/>
      <c r="G1451" s="96"/>
      <c r="H1451" s="96"/>
      <c r="I1451" s="96"/>
      <c r="J1451" s="96"/>
      <c r="L1451" s="96"/>
      <c r="M1451" s="96"/>
      <c r="P1451" s="96"/>
      <c r="Q1451" s="96"/>
      <c r="R1451" s="96"/>
      <c r="S1451" s="96"/>
      <c r="T1451" s="96"/>
      <c r="U1451" s="96"/>
      <c r="V1451" s="96"/>
      <c r="W1451" s="96"/>
    </row>
    <row r="1452" spans="1:23" x14ac:dyDescent="0.3">
      <c r="A1452" s="96"/>
      <c r="B1452" s="96"/>
      <c r="C1452" s="96"/>
      <c r="D1452" s="96"/>
      <c r="E1452" s="103"/>
      <c r="F1452" s="96"/>
      <c r="G1452" s="96"/>
      <c r="H1452" s="96"/>
      <c r="I1452" s="96"/>
      <c r="J1452" s="96"/>
      <c r="L1452" s="96"/>
      <c r="M1452" s="96"/>
      <c r="P1452" s="96"/>
      <c r="Q1452" s="96"/>
      <c r="R1452" s="96"/>
      <c r="S1452" s="96"/>
      <c r="T1452" s="96"/>
      <c r="U1452" s="96"/>
      <c r="V1452" s="96"/>
      <c r="W1452" s="96"/>
    </row>
    <row r="1453" spans="1:23" x14ac:dyDescent="0.3">
      <c r="A1453" s="96"/>
      <c r="B1453" s="96"/>
      <c r="C1453" s="96"/>
      <c r="D1453" s="96"/>
      <c r="E1453" s="103"/>
      <c r="F1453" s="96"/>
      <c r="G1453" s="96"/>
      <c r="H1453" s="96"/>
      <c r="I1453" s="96"/>
      <c r="J1453" s="96"/>
      <c r="L1453" s="96"/>
      <c r="M1453" s="96"/>
      <c r="P1453" s="96"/>
      <c r="Q1453" s="96"/>
      <c r="R1453" s="96"/>
      <c r="S1453" s="96"/>
      <c r="T1453" s="96"/>
      <c r="U1453" s="96"/>
      <c r="V1453" s="96"/>
      <c r="W1453" s="96"/>
    </row>
    <row r="1454" spans="1:23" x14ac:dyDescent="0.3">
      <c r="A1454" s="96"/>
      <c r="B1454" s="96"/>
      <c r="C1454" s="96"/>
      <c r="D1454" s="96"/>
      <c r="E1454" s="103"/>
      <c r="F1454" s="96"/>
      <c r="G1454" s="96"/>
      <c r="H1454" s="96"/>
      <c r="I1454" s="96"/>
      <c r="J1454" s="96"/>
      <c r="L1454" s="96"/>
      <c r="M1454" s="96"/>
      <c r="P1454" s="96"/>
      <c r="Q1454" s="96"/>
      <c r="R1454" s="96"/>
      <c r="S1454" s="96"/>
      <c r="T1454" s="96"/>
      <c r="U1454" s="96"/>
      <c r="V1454" s="96"/>
      <c r="W1454" s="96"/>
    </row>
    <row r="1455" spans="1:23" x14ac:dyDescent="0.3">
      <c r="A1455" s="96"/>
      <c r="B1455" s="96"/>
      <c r="C1455" s="96"/>
      <c r="D1455" s="96"/>
      <c r="E1455" s="103"/>
      <c r="F1455" s="96"/>
      <c r="G1455" s="96"/>
      <c r="H1455" s="96"/>
      <c r="I1455" s="96"/>
      <c r="J1455" s="96"/>
      <c r="L1455" s="96"/>
      <c r="M1455" s="96"/>
      <c r="P1455" s="96"/>
      <c r="Q1455" s="96"/>
      <c r="R1455" s="96"/>
      <c r="S1455" s="96"/>
      <c r="T1455" s="96"/>
      <c r="U1455" s="96"/>
      <c r="V1455" s="96"/>
      <c r="W1455" s="96"/>
    </row>
    <row r="1456" spans="1:23" x14ac:dyDescent="0.3">
      <c r="A1456" s="96"/>
      <c r="B1456" s="96"/>
      <c r="C1456" s="96"/>
      <c r="D1456" s="96"/>
      <c r="E1456" s="103"/>
      <c r="F1456" s="96"/>
      <c r="G1456" s="96"/>
      <c r="H1456" s="96"/>
      <c r="I1456" s="96"/>
      <c r="J1456" s="96"/>
      <c r="L1456" s="96"/>
      <c r="M1456" s="96"/>
      <c r="P1456" s="96"/>
      <c r="Q1456" s="96"/>
      <c r="R1456" s="96"/>
      <c r="S1456" s="96"/>
      <c r="T1456" s="96"/>
      <c r="U1456" s="96"/>
      <c r="V1456" s="96"/>
      <c r="W1456" s="96"/>
    </row>
    <row r="1457" spans="1:23" x14ac:dyDescent="0.3">
      <c r="A1457" s="96"/>
      <c r="B1457" s="96"/>
      <c r="C1457" s="96"/>
      <c r="D1457" s="96"/>
      <c r="E1457" s="103"/>
      <c r="F1457" s="96"/>
      <c r="G1457" s="96"/>
      <c r="H1457" s="96"/>
      <c r="I1457" s="96"/>
      <c r="J1457" s="96"/>
      <c r="L1457" s="96"/>
      <c r="M1457" s="96"/>
      <c r="P1457" s="96"/>
      <c r="Q1457" s="96"/>
      <c r="R1457" s="96"/>
      <c r="S1457" s="96"/>
      <c r="T1457" s="96"/>
      <c r="U1457" s="96"/>
      <c r="V1457" s="96"/>
      <c r="W1457" s="96"/>
    </row>
    <row r="1458" spans="1:23" x14ac:dyDescent="0.3">
      <c r="A1458" s="96"/>
      <c r="B1458" s="96"/>
      <c r="C1458" s="96"/>
      <c r="D1458" s="96"/>
      <c r="E1458" s="103"/>
      <c r="F1458" s="96"/>
      <c r="G1458" s="96"/>
      <c r="H1458" s="96"/>
      <c r="I1458" s="96"/>
      <c r="J1458" s="96"/>
      <c r="L1458" s="96"/>
      <c r="M1458" s="96"/>
      <c r="P1458" s="96"/>
      <c r="Q1458" s="96"/>
      <c r="R1458" s="96"/>
      <c r="S1458" s="96"/>
      <c r="T1458" s="96"/>
      <c r="U1458" s="96"/>
      <c r="V1458" s="96"/>
      <c r="W1458" s="96"/>
    </row>
    <row r="1459" spans="1:23" x14ac:dyDescent="0.3">
      <c r="A1459" s="96"/>
      <c r="B1459" s="96"/>
      <c r="C1459" s="96"/>
      <c r="D1459" s="96"/>
      <c r="E1459" s="103"/>
      <c r="F1459" s="96"/>
      <c r="G1459" s="96"/>
      <c r="H1459" s="96"/>
      <c r="I1459" s="96"/>
      <c r="J1459" s="96"/>
      <c r="L1459" s="96"/>
      <c r="M1459" s="96"/>
      <c r="P1459" s="96"/>
      <c r="Q1459" s="96"/>
      <c r="R1459" s="96"/>
      <c r="S1459" s="96"/>
      <c r="T1459" s="96"/>
      <c r="U1459" s="96"/>
      <c r="V1459" s="96"/>
      <c r="W1459" s="96"/>
    </row>
    <row r="1460" spans="1:23" x14ac:dyDescent="0.3">
      <c r="A1460" s="96"/>
      <c r="B1460" s="96"/>
      <c r="C1460" s="96"/>
      <c r="D1460" s="96"/>
      <c r="E1460" s="103"/>
      <c r="F1460" s="96"/>
      <c r="G1460" s="96"/>
      <c r="H1460" s="96"/>
      <c r="I1460" s="96"/>
      <c r="J1460" s="96"/>
      <c r="L1460" s="96"/>
      <c r="M1460" s="96"/>
      <c r="P1460" s="96"/>
      <c r="Q1460" s="96"/>
      <c r="R1460" s="96"/>
      <c r="S1460" s="96"/>
      <c r="T1460" s="96"/>
      <c r="U1460" s="96"/>
      <c r="V1460" s="96"/>
      <c r="W1460" s="96"/>
    </row>
    <row r="1461" spans="1:23" x14ac:dyDescent="0.3">
      <c r="A1461" s="96"/>
      <c r="B1461" s="96"/>
      <c r="C1461" s="96"/>
      <c r="D1461" s="96"/>
      <c r="E1461" s="103"/>
      <c r="F1461" s="96"/>
      <c r="G1461" s="96"/>
      <c r="H1461" s="96"/>
      <c r="I1461" s="96"/>
      <c r="J1461" s="96"/>
      <c r="L1461" s="96"/>
      <c r="M1461" s="96"/>
      <c r="P1461" s="96"/>
      <c r="Q1461" s="96"/>
      <c r="R1461" s="96"/>
      <c r="S1461" s="96"/>
      <c r="T1461" s="96"/>
      <c r="U1461" s="96"/>
      <c r="V1461" s="96"/>
      <c r="W1461" s="96"/>
    </row>
    <row r="1462" spans="1:23" x14ac:dyDescent="0.3">
      <c r="A1462" s="96"/>
      <c r="B1462" s="96"/>
      <c r="C1462" s="96"/>
      <c r="D1462" s="96"/>
      <c r="E1462" s="103"/>
      <c r="F1462" s="96"/>
      <c r="G1462" s="96"/>
      <c r="H1462" s="96"/>
      <c r="I1462" s="96"/>
      <c r="J1462" s="96"/>
      <c r="L1462" s="96"/>
      <c r="M1462" s="96"/>
      <c r="P1462" s="96"/>
      <c r="Q1462" s="96"/>
      <c r="R1462" s="96"/>
      <c r="S1462" s="96"/>
      <c r="T1462" s="96"/>
      <c r="U1462" s="96"/>
      <c r="V1462" s="96"/>
      <c r="W1462" s="96"/>
    </row>
    <row r="1463" spans="1:23" x14ac:dyDescent="0.3">
      <c r="A1463" s="96"/>
      <c r="B1463" s="96"/>
      <c r="C1463" s="96"/>
      <c r="D1463" s="96"/>
      <c r="E1463" s="103"/>
      <c r="F1463" s="96"/>
      <c r="G1463" s="96"/>
      <c r="H1463" s="96"/>
      <c r="I1463" s="96"/>
      <c r="J1463" s="96"/>
      <c r="L1463" s="96"/>
      <c r="M1463" s="96"/>
      <c r="P1463" s="96"/>
      <c r="Q1463" s="96"/>
      <c r="R1463" s="96"/>
      <c r="S1463" s="96"/>
      <c r="T1463" s="96"/>
      <c r="U1463" s="96"/>
      <c r="V1463" s="96"/>
      <c r="W1463" s="96"/>
    </row>
    <row r="1464" spans="1:23" x14ac:dyDescent="0.3">
      <c r="A1464" s="96"/>
      <c r="B1464" s="96"/>
      <c r="C1464" s="96"/>
      <c r="D1464" s="96"/>
      <c r="E1464" s="103"/>
      <c r="F1464" s="96"/>
      <c r="G1464" s="96"/>
      <c r="H1464" s="96"/>
      <c r="I1464" s="96"/>
      <c r="J1464" s="96"/>
      <c r="L1464" s="96"/>
      <c r="M1464" s="96"/>
      <c r="P1464" s="96"/>
      <c r="Q1464" s="96"/>
      <c r="R1464" s="96"/>
      <c r="S1464" s="96"/>
      <c r="T1464" s="96"/>
      <c r="U1464" s="96"/>
      <c r="V1464" s="96"/>
      <c r="W1464" s="96"/>
    </row>
    <row r="1465" spans="1:23" x14ac:dyDescent="0.3">
      <c r="A1465" s="96"/>
      <c r="B1465" s="96"/>
      <c r="C1465" s="96"/>
      <c r="D1465" s="96"/>
      <c r="E1465" s="103"/>
      <c r="F1465" s="96"/>
      <c r="G1465" s="96"/>
      <c r="H1465" s="96"/>
      <c r="I1465" s="96"/>
      <c r="J1465" s="96"/>
      <c r="L1465" s="96"/>
      <c r="M1465" s="96"/>
      <c r="P1465" s="96"/>
      <c r="Q1465" s="96"/>
      <c r="R1465" s="96"/>
      <c r="S1465" s="96"/>
      <c r="T1465" s="96"/>
      <c r="U1465" s="96"/>
      <c r="V1465" s="96"/>
      <c r="W1465" s="96"/>
    </row>
    <row r="1466" spans="1:23" x14ac:dyDescent="0.3">
      <c r="A1466" s="96"/>
      <c r="B1466" s="96"/>
      <c r="C1466" s="96"/>
      <c r="D1466" s="96"/>
      <c r="E1466" s="103"/>
      <c r="F1466" s="96"/>
      <c r="G1466" s="96"/>
      <c r="H1466" s="96"/>
      <c r="I1466" s="96"/>
      <c r="J1466" s="96"/>
      <c r="L1466" s="96"/>
      <c r="M1466" s="96"/>
      <c r="P1466" s="96"/>
      <c r="Q1466" s="96"/>
      <c r="R1466" s="96"/>
      <c r="S1466" s="96"/>
      <c r="T1466" s="96"/>
      <c r="U1466" s="96"/>
      <c r="V1466" s="96"/>
      <c r="W1466" s="96"/>
    </row>
    <row r="1467" spans="1:23" x14ac:dyDescent="0.3">
      <c r="A1467" s="96"/>
      <c r="B1467" s="96"/>
      <c r="C1467" s="96"/>
      <c r="D1467" s="96"/>
      <c r="E1467" s="103"/>
      <c r="F1467" s="96"/>
      <c r="G1467" s="96"/>
      <c r="H1467" s="96"/>
      <c r="I1467" s="96"/>
      <c r="J1467" s="96"/>
      <c r="L1467" s="96"/>
      <c r="M1467" s="96"/>
      <c r="P1467" s="96"/>
      <c r="Q1467" s="96"/>
      <c r="R1467" s="96"/>
      <c r="S1467" s="96"/>
      <c r="T1467" s="96"/>
      <c r="U1467" s="96"/>
      <c r="V1467" s="96"/>
      <c r="W1467" s="96"/>
    </row>
    <row r="1468" spans="1:23" x14ac:dyDescent="0.3">
      <c r="A1468" s="96"/>
      <c r="B1468" s="96"/>
      <c r="C1468" s="96"/>
      <c r="D1468" s="96"/>
      <c r="E1468" s="103"/>
      <c r="F1468" s="96"/>
      <c r="G1468" s="96"/>
      <c r="H1468" s="96"/>
      <c r="I1468" s="96"/>
      <c r="J1468" s="96"/>
      <c r="L1468" s="96"/>
      <c r="M1468" s="96"/>
      <c r="P1468" s="96"/>
      <c r="Q1468" s="96"/>
      <c r="R1468" s="96"/>
      <c r="S1468" s="96"/>
      <c r="T1468" s="96"/>
      <c r="U1468" s="96"/>
      <c r="V1468" s="96"/>
      <c r="W1468" s="96"/>
    </row>
    <row r="1469" spans="1:23" x14ac:dyDescent="0.3">
      <c r="A1469" s="96"/>
      <c r="B1469" s="96"/>
      <c r="C1469" s="96"/>
      <c r="D1469" s="96"/>
      <c r="E1469" s="103"/>
      <c r="F1469" s="96"/>
      <c r="G1469" s="96"/>
      <c r="H1469" s="96"/>
      <c r="I1469" s="96"/>
      <c r="J1469" s="96"/>
      <c r="L1469" s="96"/>
      <c r="M1469" s="96"/>
      <c r="P1469" s="96"/>
      <c r="Q1469" s="96"/>
      <c r="R1469" s="96"/>
      <c r="S1469" s="96"/>
      <c r="T1469" s="96"/>
      <c r="U1469" s="96"/>
      <c r="V1469" s="96"/>
      <c r="W1469" s="96"/>
    </row>
    <row r="1470" spans="1:23" x14ac:dyDescent="0.3">
      <c r="A1470" s="96"/>
      <c r="B1470" s="96"/>
      <c r="C1470" s="96"/>
      <c r="D1470" s="96"/>
      <c r="E1470" s="103"/>
      <c r="F1470" s="96"/>
      <c r="G1470" s="96"/>
      <c r="H1470" s="96"/>
      <c r="I1470" s="96"/>
      <c r="J1470" s="96"/>
      <c r="L1470" s="96"/>
      <c r="M1470" s="96"/>
      <c r="P1470" s="96"/>
      <c r="Q1470" s="96"/>
      <c r="R1470" s="96"/>
      <c r="S1470" s="96"/>
      <c r="T1470" s="96"/>
      <c r="U1470" s="96"/>
      <c r="V1470" s="96"/>
      <c r="W1470" s="96"/>
    </row>
    <row r="1471" spans="1:23" x14ac:dyDescent="0.3">
      <c r="A1471" s="96"/>
      <c r="B1471" s="96"/>
      <c r="C1471" s="96"/>
      <c r="D1471" s="96"/>
      <c r="E1471" s="103"/>
      <c r="F1471" s="96"/>
      <c r="G1471" s="96"/>
      <c r="H1471" s="96"/>
      <c r="I1471" s="96"/>
      <c r="J1471" s="96"/>
      <c r="L1471" s="96"/>
      <c r="M1471" s="96"/>
      <c r="P1471" s="96"/>
      <c r="Q1471" s="96"/>
      <c r="R1471" s="96"/>
      <c r="S1471" s="96"/>
      <c r="T1471" s="96"/>
      <c r="U1471" s="96"/>
      <c r="V1471" s="96"/>
      <c r="W1471" s="96"/>
    </row>
    <row r="1472" spans="1:23" x14ac:dyDescent="0.3">
      <c r="A1472" s="96"/>
      <c r="B1472" s="96"/>
      <c r="C1472" s="96"/>
      <c r="D1472" s="96"/>
      <c r="E1472" s="103"/>
      <c r="F1472" s="96"/>
      <c r="G1472" s="96"/>
      <c r="H1472" s="96"/>
      <c r="I1472" s="96"/>
      <c r="J1472" s="96"/>
      <c r="L1472" s="96"/>
      <c r="M1472" s="96"/>
      <c r="P1472" s="96"/>
      <c r="Q1472" s="96"/>
      <c r="R1472" s="96"/>
      <c r="S1472" s="96"/>
      <c r="T1472" s="96"/>
      <c r="U1472" s="96"/>
      <c r="V1472" s="96"/>
      <c r="W1472" s="96"/>
    </row>
    <row r="1473" spans="1:23" x14ac:dyDescent="0.3">
      <c r="A1473" s="96"/>
      <c r="B1473" s="96"/>
      <c r="C1473" s="96"/>
      <c r="D1473" s="96"/>
      <c r="E1473" s="103"/>
      <c r="F1473" s="96"/>
      <c r="G1473" s="96"/>
      <c r="H1473" s="96"/>
      <c r="I1473" s="96"/>
      <c r="J1473" s="96"/>
      <c r="L1473" s="96"/>
      <c r="M1473" s="96"/>
      <c r="P1473" s="96"/>
      <c r="Q1473" s="96"/>
      <c r="R1473" s="96"/>
      <c r="S1473" s="96"/>
      <c r="T1473" s="96"/>
      <c r="U1473" s="96"/>
      <c r="V1473" s="96"/>
      <c r="W1473" s="96"/>
    </row>
    <row r="1474" spans="1:23" x14ac:dyDescent="0.3">
      <c r="A1474" s="96"/>
      <c r="B1474" s="96"/>
      <c r="C1474" s="96"/>
      <c r="D1474" s="96"/>
      <c r="E1474" s="103"/>
      <c r="F1474" s="96"/>
      <c r="G1474" s="96"/>
      <c r="H1474" s="96"/>
      <c r="I1474" s="96"/>
      <c r="J1474" s="96"/>
      <c r="L1474" s="96"/>
      <c r="M1474" s="96"/>
      <c r="P1474" s="96"/>
      <c r="Q1474" s="96"/>
      <c r="R1474" s="96"/>
      <c r="S1474" s="96"/>
      <c r="T1474" s="96"/>
      <c r="U1474" s="96"/>
      <c r="V1474" s="96"/>
      <c r="W1474" s="96"/>
    </row>
    <row r="1475" spans="1:23" x14ac:dyDescent="0.3">
      <c r="A1475" s="96"/>
      <c r="B1475" s="96"/>
      <c r="C1475" s="96"/>
      <c r="D1475" s="96"/>
      <c r="E1475" s="103"/>
      <c r="F1475" s="96"/>
      <c r="G1475" s="96"/>
      <c r="H1475" s="96"/>
      <c r="I1475" s="96"/>
      <c r="J1475" s="96"/>
      <c r="L1475" s="96"/>
      <c r="M1475" s="96"/>
      <c r="P1475" s="96"/>
      <c r="Q1475" s="96"/>
      <c r="R1475" s="96"/>
      <c r="S1475" s="96"/>
      <c r="T1475" s="96"/>
      <c r="U1475" s="96"/>
      <c r="V1475" s="96"/>
      <c r="W1475" s="96"/>
    </row>
    <row r="1476" spans="1:23" x14ac:dyDescent="0.3">
      <c r="A1476" s="96"/>
      <c r="B1476" s="96"/>
      <c r="C1476" s="96"/>
      <c r="D1476" s="96"/>
      <c r="E1476" s="103"/>
      <c r="F1476" s="96"/>
      <c r="G1476" s="96"/>
      <c r="H1476" s="96"/>
      <c r="I1476" s="96"/>
      <c r="J1476" s="96"/>
      <c r="L1476" s="96"/>
      <c r="M1476" s="96"/>
      <c r="P1476" s="96"/>
      <c r="Q1476" s="96"/>
      <c r="R1476" s="96"/>
      <c r="S1476" s="96"/>
      <c r="T1476" s="96"/>
      <c r="U1476" s="96"/>
      <c r="V1476" s="96"/>
      <c r="W1476" s="96"/>
    </row>
    <row r="1477" spans="1:23" x14ac:dyDescent="0.3">
      <c r="A1477" s="96"/>
      <c r="B1477" s="96"/>
      <c r="C1477" s="96"/>
      <c r="D1477" s="96"/>
      <c r="E1477" s="103"/>
      <c r="F1477" s="96"/>
      <c r="G1477" s="96"/>
      <c r="H1477" s="96"/>
      <c r="I1477" s="96"/>
      <c r="J1477" s="96"/>
      <c r="L1477" s="96"/>
      <c r="M1477" s="96"/>
      <c r="P1477" s="96"/>
      <c r="Q1477" s="96"/>
      <c r="R1477" s="96"/>
      <c r="S1477" s="96"/>
      <c r="T1477" s="96"/>
      <c r="U1477" s="96"/>
      <c r="V1477" s="96"/>
      <c r="W1477" s="96"/>
    </row>
    <row r="1478" spans="1:23" x14ac:dyDescent="0.3">
      <c r="A1478" s="96"/>
      <c r="B1478" s="96"/>
      <c r="C1478" s="96"/>
      <c r="D1478" s="96"/>
      <c r="E1478" s="103"/>
      <c r="F1478" s="96"/>
      <c r="G1478" s="96"/>
      <c r="H1478" s="96"/>
      <c r="I1478" s="96"/>
      <c r="J1478" s="96"/>
      <c r="L1478" s="96"/>
      <c r="M1478" s="96"/>
      <c r="P1478" s="96"/>
      <c r="Q1478" s="96"/>
      <c r="R1478" s="96"/>
      <c r="S1478" s="96"/>
      <c r="T1478" s="96"/>
      <c r="U1478" s="96"/>
      <c r="V1478" s="96"/>
      <c r="W1478" s="96"/>
    </row>
    <row r="1479" spans="1:23" x14ac:dyDescent="0.3">
      <c r="A1479" s="96"/>
      <c r="B1479" s="96"/>
      <c r="C1479" s="96"/>
      <c r="D1479" s="96"/>
      <c r="E1479" s="103"/>
      <c r="F1479" s="96"/>
      <c r="G1479" s="96"/>
      <c r="H1479" s="96"/>
      <c r="I1479" s="96"/>
      <c r="J1479" s="96"/>
      <c r="L1479" s="96"/>
      <c r="M1479" s="96"/>
      <c r="P1479" s="96"/>
      <c r="Q1479" s="96"/>
      <c r="R1479" s="96"/>
      <c r="S1479" s="96"/>
      <c r="T1479" s="96"/>
      <c r="U1479" s="96"/>
      <c r="V1479" s="96"/>
      <c r="W1479" s="96"/>
    </row>
    <row r="1480" spans="1:23" x14ac:dyDescent="0.3">
      <c r="A1480" s="96"/>
      <c r="B1480" s="96"/>
      <c r="C1480" s="96"/>
      <c r="D1480" s="96"/>
      <c r="E1480" s="103"/>
      <c r="F1480" s="96"/>
      <c r="G1480" s="96"/>
      <c r="H1480" s="96"/>
      <c r="I1480" s="96"/>
      <c r="J1480" s="96"/>
      <c r="L1480" s="96"/>
      <c r="M1480" s="96"/>
      <c r="P1480" s="96"/>
      <c r="Q1480" s="96"/>
      <c r="R1480" s="96"/>
      <c r="S1480" s="96"/>
      <c r="T1480" s="96"/>
      <c r="U1480" s="96"/>
      <c r="V1480" s="96"/>
      <c r="W1480" s="96"/>
    </row>
    <row r="1481" spans="1:23" x14ac:dyDescent="0.3">
      <c r="A1481" s="96"/>
      <c r="B1481" s="96"/>
      <c r="C1481" s="96"/>
      <c r="D1481" s="96"/>
      <c r="E1481" s="103"/>
      <c r="F1481" s="96"/>
      <c r="G1481" s="96"/>
      <c r="H1481" s="96"/>
      <c r="I1481" s="96"/>
      <c r="J1481" s="96"/>
      <c r="L1481" s="96"/>
      <c r="M1481" s="96"/>
      <c r="P1481" s="96"/>
      <c r="Q1481" s="96"/>
      <c r="R1481" s="96"/>
      <c r="S1481" s="96"/>
      <c r="T1481" s="96"/>
      <c r="U1481" s="96"/>
      <c r="V1481" s="96"/>
      <c r="W1481" s="96"/>
    </row>
    <row r="1482" spans="1:23" x14ac:dyDescent="0.3">
      <c r="A1482" s="96"/>
      <c r="B1482" s="96"/>
      <c r="C1482" s="96"/>
      <c r="D1482" s="96"/>
      <c r="E1482" s="103"/>
      <c r="F1482" s="96"/>
      <c r="G1482" s="96"/>
      <c r="H1482" s="96"/>
      <c r="I1482" s="96"/>
      <c r="J1482" s="96"/>
      <c r="L1482" s="96"/>
      <c r="M1482" s="96"/>
      <c r="P1482" s="96"/>
      <c r="Q1482" s="96"/>
      <c r="R1482" s="96"/>
      <c r="S1482" s="96"/>
      <c r="T1482" s="96"/>
      <c r="U1482" s="96"/>
      <c r="V1482" s="96"/>
      <c r="W1482" s="96"/>
    </row>
    <row r="1483" spans="1:23" x14ac:dyDescent="0.3">
      <c r="A1483" s="96"/>
      <c r="B1483" s="96"/>
      <c r="C1483" s="96"/>
      <c r="D1483" s="96"/>
      <c r="E1483" s="103"/>
      <c r="F1483" s="96"/>
      <c r="G1483" s="96"/>
      <c r="H1483" s="96"/>
      <c r="I1483" s="96"/>
      <c r="J1483" s="96"/>
      <c r="L1483" s="96"/>
      <c r="M1483" s="96"/>
      <c r="P1483" s="96"/>
      <c r="Q1483" s="96"/>
      <c r="R1483" s="96"/>
      <c r="S1483" s="96"/>
      <c r="T1483" s="96"/>
      <c r="U1483" s="96"/>
      <c r="V1483" s="96"/>
      <c r="W1483" s="96"/>
    </row>
    <row r="1484" spans="1:23" x14ac:dyDescent="0.3">
      <c r="A1484" s="96"/>
      <c r="B1484" s="96"/>
      <c r="C1484" s="96"/>
      <c r="D1484" s="96"/>
      <c r="E1484" s="103"/>
      <c r="F1484" s="96"/>
      <c r="G1484" s="96"/>
      <c r="H1484" s="96"/>
      <c r="I1484" s="96"/>
      <c r="J1484" s="96"/>
      <c r="L1484" s="96"/>
      <c r="M1484" s="96"/>
      <c r="P1484" s="96"/>
      <c r="Q1484" s="96"/>
      <c r="R1484" s="96"/>
      <c r="S1484" s="96"/>
      <c r="T1484" s="96"/>
      <c r="U1484" s="96"/>
      <c r="V1484" s="96"/>
      <c r="W1484" s="96"/>
    </row>
    <row r="1485" spans="1:23" x14ac:dyDescent="0.3">
      <c r="A1485" s="96"/>
      <c r="B1485" s="96"/>
      <c r="C1485" s="96"/>
      <c r="D1485" s="96"/>
      <c r="E1485" s="103"/>
      <c r="F1485" s="96"/>
      <c r="G1485" s="96"/>
      <c r="H1485" s="96"/>
      <c r="I1485" s="96"/>
      <c r="J1485" s="96"/>
      <c r="L1485" s="96"/>
      <c r="M1485" s="96"/>
      <c r="P1485" s="96"/>
      <c r="Q1485" s="96"/>
      <c r="R1485" s="96"/>
      <c r="S1485" s="96"/>
      <c r="T1485" s="96"/>
      <c r="U1485" s="96"/>
      <c r="V1485" s="96"/>
      <c r="W1485" s="96"/>
    </row>
    <row r="1486" spans="1:23" x14ac:dyDescent="0.3">
      <c r="A1486" s="96"/>
      <c r="B1486" s="96"/>
      <c r="C1486" s="96"/>
      <c r="D1486" s="96"/>
      <c r="E1486" s="103"/>
      <c r="F1486" s="96"/>
      <c r="G1486" s="96"/>
      <c r="H1486" s="96"/>
      <c r="I1486" s="96"/>
      <c r="J1486" s="96"/>
      <c r="L1486" s="96"/>
      <c r="M1486" s="96"/>
      <c r="P1486" s="96"/>
      <c r="Q1486" s="96"/>
      <c r="R1486" s="96"/>
      <c r="S1486" s="96"/>
      <c r="T1486" s="96"/>
      <c r="U1486" s="96"/>
      <c r="V1486" s="96"/>
      <c r="W1486" s="96"/>
    </row>
    <row r="1487" spans="1:23" x14ac:dyDescent="0.3">
      <c r="A1487" s="96"/>
      <c r="B1487" s="96"/>
      <c r="C1487" s="96"/>
      <c r="D1487" s="96"/>
      <c r="E1487" s="103"/>
      <c r="F1487" s="96"/>
      <c r="G1487" s="96"/>
      <c r="H1487" s="96"/>
      <c r="I1487" s="96"/>
      <c r="J1487" s="96"/>
      <c r="L1487" s="96"/>
      <c r="M1487" s="96"/>
      <c r="P1487" s="96"/>
      <c r="Q1487" s="96"/>
      <c r="R1487" s="96"/>
      <c r="S1487" s="96"/>
      <c r="T1487" s="96"/>
      <c r="U1487" s="96"/>
      <c r="V1487" s="96"/>
      <c r="W1487" s="96"/>
    </row>
    <row r="1488" spans="1:23" x14ac:dyDescent="0.3">
      <c r="A1488" s="96"/>
      <c r="B1488" s="96"/>
      <c r="C1488" s="96"/>
      <c r="D1488" s="96"/>
      <c r="E1488" s="103"/>
      <c r="F1488" s="96"/>
      <c r="G1488" s="96"/>
      <c r="H1488" s="96"/>
      <c r="I1488" s="96"/>
      <c r="J1488" s="96"/>
      <c r="L1488" s="96"/>
      <c r="M1488" s="96"/>
      <c r="P1488" s="96"/>
      <c r="Q1488" s="96"/>
      <c r="R1488" s="96"/>
      <c r="S1488" s="96"/>
      <c r="T1488" s="96"/>
      <c r="U1488" s="96"/>
      <c r="V1488" s="96"/>
      <c r="W1488" s="96"/>
    </row>
    <row r="1489" spans="1:23" x14ac:dyDescent="0.3">
      <c r="A1489" s="96"/>
      <c r="B1489" s="96"/>
      <c r="C1489" s="96"/>
      <c r="D1489" s="96"/>
      <c r="E1489" s="103"/>
      <c r="F1489" s="96"/>
      <c r="G1489" s="96"/>
      <c r="H1489" s="96"/>
      <c r="I1489" s="96"/>
      <c r="J1489" s="96"/>
      <c r="L1489" s="96"/>
      <c r="M1489" s="96"/>
      <c r="P1489" s="96"/>
      <c r="Q1489" s="96"/>
      <c r="R1489" s="96"/>
      <c r="S1489" s="96"/>
      <c r="T1489" s="96"/>
      <c r="U1489" s="96"/>
      <c r="V1489" s="96"/>
      <c r="W1489" s="96"/>
    </row>
    <row r="1490" spans="1:23" x14ac:dyDescent="0.3">
      <c r="A1490" s="96"/>
      <c r="B1490" s="96"/>
      <c r="C1490" s="96"/>
      <c r="D1490" s="96"/>
      <c r="E1490" s="103"/>
      <c r="F1490" s="96"/>
      <c r="G1490" s="96"/>
      <c r="H1490" s="96"/>
      <c r="I1490" s="96"/>
      <c r="J1490" s="96"/>
      <c r="L1490" s="96"/>
      <c r="M1490" s="96"/>
      <c r="P1490" s="96"/>
      <c r="Q1490" s="96"/>
      <c r="R1490" s="96"/>
      <c r="S1490" s="96"/>
      <c r="T1490" s="96"/>
      <c r="U1490" s="96"/>
      <c r="V1490" s="96"/>
      <c r="W1490" s="96"/>
    </row>
    <row r="1491" spans="1:23" x14ac:dyDescent="0.3">
      <c r="A1491" s="96"/>
      <c r="B1491" s="96"/>
      <c r="C1491" s="96"/>
      <c r="D1491" s="96"/>
      <c r="E1491" s="103"/>
      <c r="F1491" s="96"/>
      <c r="G1491" s="96"/>
      <c r="H1491" s="96"/>
      <c r="I1491" s="96"/>
      <c r="J1491" s="96"/>
      <c r="L1491" s="96"/>
      <c r="M1491" s="96"/>
      <c r="P1491" s="96"/>
      <c r="Q1491" s="96"/>
      <c r="R1491" s="96"/>
      <c r="S1491" s="96"/>
      <c r="T1491" s="96"/>
      <c r="U1491" s="96"/>
      <c r="V1491" s="96"/>
      <c r="W1491" s="96"/>
    </row>
    <row r="1492" spans="1:23" x14ac:dyDescent="0.3">
      <c r="A1492" s="96"/>
      <c r="B1492" s="96"/>
      <c r="C1492" s="96"/>
      <c r="D1492" s="96"/>
      <c r="E1492" s="103"/>
      <c r="F1492" s="96"/>
      <c r="G1492" s="96"/>
      <c r="H1492" s="96"/>
      <c r="I1492" s="96"/>
      <c r="J1492" s="96"/>
      <c r="L1492" s="96"/>
      <c r="M1492" s="96"/>
      <c r="P1492" s="96"/>
      <c r="Q1492" s="96"/>
      <c r="R1492" s="96"/>
      <c r="S1492" s="96"/>
      <c r="T1492" s="96"/>
      <c r="U1492" s="96"/>
      <c r="V1492" s="96"/>
      <c r="W1492" s="96"/>
    </row>
    <row r="1493" spans="1:23" x14ac:dyDescent="0.3">
      <c r="A1493" s="96"/>
      <c r="B1493" s="96"/>
      <c r="C1493" s="96"/>
      <c r="D1493" s="96"/>
      <c r="E1493" s="103"/>
      <c r="F1493" s="96"/>
      <c r="G1493" s="96"/>
      <c r="H1493" s="96"/>
      <c r="I1493" s="96"/>
      <c r="J1493" s="96"/>
      <c r="L1493" s="96"/>
      <c r="M1493" s="96"/>
      <c r="P1493" s="96"/>
      <c r="Q1493" s="96"/>
      <c r="R1493" s="96"/>
      <c r="S1493" s="96"/>
      <c r="T1493" s="96"/>
      <c r="U1493" s="96"/>
      <c r="V1493" s="96"/>
      <c r="W1493" s="96"/>
    </row>
    <row r="1494" spans="1:23" x14ac:dyDescent="0.3">
      <c r="A1494" s="96"/>
      <c r="B1494" s="96"/>
      <c r="C1494" s="96"/>
      <c r="D1494" s="96"/>
      <c r="E1494" s="103"/>
      <c r="F1494" s="96"/>
      <c r="G1494" s="96"/>
      <c r="H1494" s="96"/>
      <c r="I1494" s="96"/>
      <c r="J1494" s="96"/>
      <c r="L1494" s="96"/>
      <c r="M1494" s="96"/>
      <c r="P1494" s="96"/>
      <c r="Q1494" s="96"/>
      <c r="R1494" s="96"/>
      <c r="S1494" s="96"/>
      <c r="T1494" s="96"/>
      <c r="U1494" s="96"/>
      <c r="V1494" s="96"/>
      <c r="W1494" s="96"/>
    </row>
    <row r="1495" spans="1:23" x14ac:dyDescent="0.3">
      <c r="A1495" s="96"/>
      <c r="B1495" s="96"/>
      <c r="C1495" s="96"/>
      <c r="D1495" s="96"/>
      <c r="E1495" s="103"/>
      <c r="F1495" s="96"/>
      <c r="G1495" s="96"/>
      <c r="H1495" s="96"/>
      <c r="I1495" s="96"/>
      <c r="J1495" s="96"/>
      <c r="L1495" s="96"/>
      <c r="M1495" s="96"/>
      <c r="P1495" s="96"/>
      <c r="Q1495" s="96"/>
      <c r="R1495" s="96"/>
      <c r="S1495" s="96"/>
      <c r="T1495" s="96"/>
      <c r="U1495" s="96"/>
      <c r="V1495" s="96"/>
      <c r="W1495" s="96"/>
    </row>
    <row r="1496" spans="1:23" x14ac:dyDescent="0.3">
      <c r="A1496" s="96"/>
      <c r="B1496" s="96"/>
      <c r="C1496" s="96"/>
      <c r="D1496" s="96"/>
      <c r="E1496" s="103"/>
      <c r="F1496" s="96"/>
      <c r="G1496" s="96"/>
      <c r="H1496" s="96"/>
      <c r="I1496" s="96"/>
      <c r="J1496" s="96"/>
      <c r="L1496" s="96"/>
      <c r="M1496" s="96"/>
      <c r="P1496" s="96"/>
      <c r="Q1496" s="96"/>
      <c r="R1496" s="96"/>
      <c r="S1496" s="96"/>
      <c r="T1496" s="96"/>
      <c r="U1496" s="96"/>
      <c r="V1496" s="96"/>
      <c r="W1496" s="96"/>
    </row>
    <row r="1497" spans="1:23" x14ac:dyDescent="0.3">
      <c r="A1497" s="96"/>
      <c r="B1497" s="96"/>
      <c r="C1497" s="96"/>
      <c r="D1497" s="96"/>
      <c r="E1497" s="103"/>
      <c r="F1497" s="96"/>
      <c r="G1497" s="96"/>
      <c r="H1497" s="96"/>
      <c r="I1497" s="96"/>
      <c r="J1497" s="96"/>
      <c r="L1497" s="96"/>
      <c r="M1497" s="96"/>
      <c r="P1497" s="96"/>
      <c r="Q1497" s="96"/>
      <c r="R1497" s="96"/>
      <c r="S1497" s="96"/>
      <c r="T1497" s="96"/>
      <c r="U1497" s="96"/>
      <c r="V1497" s="96"/>
      <c r="W1497" s="96"/>
    </row>
    <row r="1498" spans="1:23" x14ac:dyDescent="0.3">
      <c r="A1498" s="96"/>
      <c r="B1498" s="96"/>
      <c r="C1498" s="96"/>
      <c r="D1498" s="96"/>
      <c r="E1498" s="103"/>
      <c r="F1498" s="96"/>
      <c r="G1498" s="96"/>
      <c r="H1498" s="96"/>
      <c r="I1498" s="96"/>
      <c r="J1498" s="96"/>
      <c r="L1498" s="96"/>
      <c r="M1498" s="96"/>
      <c r="P1498" s="96"/>
      <c r="Q1498" s="96"/>
      <c r="R1498" s="96"/>
      <c r="S1498" s="96"/>
      <c r="T1498" s="96"/>
      <c r="U1498" s="96"/>
      <c r="V1498" s="96"/>
      <c r="W1498" s="96"/>
    </row>
    <row r="1499" spans="1:23" x14ac:dyDescent="0.3">
      <c r="A1499" s="96"/>
      <c r="B1499" s="96"/>
      <c r="C1499" s="96"/>
      <c r="D1499" s="96"/>
      <c r="E1499" s="103"/>
      <c r="F1499" s="96"/>
      <c r="G1499" s="96"/>
      <c r="H1499" s="96"/>
      <c r="I1499" s="96"/>
      <c r="J1499" s="96"/>
      <c r="L1499" s="96"/>
      <c r="M1499" s="96"/>
      <c r="P1499" s="96"/>
      <c r="Q1499" s="96"/>
      <c r="R1499" s="96"/>
      <c r="S1499" s="96"/>
      <c r="T1499" s="96"/>
      <c r="U1499" s="96"/>
      <c r="V1499" s="96"/>
      <c r="W1499" s="96"/>
    </row>
    <row r="1500" spans="1:23" x14ac:dyDescent="0.3">
      <c r="A1500" s="96"/>
      <c r="B1500" s="96"/>
      <c r="C1500" s="96"/>
      <c r="D1500" s="96"/>
      <c r="E1500" s="103"/>
      <c r="F1500" s="96"/>
      <c r="G1500" s="96"/>
      <c r="H1500" s="96"/>
      <c r="I1500" s="96"/>
      <c r="J1500" s="96"/>
      <c r="L1500" s="96"/>
      <c r="M1500" s="96"/>
      <c r="P1500" s="96"/>
      <c r="Q1500" s="96"/>
      <c r="R1500" s="96"/>
      <c r="S1500" s="96"/>
      <c r="T1500" s="96"/>
      <c r="U1500" s="96"/>
      <c r="V1500" s="96"/>
      <c r="W1500" s="96"/>
    </row>
    <row r="1501" spans="1:23" x14ac:dyDescent="0.3">
      <c r="A1501" s="96"/>
      <c r="B1501" s="96"/>
      <c r="C1501" s="96"/>
      <c r="D1501" s="96"/>
      <c r="E1501" s="103"/>
      <c r="F1501" s="96"/>
      <c r="G1501" s="96"/>
      <c r="H1501" s="96"/>
      <c r="I1501" s="96"/>
      <c r="J1501" s="96"/>
      <c r="L1501" s="96"/>
      <c r="M1501" s="96"/>
      <c r="P1501" s="96"/>
      <c r="Q1501" s="96"/>
      <c r="R1501" s="96"/>
      <c r="S1501" s="96"/>
      <c r="T1501" s="96"/>
      <c r="U1501" s="96"/>
      <c r="V1501" s="96"/>
      <c r="W1501" s="96"/>
    </row>
    <row r="1502" spans="1:23" x14ac:dyDescent="0.3">
      <c r="A1502" s="96"/>
      <c r="B1502" s="96"/>
      <c r="C1502" s="96"/>
      <c r="D1502" s="96"/>
      <c r="E1502" s="103"/>
      <c r="F1502" s="96"/>
      <c r="G1502" s="96"/>
      <c r="H1502" s="96"/>
      <c r="I1502" s="96"/>
      <c r="J1502" s="96"/>
      <c r="L1502" s="96"/>
      <c r="M1502" s="96"/>
      <c r="P1502" s="96"/>
      <c r="Q1502" s="96"/>
      <c r="R1502" s="96"/>
      <c r="S1502" s="96"/>
      <c r="T1502" s="96"/>
      <c r="U1502" s="96"/>
      <c r="V1502" s="96"/>
      <c r="W1502" s="96"/>
    </row>
    <row r="1503" spans="1:23" x14ac:dyDescent="0.3">
      <c r="A1503" s="96"/>
      <c r="B1503" s="96"/>
      <c r="C1503" s="96"/>
      <c r="D1503" s="96"/>
      <c r="E1503" s="103"/>
      <c r="F1503" s="96"/>
      <c r="G1503" s="96"/>
      <c r="H1503" s="96"/>
      <c r="I1503" s="96"/>
      <c r="J1503" s="96"/>
      <c r="L1503" s="96"/>
      <c r="M1503" s="96"/>
      <c r="P1503" s="96"/>
      <c r="Q1503" s="96"/>
      <c r="R1503" s="96"/>
      <c r="S1503" s="96"/>
      <c r="T1503" s="96"/>
      <c r="U1503" s="96"/>
      <c r="V1503" s="96"/>
      <c r="W1503" s="96"/>
    </row>
    <row r="1504" spans="1:23" x14ac:dyDescent="0.3">
      <c r="A1504" s="96"/>
      <c r="B1504" s="96"/>
      <c r="C1504" s="96"/>
      <c r="D1504" s="96"/>
      <c r="E1504" s="103"/>
      <c r="F1504" s="96"/>
      <c r="G1504" s="96"/>
      <c r="H1504" s="96"/>
      <c r="I1504" s="96"/>
      <c r="J1504" s="96"/>
      <c r="L1504" s="96"/>
      <c r="M1504" s="96"/>
      <c r="P1504" s="96"/>
      <c r="Q1504" s="96"/>
      <c r="R1504" s="96"/>
      <c r="S1504" s="96"/>
      <c r="T1504" s="96"/>
      <c r="U1504" s="96"/>
      <c r="V1504" s="96"/>
      <c r="W1504" s="96"/>
    </row>
    <row r="1505" spans="1:28" x14ac:dyDescent="0.3">
      <c r="A1505" s="96"/>
      <c r="B1505" s="96"/>
      <c r="C1505" s="96"/>
      <c r="D1505" s="96"/>
      <c r="E1505" s="103"/>
      <c r="F1505" s="96"/>
      <c r="G1505" s="96"/>
      <c r="H1505" s="96"/>
      <c r="I1505" s="96"/>
      <c r="J1505" s="96"/>
      <c r="L1505" s="96"/>
      <c r="M1505" s="96"/>
      <c r="P1505" s="96"/>
      <c r="Q1505" s="96"/>
      <c r="R1505" s="96"/>
      <c r="S1505" s="96"/>
      <c r="T1505" s="96"/>
      <c r="U1505" s="96"/>
      <c r="V1505" s="96"/>
      <c r="W1505" s="96"/>
    </row>
    <row r="1506" spans="1:28" x14ac:dyDescent="0.3">
      <c r="A1506" s="96"/>
      <c r="B1506" s="96"/>
      <c r="C1506" s="96"/>
      <c r="D1506" s="96"/>
      <c r="E1506" s="103"/>
      <c r="F1506" s="96"/>
      <c r="G1506" s="96"/>
      <c r="H1506" s="96"/>
      <c r="I1506" s="96"/>
      <c r="J1506" s="96"/>
      <c r="L1506" s="96"/>
      <c r="M1506" s="96"/>
      <c r="P1506" s="96"/>
      <c r="Q1506" s="96"/>
      <c r="R1506" s="96"/>
      <c r="S1506" s="96"/>
      <c r="T1506" s="96"/>
      <c r="U1506" s="96"/>
      <c r="V1506" s="96"/>
      <c r="W1506" s="96"/>
    </row>
    <row r="1507" spans="1:28" x14ac:dyDescent="0.3">
      <c r="A1507" s="96"/>
      <c r="B1507" s="96"/>
      <c r="C1507" s="96"/>
      <c r="D1507" s="96"/>
      <c r="E1507" s="103"/>
      <c r="F1507" s="96"/>
      <c r="G1507" s="96"/>
      <c r="H1507" s="96"/>
      <c r="I1507" s="96"/>
      <c r="J1507" s="96"/>
      <c r="L1507" s="96"/>
      <c r="M1507" s="96"/>
      <c r="P1507" s="96"/>
      <c r="Q1507" s="96"/>
      <c r="R1507" s="96"/>
      <c r="S1507" s="96"/>
      <c r="T1507" s="96"/>
      <c r="U1507" s="96"/>
      <c r="V1507" s="96"/>
      <c r="W1507" s="96"/>
    </row>
    <row r="1508" spans="1:28" x14ac:dyDescent="0.3">
      <c r="A1508" s="96"/>
      <c r="B1508" s="96"/>
      <c r="C1508" s="96"/>
      <c r="D1508" s="96"/>
      <c r="E1508" s="103"/>
      <c r="F1508" s="96"/>
      <c r="G1508" s="96"/>
      <c r="H1508" s="96"/>
      <c r="I1508" s="96"/>
      <c r="J1508" s="96"/>
      <c r="L1508" s="96"/>
      <c r="M1508" s="96"/>
      <c r="P1508" s="96"/>
      <c r="Q1508" s="96"/>
      <c r="R1508" s="96"/>
      <c r="S1508" s="96"/>
      <c r="T1508" s="96"/>
      <c r="U1508" s="96"/>
      <c r="V1508" s="96"/>
      <c r="W1508" s="96"/>
    </row>
    <row r="1509" spans="1:28" x14ac:dyDescent="0.3">
      <c r="A1509" s="96"/>
      <c r="B1509" s="96"/>
      <c r="C1509" s="96"/>
      <c r="D1509" s="96"/>
      <c r="E1509" s="103"/>
      <c r="F1509" s="96"/>
      <c r="G1509" s="96"/>
      <c r="H1509" s="96"/>
      <c r="I1509" s="96"/>
      <c r="J1509" s="96"/>
      <c r="L1509" s="96"/>
      <c r="M1509" s="96"/>
      <c r="P1509" s="96"/>
      <c r="Q1509" s="96"/>
      <c r="R1509" s="96"/>
      <c r="S1509" s="96"/>
      <c r="T1509" s="96"/>
      <c r="U1509" s="96"/>
      <c r="V1509" s="96"/>
      <c r="W1509" s="96"/>
    </row>
    <row r="1510" spans="1:28" x14ac:dyDescent="0.3">
      <c r="A1510" s="96"/>
      <c r="B1510" s="96"/>
      <c r="C1510" s="96"/>
      <c r="D1510" s="96"/>
      <c r="E1510" s="103"/>
      <c r="F1510" s="96"/>
      <c r="G1510" s="96"/>
      <c r="H1510" s="96"/>
      <c r="I1510" s="96"/>
      <c r="J1510" s="96"/>
      <c r="L1510" s="96"/>
      <c r="M1510" s="96"/>
      <c r="P1510" s="96"/>
      <c r="Q1510" s="96"/>
      <c r="R1510" s="96"/>
      <c r="S1510" s="96"/>
      <c r="T1510" s="96"/>
      <c r="U1510" s="96"/>
      <c r="V1510" s="96"/>
      <c r="W1510" s="96"/>
    </row>
    <row r="1511" spans="1:28" x14ac:dyDescent="0.3">
      <c r="A1511" s="96"/>
      <c r="B1511" s="96"/>
      <c r="C1511" s="96"/>
      <c r="D1511" s="96"/>
      <c r="E1511" s="103"/>
      <c r="F1511" s="96"/>
      <c r="G1511" s="96"/>
      <c r="H1511" s="96"/>
      <c r="I1511" s="96"/>
      <c r="J1511" s="96"/>
      <c r="L1511" s="96"/>
      <c r="M1511" s="96"/>
      <c r="P1511" s="96"/>
      <c r="Q1511" s="96"/>
      <c r="R1511" s="96"/>
      <c r="S1511" s="96"/>
      <c r="T1511" s="96"/>
      <c r="U1511" s="96"/>
      <c r="V1511" s="96"/>
      <c r="W1511" s="96"/>
    </row>
    <row r="1512" spans="1:28" x14ac:dyDescent="0.3">
      <c r="A1512" s="96"/>
      <c r="B1512" s="96"/>
      <c r="C1512" s="96"/>
      <c r="D1512" s="96"/>
      <c r="E1512" s="103"/>
      <c r="F1512" s="96"/>
      <c r="G1512" s="96"/>
      <c r="H1512" s="96"/>
      <c r="I1512" s="96"/>
      <c r="J1512" s="96"/>
      <c r="L1512" s="96"/>
      <c r="M1512" s="96"/>
      <c r="P1512" s="96"/>
      <c r="Q1512" s="96"/>
      <c r="R1512" s="96"/>
      <c r="S1512" s="96"/>
      <c r="T1512" s="96"/>
      <c r="U1512" s="96"/>
      <c r="V1512" s="96"/>
      <c r="W1512" s="96"/>
      <c r="AA1512" s="104"/>
      <c r="AB1512" s="104"/>
    </row>
    <row r="1513" spans="1:28" x14ac:dyDescent="0.3">
      <c r="A1513" s="96"/>
      <c r="B1513" s="96"/>
      <c r="C1513" s="96"/>
      <c r="D1513" s="96"/>
      <c r="E1513" s="103"/>
      <c r="F1513" s="96"/>
      <c r="G1513" s="96"/>
      <c r="H1513" s="96"/>
      <c r="I1513" s="96"/>
      <c r="J1513" s="96"/>
      <c r="L1513" s="96"/>
      <c r="M1513" s="96"/>
      <c r="P1513" s="96"/>
      <c r="Q1513" s="96"/>
      <c r="R1513" s="96"/>
      <c r="S1513" s="96"/>
      <c r="T1513" s="96"/>
      <c r="U1513" s="96"/>
      <c r="V1513" s="96"/>
      <c r="W1513" s="96"/>
      <c r="AA1513" s="104"/>
      <c r="AB1513" s="104"/>
    </row>
    <row r="1514" spans="1:28" x14ac:dyDescent="0.3">
      <c r="A1514" s="96"/>
      <c r="B1514" s="96"/>
      <c r="C1514" s="96"/>
      <c r="D1514" s="96"/>
      <c r="E1514" s="103"/>
      <c r="F1514" s="96"/>
      <c r="G1514" s="96"/>
      <c r="H1514" s="96"/>
      <c r="I1514" s="96"/>
      <c r="J1514" s="96"/>
      <c r="L1514" s="96"/>
      <c r="M1514" s="96"/>
      <c r="P1514" s="96"/>
      <c r="Q1514" s="96"/>
      <c r="R1514" s="96"/>
      <c r="S1514" s="96"/>
      <c r="T1514" s="96"/>
      <c r="U1514" s="96"/>
      <c r="V1514" s="96"/>
      <c r="W1514" s="96"/>
      <c r="AA1514" s="104"/>
      <c r="AB1514" s="104"/>
    </row>
    <row r="1515" spans="1:28" x14ac:dyDescent="0.3">
      <c r="A1515" s="96"/>
      <c r="B1515" s="96"/>
      <c r="C1515" s="96"/>
      <c r="D1515" s="96"/>
      <c r="E1515" s="103"/>
      <c r="F1515" s="96"/>
      <c r="G1515" s="96"/>
      <c r="H1515" s="96"/>
      <c r="I1515" s="96"/>
      <c r="J1515" s="96"/>
      <c r="L1515" s="96"/>
      <c r="M1515" s="96"/>
      <c r="P1515" s="96"/>
      <c r="Q1515" s="96"/>
      <c r="R1515" s="96"/>
      <c r="S1515" s="96"/>
      <c r="T1515" s="96"/>
      <c r="U1515" s="96"/>
      <c r="V1515" s="96"/>
      <c r="W1515" s="96"/>
      <c r="AA1515" s="104"/>
      <c r="AB1515" s="104"/>
    </row>
    <row r="1516" spans="1:28" x14ac:dyDescent="0.3">
      <c r="A1516" s="96"/>
      <c r="B1516" s="96"/>
      <c r="C1516" s="96"/>
      <c r="D1516" s="96"/>
      <c r="E1516" s="103"/>
      <c r="F1516" s="96"/>
      <c r="G1516" s="96"/>
      <c r="H1516" s="96"/>
      <c r="I1516" s="96"/>
      <c r="J1516" s="96"/>
      <c r="L1516" s="96"/>
      <c r="M1516" s="96"/>
      <c r="P1516" s="96"/>
      <c r="Q1516" s="96"/>
      <c r="R1516" s="96"/>
      <c r="S1516" s="96"/>
      <c r="T1516" s="96"/>
      <c r="U1516" s="96"/>
      <c r="V1516" s="96"/>
      <c r="W1516" s="96"/>
      <c r="AA1516" s="104"/>
      <c r="AB1516" s="104"/>
    </row>
    <row r="1517" spans="1:28" x14ac:dyDescent="0.3">
      <c r="A1517" s="96"/>
      <c r="B1517" s="96"/>
      <c r="C1517" s="96"/>
      <c r="D1517" s="96"/>
      <c r="E1517" s="103"/>
      <c r="F1517" s="96"/>
      <c r="G1517" s="96"/>
      <c r="H1517" s="96"/>
      <c r="I1517" s="96"/>
      <c r="J1517" s="96"/>
      <c r="L1517" s="96"/>
      <c r="M1517" s="96"/>
      <c r="P1517" s="96"/>
      <c r="Q1517" s="96"/>
      <c r="R1517" s="96"/>
      <c r="S1517" s="96"/>
      <c r="T1517" s="96"/>
      <c r="U1517" s="96"/>
      <c r="V1517" s="96"/>
      <c r="W1517" s="96"/>
      <c r="AA1517" s="104"/>
      <c r="AB1517" s="104"/>
    </row>
    <row r="1518" spans="1:28" x14ac:dyDescent="0.3">
      <c r="A1518" s="96"/>
      <c r="B1518" s="96"/>
      <c r="C1518" s="96"/>
      <c r="D1518" s="96"/>
      <c r="E1518" s="103"/>
      <c r="F1518" s="96"/>
      <c r="G1518" s="96"/>
      <c r="H1518" s="96"/>
      <c r="I1518" s="96"/>
      <c r="J1518" s="96"/>
      <c r="L1518" s="96"/>
      <c r="M1518" s="96"/>
      <c r="P1518" s="96"/>
      <c r="Q1518" s="96"/>
      <c r="R1518" s="96"/>
      <c r="S1518" s="96"/>
      <c r="T1518" s="96"/>
      <c r="U1518" s="96"/>
      <c r="V1518" s="96"/>
      <c r="W1518" s="96"/>
      <c r="AA1518" s="104"/>
      <c r="AB1518" s="104"/>
    </row>
    <row r="1519" spans="1:28" x14ac:dyDescent="0.3">
      <c r="A1519" s="96"/>
      <c r="B1519" s="96"/>
      <c r="C1519" s="96"/>
      <c r="D1519" s="96"/>
      <c r="E1519" s="103"/>
      <c r="F1519" s="96"/>
      <c r="G1519" s="96"/>
      <c r="H1519" s="96"/>
      <c r="I1519" s="96"/>
      <c r="J1519" s="96"/>
      <c r="L1519" s="96"/>
      <c r="M1519" s="96"/>
      <c r="P1519" s="96"/>
      <c r="Q1519" s="96"/>
      <c r="R1519" s="96"/>
      <c r="S1519" s="96"/>
      <c r="T1519" s="96"/>
      <c r="U1519" s="96"/>
      <c r="V1519" s="96"/>
      <c r="W1519" s="96"/>
      <c r="AA1519" s="104"/>
      <c r="AB1519" s="104"/>
    </row>
    <row r="1520" spans="1:28" x14ac:dyDescent="0.3">
      <c r="A1520" s="96"/>
      <c r="B1520" s="96"/>
      <c r="C1520" s="96"/>
      <c r="D1520" s="96"/>
      <c r="E1520" s="103"/>
      <c r="F1520" s="96"/>
      <c r="G1520" s="96"/>
      <c r="H1520" s="96"/>
      <c r="I1520" s="96"/>
      <c r="J1520" s="96"/>
      <c r="L1520" s="96"/>
      <c r="M1520" s="96"/>
      <c r="P1520" s="96"/>
      <c r="Q1520" s="96"/>
      <c r="R1520" s="96"/>
      <c r="S1520" s="96"/>
      <c r="T1520" s="96"/>
      <c r="U1520" s="96"/>
      <c r="V1520" s="96"/>
      <c r="W1520" s="96"/>
      <c r="AA1520" s="104"/>
      <c r="AB1520" s="104"/>
    </row>
    <row r="1521" spans="1:28" x14ac:dyDescent="0.3">
      <c r="A1521" s="96"/>
      <c r="B1521" s="96"/>
      <c r="C1521" s="96"/>
      <c r="D1521" s="96"/>
      <c r="E1521" s="103"/>
      <c r="F1521" s="96"/>
      <c r="G1521" s="96"/>
      <c r="H1521" s="96"/>
      <c r="I1521" s="96"/>
      <c r="J1521" s="96"/>
      <c r="L1521" s="96"/>
      <c r="M1521" s="96"/>
      <c r="P1521" s="96"/>
      <c r="Q1521" s="96"/>
      <c r="R1521" s="96"/>
      <c r="S1521" s="96"/>
      <c r="T1521" s="96"/>
      <c r="U1521" s="96"/>
      <c r="V1521" s="96"/>
      <c r="W1521" s="96"/>
      <c r="AA1521" s="104"/>
      <c r="AB1521" s="104"/>
    </row>
    <row r="1522" spans="1:28" x14ac:dyDescent="0.3">
      <c r="A1522" s="96"/>
      <c r="B1522" s="96"/>
      <c r="C1522" s="96"/>
      <c r="D1522" s="96"/>
      <c r="E1522" s="103"/>
      <c r="F1522" s="96"/>
      <c r="G1522" s="96"/>
      <c r="H1522" s="96"/>
      <c r="I1522" s="96"/>
      <c r="J1522" s="96"/>
      <c r="L1522" s="96"/>
      <c r="M1522" s="96"/>
      <c r="P1522" s="96"/>
      <c r="Q1522" s="96"/>
      <c r="R1522" s="96"/>
      <c r="S1522" s="96"/>
      <c r="T1522" s="96"/>
      <c r="U1522" s="96"/>
      <c r="V1522" s="96"/>
      <c r="W1522" s="96"/>
      <c r="AA1522" s="104"/>
      <c r="AB1522" s="104"/>
    </row>
    <row r="1523" spans="1:28" x14ac:dyDescent="0.3">
      <c r="A1523" s="96"/>
      <c r="B1523" s="96"/>
      <c r="C1523" s="96"/>
      <c r="D1523" s="96"/>
      <c r="E1523" s="103"/>
      <c r="F1523" s="96"/>
      <c r="G1523" s="96"/>
      <c r="H1523" s="96"/>
      <c r="I1523" s="96"/>
      <c r="J1523" s="96"/>
      <c r="L1523" s="96"/>
      <c r="M1523" s="96"/>
      <c r="P1523" s="96"/>
      <c r="Q1523" s="96"/>
      <c r="R1523" s="96"/>
      <c r="S1523" s="96"/>
      <c r="T1523" s="96"/>
      <c r="U1523" s="96"/>
      <c r="V1523" s="96"/>
      <c r="W1523" s="96"/>
      <c r="AA1523" s="104"/>
      <c r="AB1523" s="104"/>
    </row>
    <row r="1524" spans="1:28" x14ac:dyDescent="0.3">
      <c r="A1524" s="96"/>
      <c r="B1524" s="96"/>
      <c r="C1524" s="96"/>
      <c r="D1524" s="96"/>
      <c r="E1524" s="103"/>
      <c r="F1524" s="96"/>
      <c r="G1524" s="96"/>
      <c r="H1524" s="96"/>
      <c r="I1524" s="96"/>
      <c r="J1524" s="96"/>
      <c r="L1524" s="96"/>
      <c r="M1524" s="96"/>
      <c r="P1524" s="96"/>
      <c r="Q1524" s="96"/>
      <c r="R1524" s="96"/>
      <c r="S1524" s="96"/>
      <c r="T1524" s="96"/>
      <c r="U1524" s="96"/>
      <c r="V1524" s="96"/>
      <c r="W1524" s="96"/>
      <c r="AA1524" s="104"/>
      <c r="AB1524" s="104"/>
    </row>
    <row r="1525" spans="1:28" x14ac:dyDescent="0.3">
      <c r="A1525" s="96"/>
      <c r="B1525" s="96"/>
      <c r="C1525" s="96"/>
      <c r="D1525" s="96"/>
      <c r="E1525" s="103"/>
      <c r="F1525" s="96"/>
      <c r="G1525" s="96"/>
      <c r="H1525" s="96"/>
      <c r="I1525" s="96"/>
      <c r="J1525" s="96"/>
      <c r="L1525" s="96"/>
      <c r="M1525" s="96"/>
      <c r="P1525" s="96"/>
      <c r="Q1525" s="96"/>
      <c r="R1525" s="96"/>
      <c r="S1525" s="96"/>
      <c r="T1525" s="96"/>
      <c r="U1525" s="96"/>
      <c r="V1525" s="96"/>
      <c r="W1525" s="96"/>
      <c r="AA1525" s="104"/>
      <c r="AB1525" s="104"/>
    </row>
    <row r="1526" spans="1:28" x14ac:dyDescent="0.3">
      <c r="A1526" s="96"/>
      <c r="B1526" s="96"/>
      <c r="C1526" s="96"/>
      <c r="D1526" s="96"/>
      <c r="E1526" s="103"/>
      <c r="F1526" s="96"/>
      <c r="G1526" s="96"/>
      <c r="H1526" s="96"/>
      <c r="I1526" s="96"/>
      <c r="J1526" s="96"/>
      <c r="L1526" s="96"/>
      <c r="M1526" s="96"/>
      <c r="P1526" s="96"/>
      <c r="Q1526" s="96"/>
      <c r="R1526" s="96"/>
      <c r="S1526" s="96"/>
      <c r="T1526" s="96"/>
      <c r="U1526" s="96"/>
      <c r="V1526" s="96"/>
      <c r="W1526" s="96"/>
      <c r="AA1526" s="104"/>
      <c r="AB1526" s="104"/>
    </row>
    <row r="1527" spans="1:28" x14ac:dyDescent="0.3">
      <c r="A1527" s="96"/>
      <c r="B1527" s="96"/>
      <c r="C1527" s="96"/>
      <c r="D1527" s="96"/>
      <c r="E1527" s="103"/>
      <c r="F1527" s="96"/>
      <c r="G1527" s="96"/>
      <c r="H1527" s="96"/>
      <c r="I1527" s="96"/>
      <c r="J1527" s="96"/>
      <c r="L1527" s="96"/>
      <c r="M1527" s="96"/>
      <c r="P1527" s="96"/>
      <c r="Q1527" s="96"/>
      <c r="R1527" s="96"/>
      <c r="S1527" s="96"/>
      <c r="T1527" s="96"/>
      <c r="U1527" s="96"/>
      <c r="V1527" s="96"/>
      <c r="W1527" s="96"/>
      <c r="AA1527" s="104"/>
      <c r="AB1527" s="104"/>
    </row>
    <row r="1528" spans="1:28" x14ac:dyDescent="0.3">
      <c r="A1528" s="96"/>
      <c r="B1528" s="96"/>
      <c r="C1528" s="96"/>
      <c r="D1528" s="96"/>
      <c r="E1528" s="103"/>
      <c r="F1528" s="96"/>
      <c r="G1528" s="96"/>
      <c r="H1528" s="96"/>
      <c r="I1528" s="96"/>
      <c r="J1528" s="96"/>
      <c r="L1528" s="96"/>
      <c r="M1528" s="96"/>
      <c r="P1528" s="96"/>
      <c r="Q1528" s="96"/>
      <c r="R1528" s="96"/>
      <c r="S1528" s="96"/>
      <c r="T1528" s="96"/>
      <c r="U1528" s="96"/>
      <c r="V1528" s="96"/>
      <c r="W1528" s="96"/>
      <c r="AA1528" s="104"/>
      <c r="AB1528" s="104"/>
    </row>
    <row r="1529" spans="1:28" x14ac:dyDescent="0.3">
      <c r="A1529" s="96"/>
      <c r="B1529" s="96"/>
      <c r="C1529" s="96"/>
      <c r="D1529" s="96"/>
      <c r="E1529" s="103"/>
      <c r="F1529" s="96"/>
      <c r="G1529" s="96"/>
      <c r="H1529" s="96"/>
      <c r="I1529" s="96"/>
      <c r="J1529" s="96"/>
      <c r="L1529" s="96"/>
      <c r="M1529" s="96"/>
      <c r="P1529" s="96"/>
      <c r="Q1529" s="96"/>
      <c r="R1529" s="96"/>
      <c r="S1529" s="96"/>
      <c r="T1529" s="96"/>
      <c r="U1529" s="96"/>
      <c r="V1529" s="96"/>
      <c r="W1529" s="96"/>
      <c r="AA1529" s="104"/>
      <c r="AB1529" s="104"/>
    </row>
    <row r="1530" spans="1:28" x14ac:dyDescent="0.3">
      <c r="A1530" s="96"/>
      <c r="B1530" s="96"/>
      <c r="C1530" s="96"/>
      <c r="D1530" s="96"/>
      <c r="E1530" s="103"/>
      <c r="F1530" s="96"/>
      <c r="G1530" s="96"/>
      <c r="H1530" s="96"/>
      <c r="I1530" s="96"/>
      <c r="J1530" s="96"/>
      <c r="L1530" s="96"/>
      <c r="M1530" s="96"/>
      <c r="P1530" s="96"/>
      <c r="Q1530" s="96"/>
      <c r="R1530" s="96"/>
      <c r="S1530" s="96"/>
      <c r="T1530" s="96"/>
      <c r="U1530" s="96"/>
      <c r="V1530" s="96"/>
      <c r="W1530" s="96"/>
      <c r="AA1530" s="104"/>
      <c r="AB1530" s="104"/>
    </row>
    <row r="1531" spans="1:28" x14ac:dyDescent="0.3">
      <c r="A1531" s="96"/>
      <c r="B1531" s="96"/>
      <c r="C1531" s="96"/>
      <c r="D1531" s="96"/>
      <c r="E1531" s="103"/>
      <c r="F1531" s="96"/>
      <c r="G1531" s="96"/>
      <c r="H1531" s="96"/>
      <c r="I1531" s="96"/>
      <c r="J1531" s="96"/>
      <c r="L1531" s="96"/>
      <c r="M1531" s="96"/>
      <c r="P1531" s="96"/>
      <c r="Q1531" s="96"/>
      <c r="R1531" s="96"/>
      <c r="S1531" s="96"/>
      <c r="T1531" s="96"/>
      <c r="U1531" s="96"/>
      <c r="V1531" s="96"/>
      <c r="W1531" s="96"/>
      <c r="AA1531" s="104"/>
      <c r="AB1531" s="104"/>
    </row>
    <row r="1532" spans="1:28" x14ac:dyDescent="0.3">
      <c r="A1532" s="96"/>
      <c r="B1532" s="96"/>
      <c r="C1532" s="96"/>
      <c r="D1532" s="96"/>
      <c r="E1532" s="103"/>
      <c r="F1532" s="96"/>
      <c r="G1532" s="96"/>
      <c r="H1532" s="96"/>
      <c r="I1532" s="96"/>
      <c r="J1532" s="96"/>
      <c r="L1532" s="96"/>
      <c r="M1532" s="96"/>
      <c r="P1532" s="96"/>
      <c r="Q1532" s="96"/>
      <c r="R1532" s="96"/>
      <c r="S1532" s="96"/>
      <c r="T1532" s="96"/>
      <c r="U1532" s="96"/>
      <c r="V1532" s="96"/>
      <c r="W1532" s="96"/>
      <c r="AA1532" s="104"/>
      <c r="AB1532" s="104"/>
    </row>
    <row r="1533" spans="1:28" x14ac:dyDescent="0.3">
      <c r="A1533" s="96"/>
      <c r="B1533" s="96"/>
      <c r="C1533" s="96"/>
      <c r="D1533" s="96"/>
      <c r="E1533" s="103"/>
      <c r="F1533" s="96"/>
      <c r="G1533" s="96"/>
      <c r="H1533" s="96"/>
      <c r="I1533" s="96"/>
      <c r="J1533" s="96"/>
      <c r="L1533" s="96"/>
      <c r="M1533" s="96"/>
      <c r="P1533" s="96"/>
      <c r="Q1533" s="96"/>
      <c r="R1533" s="96"/>
      <c r="S1533" s="96"/>
      <c r="T1533" s="96"/>
      <c r="U1533" s="96"/>
      <c r="V1533" s="96"/>
      <c r="W1533" s="96"/>
      <c r="AA1533" s="104"/>
      <c r="AB1533" s="104"/>
    </row>
    <row r="1534" spans="1:28" x14ac:dyDescent="0.3">
      <c r="A1534" s="96"/>
      <c r="B1534" s="96"/>
      <c r="C1534" s="96"/>
      <c r="D1534" s="96"/>
      <c r="E1534" s="103"/>
      <c r="F1534" s="96"/>
      <c r="G1534" s="96"/>
      <c r="H1534" s="96"/>
      <c r="I1534" s="96"/>
      <c r="J1534" s="96"/>
      <c r="L1534" s="96"/>
      <c r="M1534" s="96"/>
      <c r="P1534" s="96"/>
      <c r="Q1534" s="96"/>
      <c r="R1534" s="96"/>
      <c r="S1534" s="96"/>
      <c r="T1534" s="96"/>
      <c r="U1534" s="96"/>
      <c r="V1534" s="96"/>
      <c r="W1534" s="96"/>
      <c r="AA1534" s="104"/>
      <c r="AB1534" s="104"/>
    </row>
    <row r="1535" spans="1:28" x14ac:dyDescent="0.3">
      <c r="A1535" s="96"/>
      <c r="B1535" s="96"/>
      <c r="C1535" s="96"/>
      <c r="D1535" s="96"/>
      <c r="E1535" s="103"/>
      <c r="F1535" s="96"/>
      <c r="G1535" s="96"/>
      <c r="H1535" s="96"/>
      <c r="I1535" s="96"/>
      <c r="J1535" s="96"/>
      <c r="L1535" s="96"/>
      <c r="M1535" s="96"/>
      <c r="P1535" s="96"/>
      <c r="Q1535" s="96"/>
      <c r="R1535" s="96"/>
      <c r="S1535" s="96"/>
      <c r="T1535" s="96"/>
      <c r="U1535" s="96"/>
      <c r="V1535" s="96"/>
      <c r="W1535" s="96"/>
      <c r="AA1535" s="104"/>
      <c r="AB1535" s="104"/>
    </row>
    <row r="1536" spans="1:28" x14ac:dyDescent="0.3">
      <c r="A1536" s="96"/>
      <c r="B1536" s="96"/>
      <c r="C1536" s="96"/>
      <c r="D1536" s="96"/>
      <c r="E1536" s="103"/>
      <c r="F1536" s="96"/>
      <c r="G1536" s="96"/>
      <c r="H1536" s="96"/>
      <c r="I1536" s="96"/>
      <c r="J1536" s="96"/>
      <c r="L1536" s="96"/>
      <c r="M1536" s="96"/>
      <c r="P1536" s="96"/>
      <c r="Q1536" s="96"/>
      <c r="R1536" s="96"/>
      <c r="S1536" s="96"/>
      <c r="T1536" s="96"/>
      <c r="U1536" s="96"/>
      <c r="V1536" s="96"/>
      <c r="W1536" s="96"/>
      <c r="AA1536" s="104"/>
      <c r="AB1536" s="104"/>
    </row>
    <row r="1537" spans="1:28" x14ac:dyDescent="0.3">
      <c r="A1537" s="96"/>
      <c r="B1537" s="96"/>
      <c r="C1537" s="96"/>
      <c r="D1537" s="96"/>
      <c r="E1537" s="103"/>
      <c r="F1537" s="96"/>
      <c r="G1537" s="96"/>
      <c r="H1537" s="96"/>
      <c r="I1537" s="96"/>
      <c r="J1537" s="96"/>
      <c r="L1537" s="96"/>
      <c r="M1537" s="96"/>
      <c r="P1537" s="96"/>
      <c r="Q1537" s="96"/>
      <c r="R1537" s="96"/>
      <c r="S1537" s="96"/>
      <c r="T1537" s="96"/>
      <c r="U1537" s="96"/>
      <c r="V1537" s="96"/>
      <c r="W1537" s="96"/>
      <c r="AA1537" s="104"/>
      <c r="AB1537" s="104"/>
    </row>
    <row r="1538" spans="1:28" x14ac:dyDescent="0.3">
      <c r="A1538" s="96"/>
      <c r="B1538" s="96"/>
      <c r="C1538" s="96"/>
      <c r="D1538" s="96"/>
      <c r="E1538" s="103"/>
      <c r="F1538" s="96"/>
      <c r="G1538" s="96"/>
      <c r="H1538" s="96"/>
      <c r="I1538" s="96"/>
      <c r="J1538" s="96"/>
      <c r="L1538" s="96"/>
      <c r="M1538" s="96"/>
      <c r="P1538" s="96"/>
      <c r="Q1538" s="96"/>
      <c r="R1538" s="96"/>
      <c r="S1538" s="96"/>
      <c r="T1538" s="96"/>
      <c r="U1538" s="96"/>
      <c r="V1538" s="96"/>
      <c r="W1538" s="96"/>
      <c r="AA1538" s="104"/>
      <c r="AB1538" s="104"/>
    </row>
    <row r="1539" spans="1:28" x14ac:dyDescent="0.3">
      <c r="A1539" s="96"/>
      <c r="B1539" s="96"/>
      <c r="C1539" s="96"/>
      <c r="D1539" s="96"/>
      <c r="E1539" s="103"/>
      <c r="F1539" s="96"/>
      <c r="G1539" s="96"/>
      <c r="H1539" s="96"/>
      <c r="I1539" s="96"/>
      <c r="J1539" s="96"/>
      <c r="L1539" s="96"/>
      <c r="M1539" s="96"/>
      <c r="P1539" s="96"/>
      <c r="Q1539" s="96"/>
      <c r="R1539" s="96"/>
      <c r="S1539" s="96"/>
      <c r="T1539" s="96"/>
      <c r="U1539" s="96"/>
      <c r="V1539" s="96"/>
      <c r="W1539" s="96"/>
      <c r="AA1539" s="104"/>
      <c r="AB1539" s="104"/>
    </row>
    <row r="1540" spans="1:28" x14ac:dyDescent="0.3">
      <c r="A1540" s="96"/>
      <c r="B1540" s="96"/>
      <c r="C1540" s="96"/>
      <c r="D1540" s="96"/>
      <c r="E1540" s="103"/>
      <c r="F1540" s="96"/>
      <c r="G1540" s="96"/>
      <c r="H1540" s="96"/>
      <c r="I1540" s="96"/>
      <c r="J1540" s="96"/>
      <c r="L1540" s="96"/>
      <c r="M1540" s="96"/>
      <c r="P1540" s="96"/>
      <c r="Q1540" s="96"/>
      <c r="R1540" s="96"/>
      <c r="S1540" s="96"/>
      <c r="T1540" s="96"/>
      <c r="U1540" s="96"/>
      <c r="V1540" s="96"/>
      <c r="W1540" s="96"/>
      <c r="AA1540" s="104"/>
      <c r="AB1540" s="104"/>
    </row>
    <row r="1541" spans="1:28" x14ac:dyDescent="0.3">
      <c r="A1541" s="96"/>
      <c r="B1541" s="96"/>
      <c r="C1541" s="96"/>
      <c r="D1541" s="96"/>
      <c r="E1541" s="103"/>
      <c r="F1541" s="96"/>
      <c r="G1541" s="96"/>
      <c r="H1541" s="96"/>
      <c r="I1541" s="96"/>
      <c r="J1541" s="96"/>
      <c r="L1541" s="96"/>
      <c r="M1541" s="96"/>
      <c r="P1541" s="96"/>
      <c r="Q1541" s="96"/>
      <c r="R1541" s="96"/>
      <c r="S1541" s="96"/>
      <c r="T1541" s="96"/>
      <c r="U1541" s="96"/>
      <c r="V1541" s="96"/>
      <c r="W1541" s="96"/>
      <c r="AA1541" s="104"/>
      <c r="AB1541" s="104"/>
    </row>
    <row r="1542" spans="1:28" x14ac:dyDescent="0.3">
      <c r="A1542" s="96"/>
      <c r="B1542" s="96"/>
      <c r="C1542" s="96"/>
      <c r="D1542" s="96"/>
      <c r="E1542" s="103"/>
      <c r="F1542" s="96"/>
      <c r="G1542" s="96"/>
      <c r="H1542" s="96"/>
      <c r="I1542" s="96"/>
      <c r="J1542" s="96"/>
      <c r="L1542" s="96"/>
      <c r="M1542" s="96"/>
      <c r="P1542" s="96"/>
      <c r="Q1542" s="96"/>
      <c r="R1542" s="96"/>
      <c r="S1542" s="96"/>
      <c r="T1542" s="96"/>
      <c r="U1542" s="96"/>
      <c r="V1542" s="96"/>
      <c r="W1542" s="96"/>
      <c r="AA1542" s="104"/>
      <c r="AB1542" s="104"/>
    </row>
    <row r="1543" spans="1:28" x14ac:dyDescent="0.3">
      <c r="A1543" s="96"/>
      <c r="B1543" s="96"/>
      <c r="C1543" s="96"/>
      <c r="D1543" s="96"/>
      <c r="E1543" s="103"/>
      <c r="F1543" s="96"/>
      <c r="G1543" s="96"/>
      <c r="H1543" s="96"/>
      <c r="I1543" s="96"/>
      <c r="J1543" s="96"/>
      <c r="L1543" s="96"/>
      <c r="M1543" s="96"/>
      <c r="P1543" s="96"/>
      <c r="Q1543" s="96"/>
      <c r="R1543" s="96"/>
      <c r="S1543" s="96"/>
      <c r="T1543" s="96"/>
      <c r="U1543" s="96"/>
      <c r="V1543" s="96"/>
      <c r="W1543" s="96"/>
    </row>
    <row r="1544" spans="1:28" x14ac:dyDescent="0.3">
      <c r="A1544" s="96"/>
      <c r="B1544" s="96"/>
      <c r="C1544" s="96"/>
      <c r="D1544" s="96"/>
      <c r="E1544" s="103"/>
      <c r="F1544" s="96"/>
      <c r="G1544" s="96"/>
      <c r="H1544" s="96"/>
      <c r="I1544" s="96"/>
      <c r="J1544" s="96"/>
      <c r="L1544" s="96"/>
      <c r="M1544" s="96"/>
      <c r="P1544" s="96"/>
      <c r="Q1544" s="96"/>
      <c r="R1544" s="96"/>
      <c r="S1544" s="96"/>
      <c r="T1544" s="96"/>
      <c r="U1544" s="96"/>
      <c r="V1544" s="96"/>
      <c r="W1544" s="96"/>
    </row>
    <row r="1545" spans="1:28" x14ac:dyDescent="0.3">
      <c r="A1545" s="96"/>
      <c r="B1545" s="96"/>
      <c r="C1545" s="96"/>
      <c r="D1545" s="96"/>
      <c r="E1545" s="103"/>
      <c r="F1545" s="96"/>
      <c r="G1545" s="96"/>
      <c r="H1545" s="96"/>
      <c r="I1545" s="96"/>
      <c r="J1545" s="96"/>
      <c r="L1545" s="96"/>
      <c r="M1545" s="96"/>
      <c r="P1545" s="96"/>
      <c r="Q1545" s="96"/>
      <c r="R1545" s="96"/>
      <c r="S1545" s="96"/>
      <c r="T1545" s="96"/>
      <c r="U1545" s="96"/>
      <c r="V1545" s="96"/>
      <c r="W1545" s="96"/>
    </row>
    <row r="1546" spans="1:28" x14ac:dyDescent="0.3">
      <c r="A1546" s="96"/>
      <c r="B1546" s="96"/>
      <c r="C1546" s="96"/>
      <c r="D1546" s="96"/>
      <c r="E1546" s="103"/>
      <c r="F1546" s="96"/>
      <c r="G1546" s="96"/>
      <c r="H1546" s="96"/>
      <c r="I1546" s="96"/>
      <c r="J1546" s="96"/>
      <c r="L1546" s="96"/>
      <c r="M1546" s="96"/>
      <c r="P1546" s="96"/>
      <c r="Q1546" s="96"/>
      <c r="R1546" s="96"/>
      <c r="S1546" s="96"/>
      <c r="T1546" s="96"/>
      <c r="U1546" s="96"/>
      <c r="V1546" s="96"/>
      <c r="W1546" s="96"/>
    </row>
    <row r="1547" spans="1:28" x14ac:dyDescent="0.3">
      <c r="A1547" s="96"/>
      <c r="B1547" s="96"/>
      <c r="C1547" s="96"/>
      <c r="D1547" s="96"/>
      <c r="E1547" s="103"/>
      <c r="F1547" s="96"/>
      <c r="G1547" s="96"/>
      <c r="H1547" s="96"/>
      <c r="I1547" s="96"/>
      <c r="J1547" s="96"/>
      <c r="L1547" s="96"/>
      <c r="M1547" s="96"/>
      <c r="P1547" s="96"/>
      <c r="Q1547" s="96"/>
      <c r="R1547" s="96"/>
      <c r="S1547" s="96"/>
      <c r="T1547" s="96"/>
      <c r="U1547" s="96"/>
      <c r="V1547" s="96"/>
      <c r="W1547" s="96"/>
    </row>
    <row r="1548" spans="1:28" x14ac:dyDescent="0.3">
      <c r="A1548" s="96"/>
      <c r="B1548" s="96"/>
      <c r="C1548" s="96"/>
      <c r="D1548" s="96"/>
      <c r="E1548" s="103"/>
      <c r="F1548" s="96"/>
      <c r="G1548" s="96"/>
      <c r="H1548" s="96"/>
      <c r="I1548" s="96"/>
      <c r="J1548" s="96"/>
      <c r="L1548" s="96"/>
      <c r="M1548" s="96"/>
      <c r="P1548" s="96"/>
      <c r="Q1548" s="96"/>
      <c r="R1548" s="96"/>
      <c r="S1548" s="96"/>
      <c r="T1548" s="96"/>
      <c r="U1548" s="96"/>
      <c r="V1548" s="96"/>
      <c r="W1548" s="96"/>
    </row>
    <row r="1549" spans="1:28" x14ac:dyDescent="0.3">
      <c r="A1549" s="96"/>
      <c r="B1549" s="96"/>
      <c r="C1549" s="96"/>
      <c r="D1549" s="96"/>
      <c r="E1549" s="103"/>
      <c r="F1549" s="96"/>
      <c r="G1549" s="96"/>
      <c r="H1549" s="96"/>
      <c r="I1549" s="96"/>
      <c r="J1549" s="96"/>
      <c r="L1549" s="96"/>
      <c r="M1549" s="96"/>
      <c r="P1549" s="96"/>
      <c r="Q1549" s="96"/>
      <c r="R1549" s="96"/>
      <c r="S1549" s="96"/>
      <c r="T1549" s="96"/>
      <c r="U1549" s="96"/>
      <c r="V1549" s="96"/>
      <c r="W1549" s="96"/>
    </row>
    <row r="1550" spans="1:28" x14ac:dyDescent="0.3">
      <c r="A1550" s="96"/>
      <c r="B1550" s="96"/>
      <c r="C1550" s="96"/>
      <c r="D1550" s="96"/>
      <c r="E1550" s="103"/>
      <c r="F1550" s="96"/>
      <c r="G1550" s="96"/>
      <c r="H1550" s="96"/>
      <c r="I1550" s="96"/>
      <c r="J1550" s="96"/>
      <c r="L1550" s="96"/>
      <c r="M1550" s="96"/>
      <c r="P1550" s="96"/>
      <c r="Q1550" s="96"/>
      <c r="R1550" s="96"/>
      <c r="S1550" s="96"/>
      <c r="T1550" s="96"/>
      <c r="U1550" s="96"/>
      <c r="V1550" s="96"/>
      <c r="W1550" s="96"/>
    </row>
    <row r="1551" spans="1:28" x14ac:dyDescent="0.3">
      <c r="A1551" s="96"/>
      <c r="B1551" s="96"/>
      <c r="C1551" s="96"/>
      <c r="D1551" s="96"/>
      <c r="E1551" s="103"/>
      <c r="F1551" s="96"/>
      <c r="G1551" s="96"/>
      <c r="H1551" s="96"/>
      <c r="I1551" s="96"/>
      <c r="J1551" s="96"/>
      <c r="L1551" s="96"/>
      <c r="M1551" s="96"/>
      <c r="P1551" s="96"/>
      <c r="Q1551" s="96"/>
      <c r="R1551" s="96"/>
      <c r="S1551" s="96"/>
      <c r="T1551" s="96"/>
      <c r="U1551" s="96"/>
      <c r="V1551" s="96"/>
      <c r="W1551" s="96"/>
    </row>
    <row r="1552" spans="1:28" x14ac:dyDescent="0.3">
      <c r="A1552" s="96"/>
      <c r="B1552" s="96"/>
      <c r="C1552" s="96"/>
      <c r="D1552" s="96"/>
      <c r="E1552" s="103"/>
      <c r="F1552" s="96"/>
      <c r="G1552" s="96"/>
      <c r="H1552" s="96"/>
      <c r="I1552" s="96"/>
      <c r="J1552" s="96"/>
      <c r="L1552" s="96"/>
      <c r="M1552" s="96"/>
      <c r="P1552" s="96"/>
      <c r="Q1552" s="96"/>
      <c r="R1552" s="96"/>
      <c r="S1552" s="96"/>
      <c r="T1552" s="96"/>
      <c r="U1552" s="96"/>
      <c r="V1552" s="96"/>
      <c r="W1552" s="96"/>
    </row>
    <row r="1553" spans="1:23" x14ac:dyDescent="0.3">
      <c r="A1553" s="96"/>
      <c r="B1553" s="96"/>
      <c r="C1553" s="96"/>
      <c r="D1553" s="96"/>
      <c r="E1553" s="103"/>
      <c r="F1553" s="96"/>
      <c r="G1553" s="96"/>
      <c r="H1553" s="96"/>
      <c r="I1553" s="96"/>
      <c r="J1553" s="96"/>
      <c r="L1553" s="96"/>
      <c r="M1553" s="96"/>
      <c r="P1553" s="96"/>
      <c r="Q1553" s="96"/>
      <c r="R1553" s="96"/>
      <c r="S1553" s="96"/>
      <c r="T1553" s="96"/>
      <c r="U1553" s="96"/>
      <c r="V1553" s="96"/>
      <c r="W1553" s="96"/>
    </row>
    <row r="1554" spans="1:23" x14ac:dyDescent="0.3">
      <c r="A1554" s="96"/>
      <c r="B1554" s="96"/>
      <c r="C1554" s="96"/>
      <c r="D1554" s="96"/>
      <c r="E1554" s="103"/>
      <c r="F1554" s="96"/>
      <c r="G1554" s="96"/>
      <c r="H1554" s="96"/>
      <c r="I1554" s="96"/>
      <c r="J1554" s="96"/>
      <c r="L1554" s="96"/>
      <c r="M1554" s="96"/>
      <c r="P1554" s="96"/>
      <c r="Q1554" s="96"/>
      <c r="R1554" s="96"/>
      <c r="S1554" s="96"/>
      <c r="T1554" s="96"/>
      <c r="U1554" s="96"/>
      <c r="V1554" s="96"/>
      <c r="W1554" s="96"/>
    </row>
    <row r="1555" spans="1:23" x14ac:dyDescent="0.3">
      <c r="A1555" s="96"/>
      <c r="B1555" s="96"/>
      <c r="C1555" s="96"/>
      <c r="D1555" s="96"/>
      <c r="E1555" s="103"/>
      <c r="F1555" s="96"/>
      <c r="G1555" s="96"/>
      <c r="H1555" s="96"/>
      <c r="I1555" s="96"/>
      <c r="J1555" s="96"/>
      <c r="L1555" s="96"/>
      <c r="M1555" s="96"/>
      <c r="P1555" s="96"/>
      <c r="Q1555" s="96"/>
      <c r="R1555" s="96"/>
      <c r="S1555" s="96"/>
      <c r="T1555" s="96"/>
      <c r="U1555" s="96"/>
      <c r="V1555" s="96"/>
      <c r="W1555" s="96"/>
    </row>
    <row r="1556" spans="1:23" x14ac:dyDescent="0.3">
      <c r="A1556" s="96"/>
      <c r="B1556" s="96"/>
      <c r="C1556" s="96"/>
      <c r="D1556" s="96"/>
      <c r="E1556" s="103"/>
      <c r="F1556" s="96"/>
      <c r="G1556" s="96"/>
      <c r="H1556" s="96"/>
      <c r="I1556" s="96"/>
      <c r="J1556" s="96"/>
      <c r="L1556" s="96"/>
      <c r="M1556" s="96"/>
      <c r="P1556" s="96"/>
      <c r="Q1556" s="96"/>
      <c r="R1556" s="96"/>
      <c r="S1556" s="96"/>
      <c r="T1556" s="96"/>
      <c r="U1556" s="96"/>
      <c r="V1556" s="96"/>
      <c r="W1556" s="96"/>
    </row>
    <row r="1557" spans="1:23" x14ac:dyDescent="0.3">
      <c r="A1557" s="96"/>
      <c r="B1557" s="96"/>
      <c r="C1557" s="96"/>
      <c r="D1557" s="96"/>
      <c r="E1557" s="103"/>
      <c r="F1557" s="96"/>
      <c r="G1557" s="96"/>
      <c r="H1557" s="96"/>
      <c r="I1557" s="96"/>
      <c r="J1557" s="96"/>
      <c r="L1557" s="96"/>
      <c r="M1557" s="96"/>
      <c r="P1557" s="96"/>
      <c r="Q1557" s="96"/>
      <c r="R1557" s="96"/>
      <c r="S1557" s="96"/>
      <c r="T1557" s="96"/>
      <c r="U1557" s="96"/>
      <c r="V1557" s="96"/>
      <c r="W1557" s="96"/>
    </row>
    <row r="1558" spans="1:23" x14ac:dyDescent="0.3">
      <c r="A1558" s="96"/>
      <c r="B1558" s="96"/>
      <c r="C1558" s="96"/>
      <c r="D1558" s="96"/>
      <c r="E1558" s="103"/>
      <c r="F1558" s="96"/>
      <c r="G1558" s="96"/>
      <c r="H1558" s="96"/>
      <c r="I1558" s="96"/>
      <c r="J1558" s="96"/>
      <c r="L1558" s="96"/>
      <c r="M1558" s="96"/>
      <c r="P1558" s="96"/>
      <c r="Q1558" s="96"/>
      <c r="R1558" s="96"/>
      <c r="S1558" s="96"/>
      <c r="T1558" s="96"/>
      <c r="U1558" s="96"/>
      <c r="V1558" s="96"/>
      <c r="W1558" s="96"/>
    </row>
    <row r="1559" spans="1:23" x14ac:dyDescent="0.3">
      <c r="A1559" s="96"/>
      <c r="B1559" s="96"/>
      <c r="C1559" s="96"/>
      <c r="D1559" s="96"/>
      <c r="E1559" s="103"/>
      <c r="F1559" s="96"/>
      <c r="G1559" s="96"/>
      <c r="H1559" s="96"/>
      <c r="I1559" s="96"/>
      <c r="J1559" s="96"/>
      <c r="L1559" s="96"/>
      <c r="M1559" s="96"/>
      <c r="P1559" s="96"/>
      <c r="Q1559" s="96"/>
      <c r="R1559" s="96"/>
      <c r="S1559" s="96"/>
      <c r="T1559" s="96"/>
      <c r="U1559" s="96"/>
      <c r="V1559" s="96"/>
      <c r="W1559" s="96"/>
    </row>
    <row r="1560" spans="1:23" x14ac:dyDescent="0.3">
      <c r="A1560" s="96"/>
      <c r="B1560" s="96"/>
      <c r="C1560" s="96"/>
      <c r="D1560" s="96"/>
      <c r="E1560" s="103"/>
      <c r="F1560" s="96"/>
      <c r="G1560" s="96"/>
      <c r="H1560" s="96"/>
      <c r="I1560" s="96"/>
      <c r="J1560" s="96"/>
      <c r="L1560" s="96"/>
      <c r="M1560" s="96"/>
      <c r="P1560" s="96"/>
      <c r="Q1560" s="96"/>
      <c r="R1560" s="96"/>
      <c r="S1560" s="96"/>
      <c r="T1560" s="96"/>
      <c r="U1560" s="96"/>
      <c r="V1560" s="96"/>
      <c r="W1560" s="96"/>
    </row>
    <row r="1561" spans="1:23" x14ac:dyDescent="0.3">
      <c r="A1561" s="96"/>
      <c r="B1561" s="96"/>
      <c r="C1561" s="96"/>
      <c r="D1561" s="96"/>
      <c r="E1561" s="103"/>
      <c r="F1561" s="96"/>
      <c r="G1561" s="96"/>
      <c r="H1561" s="96"/>
      <c r="I1561" s="96"/>
      <c r="J1561" s="96"/>
      <c r="L1561" s="96"/>
      <c r="M1561" s="96"/>
      <c r="P1561" s="96"/>
      <c r="Q1561" s="96"/>
      <c r="R1561" s="96"/>
      <c r="S1561" s="96"/>
      <c r="T1561" s="96"/>
      <c r="U1561" s="96"/>
      <c r="V1561" s="96"/>
      <c r="W1561" s="96"/>
    </row>
    <row r="1562" spans="1:23" x14ac:dyDescent="0.3">
      <c r="A1562" s="96"/>
      <c r="B1562" s="96"/>
      <c r="C1562" s="96"/>
      <c r="D1562" s="96"/>
      <c r="E1562" s="103"/>
      <c r="F1562" s="96"/>
      <c r="G1562" s="96"/>
      <c r="H1562" s="96"/>
      <c r="I1562" s="96"/>
      <c r="J1562" s="96"/>
      <c r="L1562" s="96"/>
      <c r="M1562" s="96"/>
      <c r="P1562" s="96"/>
      <c r="Q1562" s="96"/>
      <c r="R1562" s="96"/>
      <c r="S1562" s="96"/>
      <c r="T1562" s="96"/>
      <c r="U1562" s="96"/>
      <c r="V1562" s="96"/>
      <c r="W1562" s="96"/>
    </row>
    <row r="1563" spans="1:23" x14ac:dyDescent="0.3">
      <c r="A1563" s="96"/>
      <c r="B1563" s="96"/>
      <c r="C1563" s="96"/>
      <c r="D1563" s="96"/>
      <c r="E1563" s="103"/>
      <c r="F1563" s="96"/>
      <c r="G1563" s="96"/>
      <c r="H1563" s="96"/>
      <c r="I1563" s="96"/>
      <c r="J1563" s="96"/>
      <c r="L1563" s="96"/>
      <c r="M1563" s="96"/>
      <c r="P1563" s="96"/>
      <c r="Q1563" s="96"/>
      <c r="R1563" s="96"/>
      <c r="S1563" s="96"/>
      <c r="T1563" s="96"/>
      <c r="U1563" s="96"/>
      <c r="V1563" s="96"/>
      <c r="W1563" s="96"/>
    </row>
    <row r="1564" spans="1:23" x14ac:dyDescent="0.3">
      <c r="A1564" s="96"/>
      <c r="B1564" s="96"/>
      <c r="C1564" s="96"/>
      <c r="D1564" s="96"/>
      <c r="E1564" s="103"/>
      <c r="F1564" s="96"/>
      <c r="G1564" s="96"/>
      <c r="H1564" s="96"/>
      <c r="I1564" s="96"/>
      <c r="J1564" s="96"/>
      <c r="L1564" s="96"/>
      <c r="M1564" s="96"/>
      <c r="P1564" s="96"/>
      <c r="Q1564" s="96"/>
      <c r="R1564" s="96"/>
      <c r="S1564" s="96"/>
      <c r="T1564" s="96"/>
      <c r="U1564" s="96"/>
      <c r="V1564" s="96"/>
      <c r="W1564" s="96"/>
    </row>
    <row r="1565" spans="1:23" x14ac:dyDescent="0.3">
      <c r="A1565" s="96"/>
      <c r="B1565" s="96"/>
      <c r="C1565" s="96"/>
      <c r="D1565" s="96"/>
      <c r="E1565" s="103"/>
      <c r="F1565" s="96"/>
      <c r="G1565" s="96"/>
      <c r="H1565" s="96"/>
      <c r="I1565" s="96"/>
      <c r="J1565" s="96"/>
      <c r="L1565" s="96"/>
      <c r="M1565" s="96"/>
      <c r="P1565" s="96"/>
      <c r="Q1565" s="96"/>
      <c r="R1565" s="96"/>
      <c r="S1565" s="96"/>
      <c r="T1565" s="96"/>
      <c r="U1565" s="96"/>
      <c r="V1565" s="96"/>
      <c r="W1565" s="96"/>
    </row>
    <row r="1566" spans="1:23" x14ac:dyDescent="0.3">
      <c r="A1566" s="96"/>
      <c r="B1566" s="96"/>
      <c r="C1566" s="96"/>
      <c r="D1566" s="96"/>
      <c r="E1566" s="103"/>
      <c r="F1566" s="96"/>
      <c r="G1566" s="96"/>
      <c r="H1566" s="96"/>
      <c r="I1566" s="96"/>
      <c r="J1566" s="96"/>
      <c r="L1566" s="96"/>
      <c r="M1566" s="96"/>
      <c r="P1566" s="96"/>
      <c r="Q1566" s="96"/>
      <c r="R1566" s="96"/>
      <c r="S1566" s="96"/>
      <c r="T1566" s="96"/>
      <c r="U1566" s="96"/>
      <c r="V1566" s="96"/>
      <c r="W1566" s="96"/>
    </row>
    <row r="1567" spans="1:23" x14ac:dyDescent="0.3">
      <c r="A1567" s="96"/>
      <c r="B1567" s="96"/>
      <c r="C1567" s="96"/>
      <c r="D1567" s="96"/>
      <c r="E1567" s="103"/>
      <c r="F1567" s="96"/>
      <c r="G1567" s="96"/>
      <c r="H1567" s="96"/>
      <c r="I1567" s="96"/>
      <c r="J1567" s="96"/>
      <c r="L1567" s="96"/>
      <c r="M1567" s="96"/>
      <c r="P1567" s="96"/>
      <c r="Q1567" s="96"/>
      <c r="R1567" s="96"/>
      <c r="S1567" s="96"/>
      <c r="T1567" s="96"/>
      <c r="U1567" s="96"/>
      <c r="V1567" s="96"/>
      <c r="W1567" s="96"/>
    </row>
    <row r="1568" spans="1:23" x14ac:dyDescent="0.3">
      <c r="A1568" s="96"/>
      <c r="B1568" s="96"/>
      <c r="C1568" s="96"/>
      <c r="D1568" s="96"/>
      <c r="E1568" s="103"/>
      <c r="F1568" s="96"/>
      <c r="G1568" s="96"/>
      <c r="H1568" s="96"/>
      <c r="I1568" s="96"/>
      <c r="J1568" s="96"/>
      <c r="L1568" s="96"/>
      <c r="M1568" s="96"/>
      <c r="P1568" s="96"/>
      <c r="Q1568" s="96"/>
      <c r="R1568" s="96"/>
      <c r="S1568" s="96"/>
      <c r="T1568" s="96"/>
      <c r="U1568" s="96"/>
      <c r="V1568" s="96"/>
      <c r="W1568" s="96"/>
    </row>
    <row r="1569" spans="1:23" x14ac:dyDescent="0.3">
      <c r="A1569" s="96"/>
      <c r="B1569" s="96"/>
      <c r="C1569" s="96"/>
      <c r="D1569" s="96"/>
      <c r="E1569" s="103"/>
      <c r="F1569" s="96"/>
      <c r="G1569" s="96"/>
      <c r="H1569" s="96"/>
      <c r="I1569" s="96"/>
      <c r="J1569" s="96"/>
      <c r="L1569" s="96"/>
      <c r="M1569" s="96"/>
      <c r="P1569" s="96"/>
      <c r="Q1569" s="96"/>
      <c r="R1569" s="96"/>
      <c r="S1569" s="96"/>
      <c r="T1569" s="96"/>
      <c r="U1569" s="96"/>
      <c r="V1569" s="96"/>
      <c r="W1569" s="96"/>
    </row>
    <row r="1570" spans="1:23" x14ac:dyDescent="0.3">
      <c r="A1570" s="96"/>
      <c r="B1570" s="96"/>
      <c r="C1570" s="96"/>
      <c r="D1570" s="96"/>
      <c r="E1570" s="103"/>
      <c r="F1570" s="96"/>
      <c r="G1570" s="96"/>
      <c r="H1570" s="96"/>
      <c r="I1570" s="96"/>
      <c r="J1570" s="96"/>
      <c r="L1570" s="96"/>
      <c r="M1570" s="96"/>
      <c r="P1570" s="96"/>
      <c r="Q1570" s="96"/>
      <c r="R1570" s="96"/>
      <c r="S1570" s="96"/>
      <c r="T1570" s="96"/>
      <c r="U1570" s="96"/>
      <c r="V1570" s="96"/>
      <c r="W1570" s="96"/>
    </row>
    <row r="1571" spans="1:23" x14ac:dyDescent="0.3">
      <c r="A1571" s="96"/>
      <c r="B1571" s="96"/>
      <c r="C1571" s="96"/>
      <c r="D1571" s="96"/>
      <c r="E1571" s="103"/>
      <c r="F1571" s="96"/>
      <c r="G1571" s="96"/>
      <c r="H1571" s="96"/>
      <c r="I1571" s="96"/>
      <c r="J1571" s="96"/>
      <c r="L1571" s="96"/>
      <c r="M1571" s="96"/>
      <c r="P1571" s="96"/>
      <c r="Q1571" s="96"/>
      <c r="R1571" s="96"/>
      <c r="S1571" s="96"/>
      <c r="T1571" s="96"/>
      <c r="U1571" s="96"/>
      <c r="V1571" s="96"/>
      <c r="W1571" s="96"/>
    </row>
    <row r="1572" spans="1:23" x14ac:dyDescent="0.3">
      <c r="A1572" s="96"/>
      <c r="B1572" s="96"/>
      <c r="C1572" s="96"/>
      <c r="D1572" s="96"/>
      <c r="E1572" s="103"/>
      <c r="F1572" s="96"/>
      <c r="G1572" s="96"/>
      <c r="H1572" s="96"/>
      <c r="I1572" s="96"/>
      <c r="J1572" s="96"/>
      <c r="L1572" s="96"/>
      <c r="M1572" s="96"/>
      <c r="P1572" s="96"/>
      <c r="Q1572" s="96"/>
      <c r="R1572" s="96"/>
      <c r="S1572" s="96"/>
      <c r="T1572" s="96"/>
      <c r="U1572" s="96"/>
      <c r="V1572" s="96"/>
      <c r="W1572" s="96"/>
    </row>
    <row r="1573" spans="1:23" x14ac:dyDescent="0.3">
      <c r="A1573" s="96"/>
      <c r="B1573" s="96"/>
      <c r="C1573" s="96"/>
      <c r="D1573" s="96"/>
      <c r="E1573" s="103"/>
      <c r="F1573" s="96"/>
      <c r="G1573" s="96"/>
      <c r="H1573" s="96"/>
      <c r="I1573" s="96"/>
      <c r="J1573" s="96"/>
      <c r="L1573" s="96"/>
      <c r="M1573" s="96"/>
      <c r="P1573" s="96"/>
      <c r="Q1573" s="96"/>
      <c r="R1573" s="96"/>
      <c r="S1573" s="96"/>
      <c r="T1573" s="96"/>
      <c r="U1573" s="96"/>
      <c r="V1573" s="96"/>
      <c r="W1573" s="96"/>
    </row>
    <row r="1574" spans="1:23" x14ac:dyDescent="0.3">
      <c r="A1574" s="96"/>
      <c r="B1574" s="96"/>
      <c r="C1574" s="96"/>
      <c r="D1574" s="96"/>
      <c r="E1574" s="103"/>
      <c r="F1574" s="96"/>
      <c r="G1574" s="96"/>
      <c r="H1574" s="96"/>
      <c r="I1574" s="96"/>
      <c r="J1574" s="96"/>
      <c r="L1574" s="96"/>
      <c r="M1574" s="96"/>
      <c r="P1574" s="96"/>
      <c r="Q1574" s="96"/>
      <c r="R1574" s="96"/>
      <c r="S1574" s="96"/>
      <c r="T1574" s="96"/>
      <c r="U1574" s="96"/>
      <c r="V1574" s="96"/>
      <c r="W1574" s="96"/>
    </row>
    <row r="1575" spans="1:23" x14ac:dyDescent="0.3">
      <c r="A1575" s="96"/>
      <c r="B1575" s="96"/>
      <c r="C1575" s="96"/>
      <c r="D1575" s="96"/>
      <c r="E1575" s="103"/>
      <c r="F1575" s="96"/>
      <c r="G1575" s="96"/>
      <c r="H1575" s="96"/>
      <c r="I1575" s="96"/>
      <c r="J1575" s="96"/>
      <c r="L1575" s="96"/>
      <c r="M1575" s="96"/>
      <c r="P1575" s="96"/>
      <c r="Q1575" s="96"/>
      <c r="R1575" s="96"/>
      <c r="S1575" s="96"/>
      <c r="T1575" s="96"/>
      <c r="U1575" s="96"/>
      <c r="V1575" s="96"/>
      <c r="W1575" s="96"/>
    </row>
    <row r="1576" spans="1:23" x14ac:dyDescent="0.3">
      <c r="A1576" s="96"/>
      <c r="B1576" s="96"/>
      <c r="C1576" s="96"/>
      <c r="D1576" s="96"/>
      <c r="E1576" s="103"/>
      <c r="F1576" s="96"/>
      <c r="G1576" s="96"/>
      <c r="H1576" s="96"/>
      <c r="I1576" s="96"/>
      <c r="J1576" s="96"/>
      <c r="L1576" s="96"/>
      <c r="M1576" s="96"/>
      <c r="P1576" s="96"/>
      <c r="Q1576" s="96"/>
      <c r="R1576" s="96"/>
      <c r="S1576" s="96"/>
      <c r="T1576" s="96"/>
      <c r="U1576" s="96"/>
      <c r="V1576" s="96"/>
      <c r="W1576" s="96"/>
    </row>
    <row r="1577" spans="1:23" x14ac:dyDescent="0.3">
      <c r="A1577" s="96"/>
      <c r="B1577" s="96"/>
      <c r="C1577" s="96"/>
      <c r="D1577" s="96"/>
      <c r="E1577" s="103"/>
      <c r="F1577" s="96"/>
      <c r="G1577" s="96"/>
      <c r="H1577" s="96"/>
      <c r="I1577" s="96"/>
      <c r="J1577" s="96"/>
      <c r="L1577" s="96"/>
      <c r="M1577" s="96"/>
      <c r="P1577" s="96"/>
      <c r="Q1577" s="96"/>
      <c r="R1577" s="96"/>
      <c r="S1577" s="96"/>
      <c r="T1577" s="96"/>
      <c r="U1577" s="96"/>
      <c r="V1577" s="96"/>
      <c r="W1577" s="96"/>
    </row>
    <row r="1578" spans="1:23" x14ac:dyDescent="0.3">
      <c r="A1578" s="96"/>
      <c r="B1578" s="96"/>
      <c r="C1578" s="96"/>
      <c r="D1578" s="96"/>
      <c r="E1578" s="103"/>
      <c r="F1578" s="96"/>
      <c r="G1578" s="96"/>
      <c r="H1578" s="96"/>
      <c r="I1578" s="96"/>
      <c r="J1578" s="96"/>
      <c r="L1578" s="96"/>
      <c r="M1578" s="96"/>
      <c r="P1578" s="96"/>
      <c r="Q1578" s="96"/>
      <c r="R1578" s="96"/>
      <c r="S1578" s="96"/>
      <c r="T1578" s="96"/>
      <c r="U1578" s="96"/>
      <c r="V1578" s="96"/>
      <c r="W1578" s="96"/>
    </row>
    <row r="1579" spans="1:23" x14ac:dyDescent="0.3">
      <c r="A1579" s="96"/>
      <c r="B1579" s="96"/>
      <c r="C1579" s="96"/>
      <c r="D1579" s="96"/>
      <c r="E1579" s="103"/>
      <c r="F1579" s="96"/>
      <c r="G1579" s="96"/>
      <c r="H1579" s="96"/>
      <c r="I1579" s="96"/>
      <c r="J1579" s="96"/>
      <c r="L1579" s="96"/>
      <c r="M1579" s="96"/>
      <c r="P1579" s="96"/>
      <c r="Q1579" s="96"/>
      <c r="R1579" s="96"/>
      <c r="S1579" s="96"/>
      <c r="T1579" s="96"/>
      <c r="U1579" s="96"/>
      <c r="V1579" s="96"/>
      <c r="W1579" s="96"/>
    </row>
    <row r="1580" spans="1:23" x14ac:dyDescent="0.3">
      <c r="A1580" s="96"/>
      <c r="B1580" s="96"/>
      <c r="C1580" s="96"/>
      <c r="D1580" s="96"/>
      <c r="E1580" s="103"/>
      <c r="F1580" s="96"/>
      <c r="G1580" s="96"/>
      <c r="H1580" s="96"/>
      <c r="I1580" s="96"/>
      <c r="J1580" s="96"/>
      <c r="L1580" s="96"/>
      <c r="M1580" s="96"/>
      <c r="P1580" s="96"/>
      <c r="Q1580" s="96"/>
      <c r="R1580" s="96"/>
      <c r="S1580" s="96"/>
      <c r="T1580" s="96"/>
      <c r="U1580" s="96"/>
      <c r="V1580" s="96"/>
      <c r="W1580" s="96"/>
    </row>
    <row r="1581" spans="1:23" x14ac:dyDescent="0.3">
      <c r="A1581" s="96"/>
      <c r="B1581" s="96"/>
      <c r="C1581" s="96"/>
      <c r="D1581" s="96"/>
      <c r="E1581" s="103"/>
      <c r="F1581" s="96"/>
      <c r="G1581" s="96"/>
      <c r="H1581" s="96"/>
      <c r="I1581" s="96"/>
      <c r="J1581" s="96"/>
      <c r="L1581" s="96"/>
      <c r="M1581" s="96"/>
      <c r="P1581" s="96"/>
      <c r="Q1581" s="96"/>
      <c r="R1581" s="96"/>
      <c r="S1581" s="96"/>
      <c r="T1581" s="96"/>
      <c r="U1581" s="96"/>
      <c r="V1581" s="96"/>
      <c r="W1581" s="96"/>
    </row>
    <row r="1582" spans="1:23" x14ac:dyDescent="0.3">
      <c r="A1582" s="96"/>
      <c r="B1582" s="96"/>
      <c r="C1582" s="96"/>
      <c r="D1582" s="96"/>
      <c r="E1582" s="103"/>
      <c r="F1582" s="96"/>
      <c r="G1582" s="96"/>
      <c r="H1582" s="96"/>
      <c r="I1582" s="96"/>
      <c r="J1582" s="96"/>
      <c r="L1582" s="96"/>
      <c r="M1582" s="96"/>
      <c r="P1582" s="96"/>
      <c r="Q1582" s="96"/>
      <c r="R1582" s="96"/>
      <c r="S1582" s="96"/>
      <c r="T1582" s="96"/>
      <c r="U1582" s="96"/>
      <c r="V1582" s="96"/>
      <c r="W1582" s="96"/>
    </row>
    <row r="1583" spans="1:23" x14ac:dyDescent="0.3">
      <c r="A1583" s="96"/>
      <c r="B1583" s="96"/>
      <c r="C1583" s="96"/>
      <c r="D1583" s="96"/>
      <c r="E1583" s="103"/>
      <c r="F1583" s="96"/>
      <c r="G1583" s="96"/>
      <c r="H1583" s="96"/>
      <c r="I1583" s="96"/>
      <c r="J1583" s="96"/>
      <c r="L1583" s="96"/>
      <c r="M1583" s="96"/>
      <c r="P1583" s="96"/>
      <c r="Q1583" s="96"/>
      <c r="R1583" s="96"/>
      <c r="S1583" s="96"/>
      <c r="T1583" s="96"/>
      <c r="U1583" s="96"/>
      <c r="V1583" s="96"/>
      <c r="W1583" s="96"/>
    </row>
    <row r="1584" spans="1:23" x14ac:dyDescent="0.3">
      <c r="A1584" s="96"/>
      <c r="B1584" s="96"/>
      <c r="C1584" s="96"/>
      <c r="D1584" s="96"/>
      <c r="E1584" s="103"/>
      <c r="F1584" s="96"/>
      <c r="G1584" s="96"/>
      <c r="H1584" s="96"/>
      <c r="I1584" s="96"/>
      <c r="J1584" s="96"/>
      <c r="L1584" s="96"/>
      <c r="M1584" s="96"/>
      <c r="P1584" s="96"/>
      <c r="Q1584" s="96"/>
      <c r="R1584" s="96"/>
      <c r="S1584" s="96"/>
      <c r="T1584" s="96"/>
      <c r="U1584" s="96"/>
      <c r="V1584" s="96"/>
      <c r="W1584" s="96"/>
    </row>
    <row r="1585" spans="1:23" x14ac:dyDescent="0.3">
      <c r="A1585" s="96"/>
      <c r="B1585" s="96"/>
      <c r="C1585" s="96"/>
      <c r="D1585" s="96"/>
      <c r="E1585" s="103"/>
      <c r="F1585" s="96"/>
      <c r="G1585" s="96"/>
      <c r="H1585" s="96"/>
      <c r="I1585" s="96"/>
      <c r="J1585" s="96"/>
      <c r="L1585" s="96"/>
      <c r="M1585" s="96"/>
      <c r="P1585" s="96"/>
      <c r="Q1585" s="96"/>
      <c r="R1585" s="96"/>
      <c r="S1585" s="96"/>
      <c r="T1585" s="96"/>
      <c r="U1585" s="96"/>
      <c r="V1585" s="96"/>
      <c r="W1585" s="96"/>
    </row>
    <row r="1586" spans="1:23" x14ac:dyDescent="0.3">
      <c r="A1586" s="96"/>
      <c r="B1586" s="96"/>
      <c r="C1586" s="96"/>
      <c r="D1586" s="96"/>
      <c r="E1586" s="103"/>
      <c r="F1586" s="96"/>
      <c r="G1586" s="96"/>
      <c r="H1586" s="96"/>
      <c r="I1586" s="96"/>
      <c r="J1586" s="96"/>
      <c r="L1586" s="96"/>
      <c r="M1586" s="96"/>
      <c r="P1586" s="96"/>
      <c r="Q1586" s="96"/>
      <c r="R1586" s="96"/>
      <c r="S1586" s="96"/>
      <c r="T1586" s="96"/>
      <c r="U1586" s="96"/>
      <c r="V1586" s="96"/>
      <c r="W1586" s="96"/>
    </row>
    <row r="1587" spans="1:23" x14ac:dyDescent="0.3">
      <c r="A1587" s="96"/>
      <c r="B1587" s="96"/>
      <c r="C1587" s="96"/>
      <c r="D1587" s="96"/>
      <c r="E1587" s="103"/>
      <c r="F1587" s="96"/>
      <c r="G1587" s="96"/>
      <c r="H1587" s="96"/>
      <c r="I1587" s="96"/>
      <c r="J1587" s="96"/>
      <c r="L1587" s="96"/>
      <c r="M1587" s="96"/>
      <c r="P1587" s="96"/>
      <c r="Q1587" s="96"/>
      <c r="R1587" s="96"/>
      <c r="S1587" s="96"/>
      <c r="T1587" s="96"/>
      <c r="U1587" s="96"/>
      <c r="V1587" s="96"/>
      <c r="W1587" s="96"/>
    </row>
    <row r="1588" spans="1:23" x14ac:dyDescent="0.3">
      <c r="A1588" s="96"/>
      <c r="B1588" s="96"/>
      <c r="C1588" s="96"/>
      <c r="D1588" s="96"/>
      <c r="E1588" s="103"/>
      <c r="F1588" s="96"/>
      <c r="G1588" s="96"/>
      <c r="H1588" s="96"/>
      <c r="I1588" s="96"/>
      <c r="J1588" s="96"/>
      <c r="L1588" s="96"/>
      <c r="M1588" s="96"/>
      <c r="P1588" s="96"/>
      <c r="Q1588" s="96"/>
      <c r="R1588" s="96"/>
      <c r="S1588" s="96"/>
      <c r="T1588" s="96"/>
      <c r="U1588" s="96"/>
      <c r="V1588" s="96"/>
      <c r="W1588" s="96"/>
    </row>
    <row r="1589" spans="1:23" x14ac:dyDescent="0.3">
      <c r="A1589" s="96"/>
      <c r="B1589" s="96"/>
      <c r="C1589" s="96"/>
      <c r="D1589" s="96"/>
      <c r="E1589" s="103"/>
      <c r="F1589" s="96"/>
      <c r="G1589" s="96"/>
      <c r="H1589" s="96"/>
      <c r="I1589" s="96"/>
      <c r="J1589" s="96"/>
      <c r="L1589" s="96"/>
      <c r="M1589" s="96"/>
      <c r="P1589" s="96"/>
      <c r="Q1589" s="96"/>
      <c r="R1589" s="96"/>
      <c r="S1589" s="96"/>
      <c r="T1589" s="96"/>
      <c r="U1589" s="96"/>
      <c r="V1589" s="96"/>
      <c r="W1589" s="96"/>
    </row>
    <row r="1590" spans="1:23" x14ac:dyDescent="0.3">
      <c r="A1590" s="96"/>
      <c r="B1590" s="96"/>
      <c r="C1590" s="96"/>
      <c r="D1590" s="96"/>
      <c r="E1590" s="103"/>
      <c r="F1590" s="96"/>
      <c r="G1590" s="96"/>
      <c r="H1590" s="96"/>
      <c r="I1590" s="96"/>
      <c r="J1590" s="96"/>
      <c r="L1590" s="96"/>
      <c r="M1590" s="96"/>
      <c r="P1590" s="96"/>
      <c r="Q1590" s="96"/>
      <c r="R1590" s="96"/>
      <c r="S1590" s="96"/>
      <c r="T1590" s="96"/>
      <c r="U1590" s="96"/>
      <c r="V1590" s="96"/>
      <c r="W1590" s="96"/>
    </row>
    <row r="1591" spans="1:23" x14ac:dyDescent="0.3">
      <c r="A1591" s="96"/>
      <c r="B1591" s="96"/>
      <c r="C1591" s="96"/>
      <c r="D1591" s="96"/>
      <c r="E1591" s="103"/>
      <c r="F1591" s="96"/>
      <c r="G1591" s="96"/>
      <c r="H1591" s="96"/>
      <c r="I1591" s="96"/>
      <c r="J1591" s="96"/>
      <c r="L1591" s="96"/>
      <c r="M1591" s="96"/>
      <c r="P1591" s="96"/>
      <c r="Q1591" s="96"/>
      <c r="R1591" s="96"/>
      <c r="S1591" s="96"/>
      <c r="T1591" s="96"/>
      <c r="U1591" s="96"/>
      <c r="V1591" s="96"/>
      <c r="W1591" s="96"/>
    </row>
    <row r="1592" spans="1:23" x14ac:dyDescent="0.3">
      <c r="A1592" s="96"/>
      <c r="B1592" s="96"/>
      <c r="C1592" s="96"/>
      <c r="D1592" s="96"/>
      <c r="E1592" s="103"/>
      <c r="F1592" s="96"/>
      <c r="G1592" s="96"/>
      <c r="H1592" s="96"/>
      <c r="I1592" s="96"/>
      <c r="J1592" s="96"/>
      <c r="L1592" s="96"/>
      <c r="M1592" s="96"/>
      <c r="P1592" s="96"/>
      <c r="Q1592" s="96"/>
      <c r="R1592" s="96"/>
      <c r="S1592" s="96"/>
      <c r="T1592" s="96"/>
      <c r="U1592" s="96"/>
      <c r="V1592" s="96"/>
      <c r="W1592" s="96"/>
    </row>
    <row r="1593" spans="1:23" x14ac:dyDescent="0.3">
      <c r="A1593" s="96"/>
      <c r="B1593" s="96"/>
      <c r="C1593" s="96"/>
      <c r="D1593" s="96"/>
      <c r="E1593" s="103"/>
      <c r="F1593" s="96"/>
      <c r="G1593" s="96"/>
      <c r="H1593" s="96"/>
      <c r="I1593" s="96"/>
      <c r="J1593" s="96"/>
      <c r="L1593" s="96"/>
      <c r="M1593" s="96"/>
      <c r="P1593" s="96"/>
      <c r="Q1593" s="96"/>
      <c r="R1593" s="96"/>
      <c r="S1593" s="96"/>
      <c r="T1593" s="96"/>
      <c r="U1593" s="96"/>
      <c r="V1593" s="96"/>
      <c r="W1593" s="96"/>
    </row>
    <row r="1594" spans="1:23" x14ac:dyDescent="0.3">
      <c r="A1594" s="96"/>
      <c r="B1594" s="96"/>
      <c r="C1594" s="96"/>
      <c r="D1594" s="96"/>
      <c r="E1594" s="103"/>
      <c r="F1594" s="96"/>
      <c r="G1594" s="96"/>
      <c r="H1594" s="96"/>
      <c r="I1594" s="96"/>
      <c r="J1594" s="96"/>
      <c r="L1594" s="96"/>
      <c r="M1594" s="96"/>
      <c r="P1594" s="96"/>
      <c r="Q1594" s="96"/>
      <c r="R1594" s="96"/>
      <c r="S1594" s="96"/>
      <c r="T1594" s="96"/>
      <c r="U1594" s="96"/>
      <c r="V1594" s="96"/>
      <c r="W1594" s="96"/>
    </row>
    <row r="1595" spans="1:23" x14ac:dyDescent="0.3">
      <c r="A1595" s="96"/>
      <c r="B1595" s="96"/>
      <c r="C1595" s="96"/>
      <c r="D1595" s="96"/>
      <c r="E1595" s="103"/>
      <c r="F1595" s="96"/>
      <c r="G1595" s="96"/>
      <c r="H1595" s="96"/>
      <c r="I1595" s="96"/>
      <c r="J1595" s="96"/>
      <c r="L1595" s="96"/>
      <c r="M1595" s="96"/>
      <c r="P1595" s="96"/>
      <c r="Q1595" s="96"/>
      <c r="R1595" s="96"/>
      <c r="S1595" s="96"/>
      <c r="T1595" s="96"/>
      <c r="U1595" s="96"/>
      <c r="V1595" s="96"/>
      <c r="W1595" s="96"/>
    </row>
    <row r="1596" spans="1:23" x14ac:dyDescent="0.3">
      <c r="A1596" s="96"/>
      <c r="B1596" s="96"/>
      <c r="C1596" s="96"/>
      <c r="D1596" s="96"/>
      <c r="E1596" s="103"/>
      <c r="F1596" s="96"/>
      <c r="G1596" s="96"/>
      <c r="H1596" s="96"/>
      <c r="I1596" s="96"/>
      <c r="J1596" s="96"/>
      <c r="L1596" s="96"/>
      <c r="M1596" s="96"/>
      <c r="P1596" s="96"/>
      <c r="Q1596" s="96"/>
      <c r="R1596" s="96"/>
      <c r="S1596" s="96"/>
      <c r="T1596" s="96"/>
      <c r="U1596" s="96"/>
      <c r="V1596" s="96"/>
      <c r="W1596" s="96"/>
    </row>
    <row r="1597" spans="1:23" x14ac:dyDescent="0.3">
      <c r="A1597" s="96"/>
      <c r="B1597" s="96"/>
      <c r="C1597" s="96"/>
      <c r="D1597" s="96"/>
      <c r="E1597" s="103"/>
      <c r="F1597" s="96"/>
      <c r="G1597" s="96"/>
      <c r="H1597" s="96"/>
      <c r="I1597" s="96"/>
      <c r="J1597" s="96"/>
      <c r="L1597" s="96"/>
      <c r="M1597" s="96"/>
      <c r="P1597" s="96"/>
      <c r="Q1597" s="96"/>
      <c r="R1597" s="96"/>
      <c r="S1597" s="96"/>
      <c r="T1597" s="96"/>
      <c r="U1597" s="96"/>
      <c r="V1597" s="96"/>
      <c r="W1597" s="96"/>
    </row>
    <row r="1598" spans="1:23" x14ac:dyDescent="0.3">
      <c r="A1598" s="96"/>
      <c r="B1598" s="96"/>
      <c r="C1598" s="96"/>
      <c r="D1598" s="96"/>
      <c r="E1598" s="103"/>
      <c r="F1598" s="96"/>
      <c r="G1598" s="96"/>
      <c r="H1598" s="96"/>
      <c r="I1598" s="96"/>
      <c r="J1598" s="96"/>
      <c r="L1598" s="96"/>
      <c r="M1598" s="96"/>
      <c r="P1598" s="96"/>
      <c r="Q1598" s="96"/>
      <c r="R1598" s="96"/>
      <c r="S1598" s="96"/>
      <c r="T1598" s="96"/>
      <c r="U1598" s="96"/>
      <c r="V1598" s="96"/>
      <c r="W1598" s="96"/>
    </row>
    <row r="1599" spans="1:23" x14ac:dyDescent="0.3">
      <c r="A1599" s="96"/>
      <c r="B1599" s="96"/>
      <c r="C1599" s="96"/>
      <c r="D1599" s="96"/>
      <c r="E1599" s="103"/>
      <c r="F1599" s="96"/>
      <c r="G1599" s="96"/>
      <c r="H1599" s="96"/>
      <c r="I1599" s="96"/>
      <c r="J1599" s="96"/>
      <c r="L1599" s="96"/>
      <c r="M1599" s="96"/>
      <c r="P1599" s="96"/>
      <c r="Q1599" s="96"/>
      <c r="R1599" s="96"/>
      <c r="S1599" s="96"/>
      <c r="T1599" s="96"/>
      <c r="U1599" s="96"/>
      <c r="V1599" s="96"/>
      <c r="W1599" s="96"/>
    </row>
    <row r="1600" spans="1:23" x14ac:dyDescent="0.3">
      <c r="A1600" s="96"/>
      <c r="B1600" s="96"/>
      <c r="C1600" s="96"/>
      <c r="D1600" s="96"/>
      <c r="E1600" s="103"/>
      <c r="F1600" s="96"/>
      <c r="G1600" s="96"/>
      <c r="H1600" s="96"/>
      <c r="I1600" s="96"/>
      <c r="J1600" s="96"/>
      <c r="L1600" s="96"/>
      <c r="M1600" s="96"/>
      <c r="P1600" s="96"/>
      <c r="Q1600" s="96"/>
      <c r="R1600" s="96"/>
      <c r="S1600" s="96"/>
      <c r="T1600" s="96"/>
      <c r="U1600" s="96"/>
      <c r="V1600" s="96"/>
      <c r="W1600" s="96"/>
    </row>
    <row r="1601" spans="1:23" x14ac:dyDescent="0.3">
      <c r="A1601" s="96"/>
      <c r="B1601" s="96"/>
      <c r="C1601" s="96"/>
      <c r="D1601" s="96"/>
      <c r="E1601" s="103"/>
      <c r="F1601" s="96"/>
      <c r="G1601" s="96"/>
      <c r="H1601" s="96"/>
      <c r="I1601" s="96"/>
      <c r="J1601" s="96"/>
      <c r="L1601" s="96"/>
      <c r="M1601" s="96"/>
      <c r="P1601" s="96"/>
      <c r="Q1601" s="96"/>
      <c r="R1601" s="96"/>
      <c r="S1601" s="96"/>
      <c r="T1601" s="96"/>
      <c r="U1601" s="96"/>
      <c r="V1601" s="96"/>
      <c r="W1601" s="96"/>
    </row>
    <row r="1602" spans="1:23" x14ac:dyDescent="0.3">
      <c r="A1602" s="96"/>
      <c r="B1602" s="96"/>
      <c r="C1602" s="96"/>
      <c r="D1602" s="96"/>
      <c r="E1602" s="103"/>
      <c r="F1602" s="96"/>
      <c r="G1602" s="96"/>
      <c r="H1602" s="96"/>
      <c r="I1602" s="96"/>
      <c r="J1602" s="96"/>
      <c r="L1602" s="96"/>
      <c r="M1602" s="96"/>
      <c r="P1602" s="96"/>
      <c r="Q1602" s="96"/>
      <c r="R1602" s="96"/>
      <c r="S1602" s="96"/>
      <c r="T1602" s="96"/>
      <c r="U1602" s="96"/>
      <c r="V1602" s="96"/>
      <c r="W1602" s="96"/>
    </row>
    <row r="1603" spans="1:23" x14ac:dyDescent="0.3">
      <c r="A1603" s="96"/>
      <c r="B1603" s="96"/>
      <c r="C1603" s="96"/>
      <c r="D1603" s="96"/>
      <c r="E1603" s="103"/>
      <c r="F1603" s="96"/>
      <c r="G1603" s="96"/>
      <c r="H1603" s="96"/>
      <c r="I1603" s="96"/>
      <c r="J1603" s="96"/>
      <c r="L1603" s="96"/>
      <c r="M1603" s="96"/>
      <c r="P1603" s="96"/>
      <c r="Q1603" s="96"/>
      <c r="R1603" s="96"/>
      <c r="S1603" s="96"/>
      <c r="T1603" s="96"/>
      <c r="U1603" s="96"/>
      <c r="V1603" s="96"/>
      <c r="W1603" s="96"/>
    </row>
    <row r="1604" spans="1:23" x14ac:dyDescent="0.3">
      <c r="A1604" s="96"/>
      <c r="B1604" s="96"/>
      <c r="C1604" s="96"/>
      <c r="D1604" s="96"/>
      <c r="E1604" s="103"/>
      <c r="F1604" s="96"/>
      <c r="G1604" s="96"/>
      <c r="H1604" s="96"/>
      <c r="I1604" s="96"/>
      <c r="J1604" s="96"/>
      <c r="L1604" s="96"/>
      <c r="M1604" s="96"/>
      <c r="P1604" s="96"/>
      <c r="Q1604" s="96"/>
      <c r="R1604" s="96"/>
      <c r="S1604" s="96"/>
      <c r="T1604" s="96"/>
      <c r="U1604" s="96"/>
      <c r="V1604" s="96"/>
      <c r="W1604" s="96"/>
    </row>
    <row r="1605" spans="1:23" x14ac:dyDescent="0.3">
      <c r="A1605" s="96"/>
      <c r="B1605" s="96"/>
      <c r="C1605" s="96"/>
      <c r="D1605" s="96"/>
      <c r="E1605" s="103"/>
      <c r="F1605" s="96"/>
      <c r="G1605" s="96"/>
      <c r="H1605" s="96"/>
      <c r="I1605" s="96"/>
      <c r="J1605" s="96"/>
      <c r="L1605" s="96"/>
      <c r="M1605" s="96"/>
      <c r="P1605" s="96"/>
      <c r="Q1605" s="96"/>
      <c r="R1605" s="96"/>
      <c r="S1605" s="96"/>
      <c r="T1605" s="96"/>
      <c r="U1605" s="96"/>
      <c r="V1605" s="96"/>
      <c r="W1605" s="96"/>
    </row>
    <row r="1606" spans="1:23" x14ac:dyDescent="0.3">
      <c r="A1606" s="96"/>
      <c r="B1606" s="96"/>
      <c r="C1606" s="96"/>
      <c r="D1606" s="96"/>
      <c r="E1606" s="103"/>
      <c r="F1606" s="96"/>
      <c r="G1606" s="96"/>
      <c r="H1606" s="96"/>
      <c r="I1606" s="96"/>
      <c r="J1606" s="96"/>
      <c r="L1606" s="96"/>
      <c r="M1606" s="96"/>
      <c r="P1606" s="96"/>
      <c r="Q1606" s="96"/>
      <c r="R1606" s="96"/>
      <c r="S1606" s="96"/>
      <c r="T1606" s="96"/>
      <c r="U1606" s="96"/>
      <c r="V1606" s="96"/>
      <c r="W1606" s="96"/>
    </row>
    <row r="1607" spans="1:23" x14ac:dyDescent="0.3">
      <c r="A1607" s="96"/>
      <c r="B1607" s="96"/>
      <c r="C1607" s="96"/>
      <c r="D1607" s="96"/>
      <c r="E1607" s="103"/>
      <c r="F1607" s="96"/>
      <c r="G1607" s="96"/>
      <c r="H1607" s="96"/>
      <c r="I1607" s="96"/>
      <c r="J1607" s="96"/>
      <c r="L1607" s="96"/>
      <c r="M1607" s="96"/>
      <c r="P1607" s="96"/>
      <c r="Q1607" s="96"/>
      <c r="R1607" s="96"/>
      <c r="S1607" s="96"/>
      <c r="T1607" s="96"/>
      <c r="U1607" s="96"/>
      <c r="V1607" s="96"/>
      <c r="W1607" s="96"/>
    </row>
    <row r="1608" spans="1:23" x14ac:dyDescent="0.3">
      <c r="A1608" s="96"/>
      <c r="B1608" s="96"/>
      <c r="C1608" s="96"/>
      <c r="D1608" s="96"/>
      <c r="E1608" s="103"/>
      <c r="F1608" s="96"/>
      <c r="G1608" s="96"/>
      <c r="H1608" s="96"/>
      <c r="I1608" s="96"/>
      <c r="J1608" s="96"/>
      <c r="L1608" s="96"/>
      <c r="M1608" s="96"/>
      <c r="P1608" s="96"/>
      <c r="Q1608" s="96"/>
      <c r="R1608" s="96"/>
      <c r="S1608" s="96"/>
      <c r="T1608" s="96"/>
      <c r="U1608" s="96"/>
      <c r="V1608" s="96"/>
      <c r="W1608" s="96"/>
    </row>
    <row r="1609" spans="1:23" x14ac:dyDescent="0.3">
      <c r="A1609" s="96"/>
      <c r="B1609" s="96"/>
      <c r="C1609" s="96"/>
      <c r="D1609" s="96"/>
      <c r="E1609" s="103"/>
      <c r="F1609" s="96"/>
      <c r="G1609" s="96"/>
      <c r="H1609" s="96"/>
      <c r="I1609" s="96"/>
      <c r="J1609" s="96"/>
      <c r="L1609" s="96"/>
      <c r="M1609" s="96"/>
      <c r="P1609" s="96"/>
      <c r="Q1609" s="96"/>
      <c r="R1609" s="96"/>
      <c r="S1609" s="96"/>
      <c r="T1609" s="96"/>
      <c r="U1609" s="96"/>
      <c r="V1609" s="96"/>
      <c r="W1609" s="96"/>
    </row>
    <row r="1610" spans="1:23" x14ac:dyDescent="0.3">
      <c r="A1610" s="96"/>
      <c r="B1610" s="96"/>
      <c r="C1610" s="96"/>
      <c r="D1610" s="96"/>
      <c r="E1610" s="103"/>
      <c r="F1610" s="96"/>
      <c r="G1610" s="96"/>
      <c r="H1610" s="96"/>
      <c r="I1610" s="96"/>
      <c r="J1610" s="96"/>
      <c r="L1610" s="96"/>
      <c r="M1610" s="96"/>
      <c r="P1610" s="96"/>
      <c r="Q1610" s="96"/>
      <c r="R1610" s="96"/>
      <c r="S1610" s="96"/>
      <c r="T1610" s="96"/>
      <c r="U1610" s="96"/>
      <c r="V1610" s="96"/>
      <c r="W1610" s="96"/>
    </row>
    <row r="1611" spans="1:23" x14ac:dyDescent="0.3">
      <c r="A1611" s="96"/>
      <c r="B1611" s="96"/>
      <c r="C1611" s="96"/>
      <c r="D1611" s="96"/>
      <c r="E1611" s="103"/>
      <c r="F1611" s="96"/>
      <c r="G1611" s="96"/>
      <c r="H1611" s="96"/>
      <c r="I1611" s="96"/>
      <c r="J1611" s="96"/>
      <c r="L1611" s="96"/>
      <c r="M1611" s="96"/>
      <c r="P1611" s="96"/>
      <c r="Q1611" s="96"/>
      <c r="R1611" s="96"/>
      <c r="S1611" s="96"/>
      <c r="T1611" s="96"/>
      <c r="U1611" s="96"/>
      <c r="V1611" s="96"/>
      <c r="W1611" s="96"/>
    </row>
    <row r="1612" spans="1:23" x14ac:dyDescent="0.3">
      <c r="A1612" s="96"/>
      <c r="B1612" s="96"/>
      <c r="C1612" s="96"/>
      <c r="D1612" s="96"/>
      <c r="E1612" s="103"/>
      <c r="F1612" s="96"/>
      <c r="G1612" s="96"/>
      <c r="H1612" s="96"/>
      <c r="I1612" s="96"/>
      <c r="J1612" s="96"/>
      <c r="L1612" s="96"/>
      <c r="M1612" s="96"/>
      <c r="P1612" s="96"/>
      <c r="Q1612" s="96"/>
      <c r="R1612" s="96"/>
      <c r="S1612" s="96"/>
      <c r="T1612" s="96"/>
      <c r="U1612" s="96"/>
      <c r="V1612" s="96"/>
      <c r="W1612" s="96"/>
    </row>
    <row r="1613" spans="1:23" x14ac:dyDescent="0.3">
      <c r="A1613" s="96"/>
      <c r="B1613" s="96"/>
      <c r="C1613" s="96"/>
      <c r="D1613" s="96"/>
      <c r="E1613" s="103"/>
      <c r="F1613" s="96"/>
      <c r="G1613" s="96"/>
      <c r="H1613" s="96"/>
      <c r="I1613" s="96"/>
      <c r="J1613" s="96"/>
      <c r="L1613" s="96"/>
      <c r="M1613" s="96"/>
      <c r="P1613" s="96"/>
      <c r="Q1613" s="96"/>
      <c r="R1613" s="96"/>
      <c r="S1613" s="96"/>
      <c r="T1613" s="96"/>
      <c r="U1613" s="96"/>
      <c r="V1613" s="96"/>
      <c r="W1613" s="96"/>
    </row>
    <row r="1614" spans="1:23" x14ac:dyDescent="0.3">
      <c r="A1614" s="96"/>
      <c r="B1614" s="96"/>
      <c r="C1614" s="96"/>
      <c r="D1614" s="96"/>
      <c r="E1614" s="103"/>
      <c r="F1614" s="96"/>
      <c r="G1614" s="96"/>
      <c r="H1614" s="96"/>
      <c r="I1614" s="96"/>
      <c r="J1614" s="96"/>
      <c r="L1614" s="96"/>
      <c r="M1614" s="96"/>
      <c r="P1614" s="96"/>
      <c r="Q1614" s="96"/>
      <c r="R1614" s="96"/>
      <c r="S1614" s="96"/>
      <c r="T1614" s="96"/>
      <c r="U1614" s="96"/>
      <c r="V1614" s="96"/>
      <c r="W1614" s="96"/>
    </row>
    <row r="1615" spans="1:23" x14ac:dyDescent="0.3">
      <c r="A1615" s="96"/>
      <c r="B1615" s="96"/>
      <c r="C1615" s="96"/>
      <c r="D1615" s="96"/>
      <c r="E1615" s="103"/>
      <c r="F1615" s="96"/>
      <c r="G1615" s="96"/>
      <c r="H1615" s="96"/>
      <c r="I1615" s="96"/>
      <c r="J1615" s="96"/>
      <c r="L1615" s="96"/>
      <c r="M1615" s="96"/>
      <c r="P1615" s="96"/>
      <c r="Q1615" s="96"/>
      <c r="R1615" s="96"/>
      <c r="S1615" s="96"/>
      <c r="T1615" s="96"/>
      <c r="U1615" s="96"/>
      <c r="V1615" s="96"/>
      <c r="W1615" s="96"/>
    </row>
    <row r="1616" spans="1:23" x14ac:dyDescent="0.3">
      <c r="A1616" s="96"/>
      <c r="B1616" s="96"/>
      <c r="C1616" s="96"/>
      <c r="D1616" s="96"/>
      <c r="E1616" s="103"/>
      <c r="F1616" s="96"/>
      <c r="G1616" s="96"/>
      <c r="H1616" s="96"/>
      <c r="I1616" s="96"/>
      <c r="J1616" s="96"/>
      <c r="L1616" s="96"/>
      <c r="M1616" s="96"/>
      <c r="P1616" s="96"/>
      <c r="Q1616" s="96"/>
      <c r="R1616" s="96"/>
      <c r="S1616" s="96"/>
      <c r="T1616" s="96"/>
      <c r="U1616" s="96"/>
      <c r="V1616" s="96"/>
      <c r="W1616" s="96"/>
    </row>
    <row r="1617" spans="1:28" x14ac:dyDescent="0.3">
      <c r="A1617" s="96"/>
      <c r="B1617" s="96"/>
      <c r="C1617" s="96"/>
      <c r="D1617" s="96"/>
      <c r="E1617" s="103"/>
      <c r="F1617" s="96"/>
      <c r="G1617" s="96"/>
      <c r="H1617" s="96"/>
      <c r="I1617" s="96"/>
      <c r="J1617" s="96"/>
      <c r="L1617" s="96"/>
      <c r="M1617" s="96"/>
      <c r="P1617" s="96"/>
      <c r="Q1617" s="96"/>
      <c r="R1617" s="96"/>
      <c r="S1617" s="96"/>
      <c r="T1617" s="96"/>
      <c r="U1617" s="96"/>
      <c r="V1617" s="96"/>
      <c r="W1617" s="96"/>
    </row>
    <row r="1618" spans="1:28" x14ac:dyDescent="0.3">
      <c r="A1618" s="96"/>
      <c r="B1618" s="96"/>
      <c r="C1618" s="96"/>
      <c r="D1618" s="96"/>
      <c r="E1618" s="103"/>
      <c r="F1618" s="96"/>
      <c r="G1618" s="96"/>
      <c r="H1618" s="96"/>
      <c r="I1618" s="96"/>
      <c r="J1618" s="96"/>
      <c r="L1618" s="96"/>
      <c r="M1618" s="96"/>
      <c r="P1618" s="96"/>
      <c r="Q1618" s="96"/>
      <c r="R1618" s="96"/>
      <c r="S1618" s="96"/>
      <c r="T1618" s="96"/>
      <c r="U1618" s="96"/>
      <c r="V1618" s="96"/>
      <c r="W1618" s="96"/>
    </row>
    <row r="1619" spans="1:28" x14ac:dyDescent="0.3">
      <c r="A1619" s="96"/>
      <c r="B1619" s="96"/>
      <c r="C1619" s="96"/>
      <c r="D1619" s="96"/>
      <c r="E1619" s="103"/>
      <c r="F1619" s="96"/>
      <c r="G1619" s="96"/>
      <c r="H1619" s="96"/>
      <c r="I1619" s="96"/>
      <c r="J1619" s="96"/>
      <c r="L1619" s="96"/>
      <c r="M1619" s="96"/>
      <c r="P1619" s="96"/>
      <c r="Q1619" s="96"/>
      <c r="R1619" s="96"/>
      <c r="S1619" s="96"/>
      <c r="T1619" s="96"/>
      <c r="U1619" s="96"/>
      <c r="V1619" s="96"/>
      <c r="W1619" s="96"/>
    </row>
    <row r="1620" spans="1:28" x14ac:dyDescent="0.3">
      <c r="A1620" s="96"/>
      <c r="B1620" s="96"/>
      <c r="C1620" s="96"/>
      <c r="D1620" s="96"/>
      <c r="E1620" s="103"/>
      <c r="F1620" s="96"/>
      <c r="G1620" s="96"/>
      <c r="H1620" s="96"/>
      <c r="I1620" s="96"/>
      <c r="J1620" s="96"/>
      <c r="L1620" s="96"/>
      <c r="M1620" s="96"/>
      <c r="P1620" s="96"/>
      <c r="Q1620" s="96"/>
      <c r="R1620" s="96"/>
      <c r="S1620" s="96"/>
      <c r="T1620" s="96"/>
      <c r="U1620" s="96"/>
      <c r="V1620" s="96"/>
      <c r="W1620" s="96"/>
    </row>
    <row r="1621" spans="1:28" x14ac:dyDescent="0.3">
      <c r="A1621" s="96"/>
      <c r="B1621" s="96"/>
      <c r="C1621" s="96"/>
      <c r="D1621" s="96"/>
      <c r="E1621" s="103"/>
      <c r="F1621" s="96"/>
      <c r="G1621" s="96"/>
      <c r="H1621" s="96"/>
      <c r="I1621" s="96"/>
      <c r="J1621" s="96"/>
      <c r="L1621" s="96"/>
      <c r="M1621" s="96"/>
      <c r="P1621" s="96"/>
      <c r="Q1621" s="96"/>
      <c r="R1621" s="96"/>
      <c r="S1621" s="96"/>
      <c r="T1621" s="96"/>
      <c r="U1621" s="96"/>
      <c r="V1621" s="96"/>
      <c r="W1621" s="96"/>
    </row>
    <row r="1622" spans="1:28" x14ac:dyDescent="0.3">
      <c r="A1622" s="96"/>
      <c r="B1622" s="96"/>
      <c r="C1622" s="96"/>
      <c r="D1622" s="96"/>
      <c r="E1622" s="103"/>
      <c r="F1622" s="96"/>
      <c r="G1622" s="96"/>
      <c r="H1622" s="96"/>
      <c r="I1622" s="96"/>
      <c r="J1622" s="96"/>
      <c r="L1622" s="96"/>
      <c r="M1622" s="96"/>
      <c r="P1622" s="96"/>
      <c r="Q1622" s="96"/>
      <c r="R1622" s="96"/>
      <c r="S1622" s="96"/>
      <c r="T1622" s="96"/>
      <c r="U1622" s="96"/>
      <c r="V1622" s="96"/>
      <c r="W1622" s="96"/>
    </row>
    <row r="1623" spans="1:28" x14ac:dyDescent="0.3">
      <c r="A1623" s="96"/>
      <c r="B1623" s="96"/>
      <c r="C1623" s="96"/>
      <c r="D1623" s="96"/>
      <c r="E1623" s="103"/>
      <c r="F1623" s="96"/>
      <c r="G1623" s="96"/>
      <c r="H1623" s="96"/>
      <c r="I1623" s="96"/>
      <c r="J1623" s="96"/>
      <c r="L1623" s="96"/>
      <c r="M1623" s="96"/>
      <c r="P1623" s="96"/>
      <c r="Q1623" s="96"/>
      <c r="R1623" s="96"/>
      <c r="S1623" s="96"/>
      <c r="T1623" s="96"/>
      <c r="U1623" s="96"/>
      <c r="V1623" s="96"/>
      <c r="W1623" s="96"/>
    </row>
    <row r="1624" spans="1:28" x14ac:dyDescent="0.3">
      <c r="A1624" s="96"/>
      <c r="B1624" s="96"/>
      <c r="C1624" s="96"/>
      <c r="D1624" s="96"/>
      <c r="E1624" s="103"/>
      <c r="F1624" s="96"/>
      <c r="G1624" s="96"/>
      <c r="H1624" s="96"/>
      <c r="I1624" s="96"/>
      <c r="J1624" s="96"/>
      <c r="L1624" s="96"/>
      <c r="M1624" s="96"/>
      <c r="P1624" s="96"/>
      <c r="Q1624" s="96"/>
      <c r="R1624" s="96"/>
      <c r="S1624" s="96"/>
      <c r="T1624" s="96"/>
      <c r="U1624" s="96"/>
      <c r="V1624" s="96"/>
      <c r="W1624" s="96"/>
    </row>
    <row r="1625" spans="1:28" x14ac:dyDescent="0.3">
      <c r="A1625" s="96"/>
      <c r="B1625" s="96"/>
      <c r="C1625" s="96"/>
      <c r="D1625" s="96"/>
      <c r="E1625" s="103"/>
      <c r="F1625" s="96"/>
      <c r="G1625" s="96"/>
      <c r="H1625" s="96"/>
      <c r="I1625" s="96"/>
      <c r="J1625" s="96"/>
      <c r="L1625" s="96"/>
      <c r="M1625" s="96"/>
      <c r="P1625" s="96"/>
      <c r="Q1625" s="96"/>
      <c r="R1625" s="96"/>
      <c r="S1625" s="96"/>
      <c r="T1625" s="96"/>
      <c r="U1625" s="96"/>
      <c r="V1625" s="96"/>
      <c r="W1625" s="96"/>
      <c r="AA1625" s="93"/>
      <c r="AB1625" s="93"/>
    </row>
    <row r="1626" spans="1:28" x14ac:dyDescent="0.3">
      <c r="A1626" s="96"/>
      <c r="B1626" s="96"/>
      <c r="C1626" s="96"/>
      <c r="D1626" s="96"/>
      <c r="E1626" s="103"/>
      <c r="F1626" s="96"/>
      <c r="G1626" s="96"/>
      <c r="H1626" s="96"/>
      <c r="I1626" s="96"/>
      <c r="J1626" s="96"/>
      <c r="L1626" s="96"/>
      <c r="M1626" s="96"/>
      <c r="P1626" s="96"/>
      <c r="Q1626" s="96"/>
      <c r="R1626" s="96"/>
      <c r="S1626" s="96"/>
      <c r="T1626" s="96"/>
      <c r="U1626" s="96"/>
      <c r="V1626" s="96"/>
      <c r="W1626" s="96"/>
      <c r="AA1626" s="93"/>
      <c r="AB1626" s="93"/>
    </row>
    <row r="1627" spans="1:28" x14ac:dyDescent="0.3">
      <c r="A1627" s="96"/>
      <c r="B1627" s="96"/>
      <c r="C1627" s="96"/>
      <c r="D1627" s="96"/>
      <c r="E1627" s="103"/>
      <c r="F1627" s="96"/>
      <c r="G1627" s="96"/>
      <c r="H1627" s="96"/>
      <c r="I1627" s="96"/>
      <c r="J1627" s="96"/>
      <c r="L1627" s="96"/>
      <c r="M1627" s="96"/>
      <c r="P1627" s="96"/>
      <c r="Q1627" s="96"/>
      <c r="R1627" s="96"/>
      <c r="S1627" s="96"/>
      <c r="T1627" s="96"/>
      <c r="U1627" s="96"/>
      <c r="V1627" s="96"/>
      <c r="W1627" s="96"/>
    </row>
    <row r="1628" spans="1:28" x14ac:dyDescent="0.3">
      <c r="A1628" s="96"/>
      <c r="B1628" s="96"/>
      <c r="C1628" s="96"/>
      <c r="D1628" s="96"/>
      <c r="E1628" s="103"/>
      <c r="F1628" s="96"/>
      <c r="G1628" s="96"/>
      <c r="H1628" s="96"/>
      <c r="I1628" s="96"/>
      <c r="J1628" s="96"/>
      <c r="L1628" s="96"/>
      <c r="M1628" s="96"/>
      <c r="P1628" s="96"/>
      <c r="Q1628" s="96"/>
      <c r="R1628" s="96"/>
      <c r="S1628" s="96"/>
      <c r="T1628" s="96"/>
      <c r="U1628" s="96"/>
      <c r="V1628" s="96"/>
      <c r="W1628" s="96"/>
    </row>
    <row r="1629" spans="1:28" x14ac:dyDescent="0.3">
      <c r="A1629" s="96"/>
      <c r="B1629" s="96"/>
      <c r="C1629" s="96"/>
      <c r="D1629" s="96"/>
      <c r="E1629" s="103"/>
      <c r="F1629" s="96"/>
      <c r="G1629" s="96"/>
      <c r="H1629" s="96"/>
      <c r="I1629" s="96"/>
      <c r="J1629" s="96"/>
      <c r="L1629" s="96"/>
      <c r="M1629" s="96"/>
      <c r="P1629" s="96"/>
      <c r="Q1629" s="96"/>
      <c r="R1629" s="96"/>
      <c r="S1629" s="96"/>
      <c r="T1629" s="96"/>
      <c r="U1629" s="96"/>
      <c r="V1629" s="96"/>
      <c r="W1629" s="96"/>
    </row>
    <row r="1630" spans="1:28" x14ac:dyDescent="0.3">
      <c r="A1630" s="96"/>
      <c r="B1630" s="96"/>
      <c r="C1630" s="96"/>
      <c r="D1630" s="96"/>
      <c r="E1630" s="103"/>
      <c r="F1630" s="96"/>
      <c r="G1630" s="96"/>
      <c r="H1630" s="96"/>
      <c r="I1630" s="96"/>
      <c r="J1630" s="96"/>
      <c r="L1630" s="96"/>
      <c r="M1630" s="96"/>
      <c r="P1630" s="96"/>
      <c r="Q1630" s="96"/>
      <c r="R1630" s="96"/>
      <c r="S1630" s="96"/>
      <c r="T1630" s="96"/>
      <c r="U1630" s="96"/>
      <c r="V1630" s="96"/>
      <c r="W1630" s="96"/>
    </row>
    <row r="1631" spans="1:28" x14ac:dyDescent="0.3">
      <c r="A1631" s="96"/>
      <c r="B1631" s="96"/>
      <c r="C1631" s="96"/>
      <c r="D1631" s="96"/>
      <c r="E1631" s="103"/>
      <c r="F1631" s="96"/>
      <c r="G1631" s="96"/>
      <c r="H1631" s="96"/>
      <c r="I1631" s="96"/>
      <c r="J1631" s="96"/>
      <c r="L1631" s="96"/>
      <c r="M1631" s="96"/>
      <c r="P1631" s="96"/>
      <c r="Q1631" s="96"/>
      <c r="R1631" s="96"/>
      <c r="S1631" s="96"/>
      <c r="T1631" s="96"/>
      <c r="U1631" s="96"/>
      <c r="V1631" s="96"/>
      <c r="W1631" s="96"/>
    </row>
    <row r="1632" spans="1:28" x14ac:dyDescent="0.3">
      <c r="A1632" s="96"/>
      <c r="B1632" s="96"/>
      <c r="C1632" s="96"/>
      <c r="D1632" s="96"/>
      <c r="E1632" s="103"/>
      <c r="F1632" s="96"/>
      <c r="G1632" s="96"/>
      <c r="H1632" s="96"/>
      <c r="I1632" s="96"/>
      <c r="J1632" s="96"/>
      <c r="L1632" s="96"/>
      <c r="M1632" s="96"/>
      <c r="P1632" s="96"/>
      <c r="Q1632" s="96"/>
      <c r="R1632" s="96"/>
      <c r="S1632" s="96"/>
      <c r="T1632" s="96"/>
      <c r="U1632" s="96"/>
      <c r="V1632" s="96"/>
      <c r="W1632" s="96"/>
    </row>
    <row r="1633" spans="1:23" x14ac:dyDescent="0.3">
      <c r="A1633" s="96"/>
      <c r="B1633" s="96"/>
      <c r="C1633" s="96"/>
      <c r="D1633" s="96"/>
      <c r="E1633" s="103"/>
      <c r="F1633" s="96"/>
      <c r="G1633" s="96"/>
      <c r="H1633" s="96"/>
      <c r="I1633" s="96"/>
      <c r="J1633" s="96"/>
      <c r="L1633" s="96"/>
      <c r="M1633" s="96"/>
      <c r="P1633" s="96"/>
      <c r="Q1633" s="96"/>
      <c r="R1633" s="96"/>
      <c r="S1633" s="96"/>
      <c r="T1633" s="96"/>
      <c r="U1633" s="96"/>
      <c r="V1633" s="96"/>
      <c r="W1633" s="96"/>
    </row>
    <row r="1634" spans="1:23" x14ac:dyDescent="0.3">
      <c r="A1634" s="96"/>
      <c r="B1634" s="96"/>
      <c r="C1634" s="96"/>
      <c r="D1634" s="96"/>
      <c r="E1634" s="103"/>
      <c r="F1634" s="96"/>
      <c r="G1634" s="96"/>
      <c r="H1634" s="96"/>
      <c r="I1634" s="96"/>
      <c r="J1634" s="96"/>
      <c r="L1634" s="96"/>
      <c r="M1634" s="96"/>
      <c r="P1634" s="96"/>
      <c r="Q1634" s="96"/>
      <c r="R1634" s="96"/>
      <c r="S1634" s="96"/>
      <c r="T1634" s="96"/>
      <c r="U1634" s="96"/>
      <c r="V1634" s="96"/>
      <c r="W1634" s="96"/>
    </row>
    <row r="1635" spans="1:23" x14ac:dyDescent="0.3">
      <c r="A1635" s="96"/>
      <c r="B1635" s="96"/>
      <c r="C1635" s="96"/>
      <c r="D1635" s="96"/>
      <c r="E1635" s="103"/>
      <c r="F1635" s="96"/>
      <c r="G1635" s="96"/>
      <c r="H1635" s="96"/>
      <c r="I1635" s="96"/>
      <c r="J1635" s="96"/>
      <c r="L1635" s="96"/>
      <c r="M1635" s="96"/>
      <c r="P1635" s="96"/>
      <c r="Q1635" s="96"/>
      <c r="R1635" s="96"/>
      <c r="S1635" s="96"/>
      <c r="T1635" s="96"/>
      <c r="U1635" s="96"/>
      <c r="V1635" s="96"/>
      <c r="W1635" s="96"/>
    </row>
    <row r="1636" spans="1:23" x14ac:dyDescent="0.3">
      <c r="A1636" s="96"/>
      <c r="B1636" s="96"/>
      <c r="C1636" s="96"/>
      <c r="D1636" s="96"/>
      <c r="E1636" s="103"/>
      <c r="F1636" s="96"/>
      <c r="G1636" s="96"/>
      <c r="H1636" s="96"/>
      <c r="I1636" s="96"/>
      <c r="J1636" s="96"/>
      <c r="L1636" s="96"/>
      <c r="M1636" s="96"/>
      <c r="P1636" s="96"/>
      <c r="Q1636" s="96"/>
      <c r="R1636" s="96"/>
      <c r="S1636" s="96"/>
      <c r="T1636" s="96"/>
      <c r="U1636" s="96"/>
      <c r="V1636" s="96"/>
      <c r="W1636" s="96"/>
    </row>
    <row r="1637" spans="1:23" x14ac:dyDescent="0.3">
      <c r="A1637" s="96"/>
      <c r="B1637" s="96"/>
      <c r="C1637" s="96"/>
      <c r="D1637" s="96"/>
      <c r="E1637" s="103"/>
      <c r="F1637" s="96"/>
      <c r="G1637" s="96"/>
      <c r="H1637" s="96"/>
      <c r="I1637" s="96"/>
      <c r="J1637" s="96"/>
      <c r="L1637" s="96"/>
      <c r="M1637" s="96"/>
      <c r="P1637" s="96"/>
      <c r="Q1637" s="96"/>
      <c r="R1637" s="96"/>
      <c r="S1637" s="96"/>
      <c r="T1637" s="96"/>
      <c r="U1637" s="96"/>
      <c r="V1637" s="96"/>
      <c r="W1637" s="96"/>
    </row>
    <row r="1638" spans="1:23" x14ac:dyDescent="0.3">
      <c r="A1638" s="96"/>
      <c r="B1638" s="96"/>
      <c r="C1638" s="96"/>
      <c r="D1638" s="96"/>
      <c r="E1638" s="103"/>
      <c r="F1638" s="96"/>
      <c r="G1638" s="96"/>
      <c r="H1638" s="96"/>
      <c r="I1638" s="96"/>
      <c r="J1638" s="96"/>
      <c r="L1638" s="96"/>
      <c r="M1638" s="96"/>
      <c r="P1638" s="96"/>
      <c r="Q1638" s="96"/>
      <c r="R1638" s="96"/>
      <c r="S1638" s="96"/>
      <c r="T1638" s="96"/>
      <c r="U1638" s="96"/>
      <c r="V1638" s="96"/>
      <c r="W1638" s="96"/>
    </row>
    <row r="1639" spans="1:23" x14ac:dyDescent="0.3">
      <c r="A1639" s="96"/>
      <c r="B1639" s="96"/>
      <c r="C1639" s="96"/>
      <c r="D1639" s="96"/>
      <c r="E1639" s="103"/>
      <c r="F1639" s="96"/>
      <c r="G1639" s="96"/>
      <c r="H1639" s="96"/>
      <c r="I1639" s="96"/>
      <c r="J1639" s="96"/>
      <c r="L1639" s="96"/>
      <c r="M1639" s="96"/>
      <c r="P1639" s="96"/>
      <c r="Q1639" s="96"/>
      <c r="R1639" s="96"/>
      <c r="S1639" s="96"/>
      <c r="T1639" s="96"/>
      <c r="U1639" s="96"/>
      <c r="V1639" s="96"/>
      <c r="W1639" s="96"/>
    </row>
    <row r="1640" spans="1:23" x14ac:dyDescent="0.3">
      <c r="A1640" s="96"/>
      <c r="B1640" s="96"/>
      <c r="C1640" s="96"/>
      <c r="D1640" s="96"/>
      <c r="E1640" s="103"/>
      <c r="F1640" s="96"/>
      <c r="G1640" s="96"/>
      <c r="H1640" s="96"/>
      <c r="I1640" s="96"/>
      <c r="J1640" s="96"/>
      <c r="L1640" s="96"/>
      <c r="M1640" s="96"/>
      <c r="P1640" s="96"/>
      <c r="Q1640" s="96"/>
      <c r="R1640" s="96"/>
      <c r="S1640" s="96"/>
      <c r="T1640" s="96"/>
      <c r="U1640" s="96"/>
      <c r="V1640" s="96"/>
      <c r="W1640" s="96"/>
    </row>
    <row r="1641" spans="1:23" x14ac:dyDescent="0.3">
      <c r="A1641" s="96"/>
      <c r="B1641" s="96"/>
      <c r="C1641" s="96"/>
      <c r="D1641" s="96"/>
      <c r="E1641" s="103"/>
      <c r="F1641" s="96"/>
      <c r="G1641" s="96"/>
      <c r="H1641" s="96"/>
      <c r="I1641" s="96"/>
      <c r="J1641" s="96"/>
      <c r="L1641" s="96"/>
      <c r="M1641" s="96"/>
      <c r="P1641" s="96"/>
      <c r="Q1641" s="96"/>
      <c r="R1641" s="96"/>
      <c r="S1641" s="96"/>
      <c r="T1641" s="96"/>
      <c r="U1641" s="96"/>
      <c r="V1641" s="96"/>
      <c r="W1641" s="96"/>
    </row>
    <row r="1642" spans="1:23" x14ac:dyDescent="0.3">
      <c r="A1642" s="96"/>
      <c r="B1642" s="96"/>
      <c r="C1642" s="96"/>
      <c r="D1642" s="96"/>
      <c r="E1642" s="103"/>
      <c r="F1642" s="96"/>
      <c r="G1642" s="96"/>
      <c r="H1642" s="96"/>
      <c r="I1642" s="96"/>
      <c r="J1642" s="96"/>
      <c r="L1642" s="96"/>
      <c r="M1642" s="96"/>
      <c r="P1642" s="96"/>
      <c r="Q1642" s="96"/>
      <c r="R1642" s="96"/>
      <c r="S1642" s="96"/>
      <c r="T1642" s="96"/>
      <c r="U1642" s="96"/>
      <c r="V1642" s="96"/>
      <c r="W1642" s="96"/>
    </row>
    <row r="1643" spans="1:23" x14ac:dyDescent="0.3">
      <c r="A1643" s="96"/>
      <c r="B1643" s="96"/>
      <c r="C1643" s="96"/>
      <c r="D1643" s="96"/>
      <c r="E1643" s="103"/>
      <c r="F1643" s="96"/>
      <c r="G1643" s="96"/>
      <c r="H1643" s="96"/>
      <c r="I1643" s="96"/>
      <c r="J1643" s="96"/>
      <c r="L1643" s="96"/>
      <c r="M1643" s="96"/>
      <c r="P1643" s="96"/>
      <c r="Q1643" s="96"/>
      <c r="R1643" s="96"/>
      <c r="S1643" s="96"/>
      <c r="T1643" s="96"/>
      <c r="U1643" s="96"/>
      <c r="V1643" s="96"/>
      <c r="W1643" s="96"/>
    </row>
    <row r="1644" spans="1:23" x14ac:dyDescent="0.3">
      <c r="A1644" s="96"/>
      <c r="B1644" s="96"/>
      <c r="C1644" s="96"/>
      <c r="D1644" s="96"/>
      <c r="E1644" s="103"/>
      <c r="F1644" s="96"/>
      <c r="G1644" s="96"/>
      <c r="H1644" s="96"/>
      <c r="I1644" s="96"/>
      <c r="J1644" s="96"/>
      <c r="L1644" s="96"/>
      <c r="M1644" s="96"/>
      <c r="P1644" s="96"/>
      <c r="Q1644" s="96"/>
      <c r="R1644" s="96"/>
      <c r="S1644" s="96"/>
      <c r="T1644" s="96"/>
      <c r="U1644" s="96"/>
      <c r="V1644" s="96"/>
      <c r="W1644" s="96"/>
    </row>
    <row r="1645" spans="1:23" x14ac:dyDescent="0.3">
      <c r="A1645" s="96"/>
      <c r="B1645" s="96"/>
      <c r="C1645" s="96"/>
      <c r="D1645" s="96"/>
      <c r="E1645" s="103"/>
      <c r="F1645" s="96"/>
      <c r="G1645" s="96"/>
      <c r="H1645" s="96"/>
      <c r="I1645" s="96"/>
      <c r="J1645" s="96"/>
      <c r="L1645" s="96"/>
      <c r="M1645" s="96"/>
      <c r="P1645" s="96"/>
      <c r="Q1645" s="96"/>
      <c r="R1645" s="96"/>
      <c r="S1645" s="96"/>
      <c r="T1645" s="96"/>
      <c r="U1645" s="96"/>
      <c r="V1645" s="96"/>
      <c r="W1645" s="96"/>
    </row>
    <row r="1646" spans="1:23" x14ac:dyDescent="0.3">
      <c r="A1646" s="96"/>
      <c r="B1646" s="96"/>
      <c r="C1646" s="96"/>
      <c r="D1646" s="96"/>
      <c r="E1646" s="103"/>
      <c r="F1646" s="96"/>
      <c r="G1646" s="96"/>
      <c r="H1646" s="96"/>
      <c r="I1646" s="96"/>
      <c r="J1646" s="96"/>
      <c r="L1646" s="96"/>
      <c r="M1646" s="96"/>
      <c r="P1646" s="96"/>
      <c r="Q1646" s="96"/>
      <c r="R1646" s="96"/>
      <c r="S1646" s="96"/>
      <c r="T1646" s="96"/>
      <c r="U1646" s="96"/>
      <c r="V1646" s="96"/>
      <c r="W1646" s="96"/>
    </row>
    <row r="1647" spans="1:23" x14ac:dyDescent="0.3">
      <c r="A1647" s="96"/>
      <c r="B1647" s="96"/>
      <c r="C1647" s="96"/>
      <c r="D1647" s="96"/>
      <c r="E1647" s="103"/>
      <c r="F1647" s="96"/>
      <c r="G1647" s="96"/>
      <c r="H1647" s="96"/>
      <c r="I1647" s="96"/>
      <c r="J1647" s="96"/>
      <c r="L1647" s="96"/>
      <c r="M1647" s="96"/>
      <c r="P1647" s="96"/>
      <c r="Q1647" s="96"/>
      <c r="R1647" s="96"/>
      <c r="S1647" s="96"/>
      <c r="T1647" s="96"/>
      <c r="U1647" s="96"/>
      <c r="V1647" s="96"/>
      <c r="W1647" s="96"/>
    </row>
    <row r="1648" spans="1:23" x14ac:dyDescent="0.3">
      <c r="A1648" s="96"/>
      <c r="B1648" s="96"/>
      <c r="C1648" s="96"/>
      <c r="D1648" s="96"/>
      <c r="E1648" s="103"/>
      <c r="F1648" s="96"/>
      <c r="G1648" s="96"/>
      <c r="H1648" s="96"/>
      <c r="I1648" s="96"/>
      <c r="J1648" s="96"/>
      <c r="L1648" s="96"/>
      <c r="M1648" s="96"/>
      <c r="P1648" s="96"/>
      <c r="Q1648" s="96"/>
      <c r="R1648" s="96"/>
      <c r="S1648" s="96"/>
      <c r="T1648" s="96"/>
      <c r="U1648" s="96"/>
      <c r="V1648" s="96"/>
      <c r="W1648" s="96"/>
    </row>
    <row r="1649" spans="1:23" x14ac:dyDescent="0.3">
      <c r="A1649" s="96"/>
      <c r="B1649" s="96"/>
      <c r="C1649" s="96"/>
      <c r="D1649" s="96"/>
      <c r="E1649" s="103"/>
      <c r="F1649" s="96"/>
      <c r="G1649" s="96"/>
      <c r="H1649" s="96"/>
      <c r="I1649" s="96"/>
      <c r="J1649" s="96"/>
      <c r="L1649" s="96"/>
      <c r="M1649" s="96"/>
      <c r="P1649" s="96"/>
      <c r="Q1649" s="96"/>
      <c r="R1649" s="96"/>
      <c r="S1649" s="96"/>
      <c r="T1649" s="96"/>
      <c r="U1649" s="96"/>
      <c r="V1649" s="96"/>
      <c r="W1649" s="96"/>
    </row>
    <row r="1650" spans="1:23" x14ac:dyDescent="0.3">
      <c r="A1650" s="96"/>
      <c r="B1650" s="96"/>
      <c r="C1650" s="96"/>
      <c r="D1650" s="96"/>
      <c r="E1650" s="103"/>
      <c r="F1650" s="96"/>
      <c r="G1650" s="96"/>
      <c r="H1650" s="96"/>
      <c r="I1650" s="96"/>
      <c r="J1650" s="96"/>
      <c r="L1650" s="96"/>
      <c r="M1650" s="96"/>
      <c r="P1650" s="96"/>
      <c r="Q1650" s="96"/>
      <c r="R1650" s="96"/>
      <c r="S1650" s="96"/>
      <c r="T1650" s="96"/>
      <c r="U1650" s="96"/>
      <c r="V1650" s="96"/>
      <c r="W1650" s="96"/>
    </row>
    <row r="1651" spans="1:23" x14ac:dyDescent="0.3">
      <c r="A1651" s="96"/>
      <c r="B1651" s="96"/>
      <c r="C1651" s="96"/>
      <c r="D1651" s="96"/>
      <c r="E1651" s="103"/>
      <c r="F1651" s="96"/>
      <c r="G1651" s="96"/>
      <c r="H1651" s="96"/>
      <c r="I1651" s="96"/>
      <c r="J1651" s="96"/>
      <c r="L1651" s="96"/>
      <c r="M1651" s="96"/>
      <c r="P1651" s="96"/>
      <c r="Q1651" s="96"/>
      <c r="R1651" s="96"/>
      <c r="S1651" s="96"/>
      <c r="T1651" s="96"/>
      <c r="U1651" s="96"/>
      <c r="V1651" s="96"/>
      <c r="W1651" s="96"/>
    </row>
    <row r="1652" spans="1:23" x14ac:dyDescent="0.3">
      <c r="A1652" s="96"/>
      <c r="B1652" s="96"/>
      <c r="C1652" s="96"/>
      <c r="D1652" s="96"/>
      <c r="E1652" s="103"/>
      <c r="F1652" s="96"/>
      <c r="G1652" s="96"/>
      <c r="H1652" s="96"/>
      <c r="I1652" s="96"/>
      <c r="J1652" s="96"/>
      <c r="L1652" s="96"/>
      <c r="M1652" s="96"/>
      <c r="P1652" s="96"/>
      <c r="Q1652" s="96"/>
      <c r="R1652" s="96"/>
      <c r="S1652" s="96"/>
      <c r="T1652" s="96"/>
      <c r="U1652" s="96"/>
      <c r="V1652" s="96"/>
      <c r="W1652" s="96"/>
    </row>
    <row r="1653" spans="1:23" x14ac:dyDescent="0.3">
      <c r="A1653" s="96"/>
      <c r="B1653" s="96"/>
      <c r="C1653" s="96"/>
      <c r="D1653" s="96"/>
      <c r="E1653" s="103"/>
      <c r="F1653" s="96"/>
      <c r="G1653" s="96"/>
      <c r="H1653" s="96"/>
      <c r="I1653" s="96"/>
      <c r="J1653" s="96"/>
      <c r="L1653" s="96"/>
      <c r="M1653" s="96"/>
      <c r="P1653" s="96"/>
      <c r="Q1653" s="96"/>
      <c r="R1653" s="96"/>
      <c r="S1653" s="96"/>
      <c r="T1653" s="96"/>
      <c r="U1653" s="96"/>
      <c r="V1653" s="96"/>
      <c r="W1653" s="96"/>
    </row>
    <row r="1654" spans="1:23" x14ac:dyDescent="0.3">
      <c r="A1654" s="96"/>
      <c r="B1654" s="96"/>
      <c r="C1654" s="96"/>
      <c r="D1654" s="96"/>
      <c r="E1654" s="103"/>
      <c r="F1654" s="96"/>
      <c r="G1654" s="96"/>
      <c r="H1654" s="96"/>
      <c r="I1654" s="96"/>
      <c r="J1654" s="96"/>
      <c r="L1654" s="96"/>
      <c r="M1654" s="96"/>
      <c r="P1654" s="96"/>
      <c r="Q1654" s="96"/>
      <c r="R1654" s="96"/>
      <c r="S1654" s="96"/>
      <c r="T1654" s="96"/>
      <c r="U1654" s="96"/>
      <c r="V1654" s="96"/>
      <c r="W1654" s="96"/>
    </row>
    <row r="1655" spans="1:23" x14ac:dyDescent="0.3">
      <c r="A1655" s="96"/>
      <c r="B1655" s="96"/>
      <c r="C1655" s="96"/>
      <c r="D1655" s="96"/>
      <c r="E1655" s="103"/>
      <c r="F1655" s="96"/>
      <c r="G1655" s="96"/>
      <c r="H1655" s="96"/>
      <c r="I1655" s="96"/>
      <c r="J1655" s="96"/>
      <c r="L1655" s="96"/>
      <c r="M1655" s="96"/>
      <c r="P1655" s="96"/>
      <c r="Q1655" s="96"/>
      <c r="R1655" s="96"/>
      <c r="S1655" s="96"/>
      <c r="T1655" s="96"/>
      <c r="U1655" s="96"/>
      <c r="V1655" s="96"/>
      <c r="W1655" s="96"/>
    </row>
    <row r="1656" spans="1:23" x14ac:dyDescent="0.3">
      <c r="A1656" s="96"/>
      <c r="B1656" s="96"/>
      <c r="C1656" s="96"/>
      <c r="D1656" s="96"/>
      <c r="E1656" s="103"/>
      <c r="F1656" s="96"/>
      <c r="G1656" s="96"/>
      <c r="H1656" s="96"/>
      <c r="I1656" s="96"/>
      <c r="J1656" s="96"/>
      <c r="L1656" s="96"/>
      <c r="M1656" s="96"/>
      <c r="P1656" s="96"/>
      <c r="Q1656" s="96"/>
      <c r="R1656" s="96"/>
      <c r="S1656" s="96"/>
      <c r="T1656" s="96"/>
      <c r="U1656" s="96"/>
      <c r="V1656" s="96"/>
      <c r="W1656" s="96"/>
    </row>
    <row r="1657" spans="1:23" x14ac:dyDescent="0.3">
      <c r="A1657" s="96"/>
      <c r="B1657" s="96"/>
      <c r="C1657" s="96"/>
      <c r="D1657" s="96"/>
      <c r="E1657" s="103"/>
      <c r="F1657" s="96"/>
      <c r="G1657" s="96"/>
      <c r="H1657" s="96"/>
      <c r="I1657" s="96"/>
      <c r="J1657" s="96"/>
      <c r="L1657" s="96"/>
      <c r="M1657" s="96"/>
      <c r="P1657" s="96"/>
      <c r="Q1657" s="96"/>
      <c r="R1657" s="96"/>
      <c r="S1657" s="96"/>
      <c r="T1657" s="96"/>
      <c r="U1657" s="96"/>
      <c r="V1657" s="96"/>
      <c r="W1657" s="96"/>
    </row>
    <row r="1658" spans="1:23" x14ac:dyDescent="0.3">
      <c r="A1658" s="96"/>
      <c r="B1658" s="96"/>
      <c r="C1658" s="96"/>
      <c r="D1658" s="96"/>
      <c r="E1658" s="103"/>
      <c r="F1658" s="96"/>
      <c r="G1658" s="96"/>
      <c r="H1658" s="96"/>
      <c r="I1658" s="96"/>
      <c r="J1658" s="96"/>
      <c r="L1658" s="96"/>
      <c r="M1658" s="96"/>
      <c r="P1658" s="96"/>
      <c r="Q1658" s="96"/>
      <c r="R1658" s="96"/>
      <c r="S1658" s="96"/>
      <c r="T1658" s="96"/>
      <c r="U1658" s="96"/>
      <c r="V1658" s="96"/>
      <c r="W1658" s="96"/>
    </row>
    <row r="1659" spans="1:23" x14ac:dyDescent="0.3">
      <c r="A1659" s="96"/>
      <c r="B1659" s="96"/>
      <c r="C1659" s="96"/>
      <c r="D1659" s="96"/>
      <c r="E1659" s="103"/>
      <c r="F1659" s="96"/>
      <c r="G1659" s="96"/>
      <c r="H1659" s="96"/>
      <c r="I1659" s="96"/>
      <c r="J1659" s="96"/>
      <c r="L1659" s="96"/>
      <c r="M1659" s="96"/>
      <c r="P1659" s="96"/>
      <c r="Q1659" s="96"/>
      <c r="R1659" s="96"/>
      <c r="S1659" s="96"/>
      <c r="T1659" s="96"/>
      <c r="U1659" s="96"/>
      <c r="V1659" s="96"/>
      <c r="W1659" s="96"/>
    </row>
    <row r="1660" spans="1:23" x14ac:dyDescent="0.3">
      <c r="A1660" s="96"/>
      <c r="B1660" s="96"/>
      <c r="C1660" s="96"/>
      <c r="D1660" s="96"/>
      <c r="E1660" s="103"/>
      <c r="F1660" s="96"/>
      <c r="G1660" s="96"/>
      <c r="H1660" s="96"/>
      <c r="I1660" s="96"/>
      <c r="J1660" s="96"/>
      <c r="L1660" s="96"/>
      <c r="M1660" s="96"/>
      <c r="P1660" s="96"/>
      <c r="Q1660" s="96"/>
      <c r="R1660" s="96"/>
      <c r="S1660" s="96"/>
      <c r="T1660" s="96"/>
      <c r="U1660" s="96"/>
      <c r="V1660" s="96"/>
      <c r="W1660" s="96"/>
    </row>
    <row r="1661" spans="1:23" x14ac:dyDescent="0.3">
      <c r="A1661" s="96"/>
      <c r="B1661" s="96"/>
      <c r="C1661" s="96"/>
      <c r="D1661" s="96"/>
      <c r="E1661" s="103"/>
      <c r="F1661" s="96"/>
      <c r="G1661" s="96"/>
      <c r="H1661" s="96"/>
      <c r="I1661" s="96"/>
      <c r="J1661" s="96"/>
      <c r="L1661" s="96"/>
      <c r="M1661" s="96"/>
      <c r="P1661" s="96"/>
      <c r="Q1661" s="96"/>
      <c r="R1661" s="96"/>
      <c r="S1661" s="96"/>
      <c r="T1661" s="96"/>
      <c r="U1661" s="96"/>
      <c r="V1661" s="96"/>
      <c r="W1661" s="96"/>
    </row>
    <row r="1662" spans="1:23" x14ac:dyDescent="0.3">
      <c r="A1662" s="96"/>
      <c r="B1662" s="96"/>
      <c r="C1662" s="96"/>
      <c r="D1662" s="96"/>
      <c r="E1662" s="103"/>
      <c r="F1662" s="96"/>
      <c r="G1662" s="96"/>
      <c r="H1662" s="96"/>
      <c r="I1662" s="96"/>
      <c r="J1662" s="96"/>
      <c r="L1662" s="96"/>
      <c r="M1662" s="96"/>
      <c r="P1662" s="96"/>
      <c r="Q1662" s="96"/>
      <c r="R1662" s="96"/>
      <c r="S1662" s="96"/>
      <c r="T1662" s="96"/>
      <c r="U1662" s="96"/>
      <c r="V1662" s="96"/>
      <c r="W1662" s="96"/>
    </row>
    <row r="1663" spans="1:23" x14ac:dyDescent="0.3">
      <c r="A1663" s="96"/>
      <c r="B1663" s="96"/>
      <c r="C1663" s="96"/>
      <c r="D1663" s="96"/>
      <c r="E1663" s="103"/>
      <c r="F1663" s="96"/>
      <c r="G1663" s="96"/>
      <c r="H1663" s="96"/>
      <c r="I1663" s="96"/>
      <c r="J1663" s="96"/>
      <c r="L1663" s="96"/>
      <c r="M1663" s="96"/>
      <c r="P1663" s="96"/>
      <c r="Q1663" s="96"/>
      <c r="R1663" s="96"/>
      <c r="S1663" s="96"/>
      <c r="T1663" s="96"/>
      <c r="U1663" s="96"/>
      <c r="V1663" s="96"/>
      <c r="W1663" s="96"/>
    </row>
    <row r="1664" spans="1:23" x14ac:dyDescent="0.3">
      <c r="A1664" s="96"/>
      <c r="B1664" s="96"/>
      <c r="C1664" s="96"/>
      <c r="D1664" s="96"/>
      <c r="E1664" s="103"/>
      <c r="F1664" s="96"/>
      <c r="G1664" s="96"/>
      <c r="H1664" s="96"/>
      <c r="I1664" s="96"/>
      <c r="J1664" s="96"/>
      <c r="L1664" s="96"/>
      <c r="M1664" s="96"/>
      <c r="P1664" s="96"/>
      <c r="Q1664" s="96"/>
      <c r="R1664" s="96"/>
      <c r="S1664" s="96"/>
      <c r="T1664" s="96"/>
      <c r="U1664" s="96"/>
      <c r="V1664" s="96"/>
      <c r="W1664" s="96"/>
    </row>
    <row r="1665" spans="1:28" x14ac:dyDescent="0.3">
      <c r="A1665" s="96"/>
      <c r="B1665" s="96"/>
      <c r="C1665" s="96"/>
      <c r="D1665" s="96"/>
      <c r="E1665" s="103"/>
      <c r="F1665" s="96"/>
      <c r="G1665" s="96"/>
      <c r="H1665" s="96"/>
      <c r="I1665" s="96"/>
      <c r="J1665" s="96"/>
      <c r="L1665" s="96"/>
      <c r="M1665" s="96"/>
      <c r="P1665" s="96"/>
      <c r="Q1665" s="96"/>
      <c r="R1665" s="96"/>
      <c r="S1665" s="96"/>
      <c r="T1665" s="96"/>
      <c r="U1665" s="96"/>
      <c r="V1665" s="96"/>
      <c r="W1665" s="96"/>
      <c r="AA1665" s="104"/>
      <c r="AB1665" s="104"/>
    </row>
    <row r="1666" spans="1:28" x14ac:dyDescent="0.3">
      <c r="A1666" s="96"/>
      <c r="B1666" s="96"/>
      <c r="C1666" s="96"/>
      <c r="D1666" s="96"/>
      <c r="E1666" s="103"/>
      <c r="F1666" s="96"/>
      <c r="G1666" s="96"/>
      <c r="H1666" s="96"/>
      <c r="I1666" s="96"/>
      <c r="J1666" s="96"/>
      <c r="L1666" s="96"/>
      <c r="M1666" s="96"/>
      <c r="P1666" s="96"/>
      <c r="Q1666" s="96"/>
      <c r="R1666" s="96"/>
      <c r="S1666" s="96"/>
      <c r="T1666" s="96"/>
      <c r="U1666" s="96"/>
      <c r="V1666" s="96"/>
      <c r="W1666" s="96"/>
      <c r="AA1666" s="104"/>
      <c r="AB1666" s="104"/>
    </row>
    <row r="1667" spans="1:28" x14ac:dyDescent="0.3">
      <c r="A1667" s="96"/>
      <c r="B1667" s="96"/>
      <c r="C1667" s="96"/>
      <c r="D1667" s="96"/>
      <c r="E1667" s="103"/>
      <c r="F1667" s="96"/>
      <c r="G1667" s="96"/>
      <c r="H1667" s="96"/>
      <c r="I1667" s="96"/>
      <c r="J1667" s="96"/>
      <c r="L1667" s="96"/>
      <c r="M1667" s="96"/>
      <c r="P1667" s="96"/>
      <c r="Q1667" s="96"/>
      <c r="R1667" s="96"/>
      <c r="S1667" s="96"/>
      <c r="T1667" s="96"/>
      <c r="U1667" s="96"/>
      <c r="V1667" s="96"/>
      <c r="W1667" s="96"/>
      <c r="AA1667" s="104"/>
      <c r="AB1667" s="104"/>
    </row>
    <row r="1668" spans="1:28" x14ac:dyDescent="0.3">
      <c r="A1668" s="96"/>
      <c r="B1668" s="96"/>
      <c r="C1668" s="96"/>
      <c r="D1668" s="96"/>
      <c r="E1668" s="103"/>
      <c r="F1668" s="96"/>
      <c r="G1668" s="96"/>
      <c r="H1668" s="96"/>
      <c r="I1668" s="96"/>
      <c r="J1668" s="96"/>
      <c r="L1668" s="96"/>
      <c r="M1668" s="96"/>
      <c r="P1668" s="96"/>
      <c r="Q1668" s="96"/>
      <c r="R1668" s="96"/>
      <c r="S1668" s="96"/>
      <c r="T1668" s="96"/>
      <c r="U1668" s="96"/>
      <c r="V1668" s="96"/>
      <c r="W1668" s="96"/>
      <c r="AA1668" s="104"/>
      <c r="AB1668" s="104"/>
    </row>
    <row r="1669" spans="1:28" x14ac:dyDescent="0.3">
      <c r="A1669" s="96"/>
      <c r="B1669" s="96"/>
      <c r="C1669" s="96"/>
      <c r="D1669" s="96"/>
      <c r="E1669" s="103"/>
      <c r="F1669" s="96"/>
      <c r="G1669" s="96"/>
      <c r="H1669" s="96"/>
      <c r="I1669" s="96"/>
      <c r="J1669" s="96"/>
      <c r="L1669" s="96"/>
      <c r="M1669" s="96"/>
      <c r="P1669" s="96"/>
      <c r="Q1669" s="96"/>
      <c r="R1669" s="96"/>
      <c r="S1669" s="96"/>
      <c r="T1669" s="96"/>
      <c r="U1669" s="96"/>
      <c r="V1669" s="96"/>
      <c r="W1669" s="96"/>
    </row>
    <row r="1670" spans="1:28" x14ac:dyDescent="0.3">
      <c r="A1670" s="96"/>
      <c r="B1670" s="96"/>
      <c r="C1670" s="96"/>
      <c r="D1670" s="96"/>
      <c r="E1670" s="103"/>
      <c r="F1670" s="96"/>
      <c r="G1670" s="96"/>
      <c r="H1670" s="96"/>
      <c r="I1670" s="96"/>
      <c r="J1670" s="96"/>
      <c r="L1670" s="96"/>
      <c r="M1670" s="96"/>
      <c r="P1670" s="96"/>
      <c r="Q1670" s="96"/>
      <c r="R1670" s="96"/>
      <c r="S1670" s="96"/>
      <c r="T1670" s="96"/>
      <c r="U1670" s="96"/>
      <c r="V1670" s="96"/>
      <c r="W1670" s="96"/>
    </row>
    <row r="1671" spans="1:28" x14ac:dyDescent="0.3">
      <c r="A1671" s="96"/>
      <c r="B1671" s="96"/>
      <c r="C1671" s="96"/>
      <c r="D1671" s="96"/>
      <c r="E1671" s="103"/>
      <c r="F1671" s="96"/>
      <c r="G1671" s="96"/>
      <c r="H1671" s="96"/>
      <c r="I1671" s="96"/>
      <c r="J1671" s="96"/>
      <c r="L1671" s="96"/>
      <c r="M1671" s="96"/>
      <c r="P1671" s="96"/>
      <c r="Q1671" s="96"/>
      <c r="R1671" s="96"/>
      <c r="S1671" s="96"/>
      <c r="T1671" s="96"/>
      <c r="U1671" s="96"/>
      <c r="V1671" s="96"/>
      <c r="W1671" s="96"/>
    </row>
    <row r="1672" spans="1:28" x14ac:dyDescent="0.3">
      <c r="A1672" s="96"/>
      <c r="B1672" s="96"/>
      <c r="C1672" s="96"/>
      <c r="D1672" s="96"/>
      <c r="E1672" s="103"/>
      <c r="F1672" s="96"/>
      <c r="G1672" s="96"/>
      <c r="H1672" s="96"/>
      <c r="I1672" s="96"/>
      <c r="J1672" s="96"/>
      <c r="L1672" s="96"/>
      <c r="M1672" s="96"/>
      <c r="P1672" s="96"/>
      <c r="Q1672" s="96"/>
      <c r="R1672" s="96"/>
      <c r="S1672" s="96"/>
      <c r="T1672" s="96"/>
      <c r="U1672" s="96"/>
      <c r="V1672" s="96"/>
      <c r="W1672" s="96"/>
    </row>
    <row r="1673" spans="1:28" x14ac:dyDescent="0.3">
      <c r="A1673" s="96"/>
      <c r="B1673" s="96"/>
      <c r="C1673" s="96"/>
      <c r="D1673" s="96"/>
      <c r="E1673" s="103"/>
      <c r="F1673" s="96"/>
      <c r="G1673" s="96"/>
      <c r="H1673" s="96"/>
      <c r="I1673" s="96"/>
      <c r="J1673" s="96"/>
      <c r="L1673" s="96"/>
      <c r="M1673" s="96"/>
      <c r="P1673" s="96"/>
      <c r="Q1673" s="96"/>
      <c r="R1673" s="96"/>
      <c r="S1673" s="96"/>
      <c r="T1673" s="96"/>
      <c r="U1673" s="96"/>
      <c r="V1673" s="96"/>
      <c r="W1673" s="96"/>
    </row>
    <row r="1674" spans="1:28" x14ac:dyDescent="0.3">
      <c r="A1674" s="96"/>
      <c r="B1674" s="96"/>
      <c r="C1674" s="96"/>
      <c r="D1674" s="96"/>
      <c r="E1674" s="103"/>
      <c r="F1674" s="96"/>
      <c r="G1674" s="96"/>
      <c r="H1674" s="96"/>
      <c r="I1674" s="96"/>
      <c r="J1674" s="96"/>
      <c r="L1674" s="96"/>
      <c r="M1674" s="96"/>
      <c r="P1674" s="96"/>
      <c r="Q1674" s="96"/>
      <c r="R1674" s="96"/>
      <c r="S1674" s="96"/>
      <c r="T1674" s="96"/>
      <c r="U1674" s="96"/>
      <c r="V1674" s="96"/>
      <c r="W1674" s="96"/>
    </row>
    <row r="1675" spans="1:28" x14ac:dyDescent="0.3">
      <c r="A1675" s="96"/>
      <c r="B1675" s="96"/>
      <c r="C1675" s="96"/>
      <c r="D1675" s="96"/>
      <c r="E1675" s="103"/>
      <c r="F1675" s="96"/>
      <c r="G1675" s="96"/>
      <c r="H1675" s="96"/>
      <c r="I1675" s="96"/>
      <c r="J1675" s="96"/>
      <c r="L1675" s="96"/>
      <c r="M1675" s="96"/>
      <c r="P1675" s="96"/>
      <c r="Q1675" s="96"/>
      <c r="R1675" s="96"/>
      <c r="S1675" s="96"/>
      <c r="T1675" s="96"/>
      <c r="U1675" s="96"/>
      <c r="V1675" s="96"/>
      <c r="W1675" s="96"/>
    </row>
    <row r="1676" spans="1:28" x14ac:dyDescent="0.3">
      <c r="A1676" s="96"/>
      <c r="B1676" s="96"/>
      <c r="C1676" s="96"/>
      <c r="D1676" s="96"/>
      <c r="E1676" s="103"/>
      <c r="F1676" s="96"/>
      <c r="G1676" s="96"/>
      <c r="H1676" s="96"/>
      <c r="I1676" s="96"/>
      <c r="J1676" s="96"/>
      <c r="L1676" s="96"/>
      <c r="M1676" s="96"/>
      <c r="P1676" s="96"/>
      <c r="Q1676" s="96"/>
      <c r="R1676" s="96"/>
      <c r="S1676" s="96"/>
      <c r="T1676" s="96"/>
      <c r="U1676" s="96"/>
      <c r="V1676" s="96"/>
      <c r="W1676" s="96"/>
    </row>
    <row r="1677" spans="1:28" x14ac:dyDescent="0.3">
      <c r="A1677" s="96"/>
      <c r="B1677" s="96"/>
      <c r="C1677" s="96"/>
      <c r="D1677" s="96"/>
      <c r="E1677" s="103"/>
      <c r="F1677" s="96"/>
      <c r="G1677" s="96"/>
      <c r="H1677" s="96"/>
      <c r="I1677" s="96"/>
      <c r="J1677" s="96"/>
      <c r="L1677" s="96"/>
      <c r="M1677" s="96"/>
      <c r="P1677" s="96"/>
      <c r="Q1677" s="96"/>
      <c r="R1677" s="96"/>
      <c r="S1677" s="96"/>
      <c r="T1677" s="96"/>
      <c r="U1677" s="96"/>
      <c r="V1677" s="96"/>
      <c r="W1677" s="96"/>
    </row>
    <row r="1678" spans="1:28" x14ac:dyDescent="0.3">
      <c r="A1678" s="96"/>
      <c r="B1678" s="96"/>
      <c r="C1678" s="96"/>
      <c r="D1678" s="96"/>
      <c r="E1678" s="103"/>
      <c r="F1678" s="96"/>
      <c r="G1678" s="96"/>
      <c r="H1678" s="96"/>
      <c r="I1678" s="96"/>
      <c r="J1678" s="96"/>
      <c r="L1678" s="96"/>
      <c r="M1678" s="96"/>
      <c r="P1678" s="96"/>
      <c r="Q1678" s="96"/>
      <c r="R1678" s="96"/>
      <c r="S1678" s="96"/>
      <c r="T1678" s="96"/>
      <c r="U1678" s="96"/>
      <c r="V1678" s="96"/>
      <c r="W1678" s="96"/>
    </row>
    <row r="1679" spans="1:28" x14ac:dyDescent="0.3">
      <c r="A1679" s="96"/>
      <c r="B1679" s="96"/>
      <c r="C1679" s="96"/>
      <c r="D1679" s="96"/>
      <c r="E1679" s="103"/>
      <c r="F1679" s="96"/>
      <c r="G1679" s="96"/>
      <c r="H1679" s="96"/>
      <c r="I1679" s="96"/>
      <c r="J1679" s="96"/>
      <c r="L1679" s="96"/>
      <c r="M1679" s="96"/>
      <c r="P1679" s="96"/>
      <c r="Q1679" s="96"/>
      <c r="R1679" s="96"/>
      <c r="S1679" s="96"/>
      <c r="T1679" s="96"/>
      <c r="U1679" s="96"/>
      <c r="V1679" s="96"/>
      <c r="W1679" s="96"/>
    </row>
    <row r="1680" spans="1:28" x14ac:dyDescent="0.3">
      <c r="A1680" s="96"/>
      <c r="B1680" s="96"/>
      <c r="C1680" s="96"/>
      <c r="D1680" s="96"/>
      <c r="E1680" s="103"/>
      <c r="F1680" s="96"/>
      <c r="G1680" s="96"/>
      <c r="H1680" s="96"/>
      <c r="I1680" s="96"/>
      <c r="J1680" s="96"/>
      <c r="L1680" s="96"/>
      <c r="M1680" s="96"/>
      <c r="P1680" s="96"/>
      <c r="Q1680" s="96"/>
      <c r="R1680" s="96"/>
      <c r="S1680" s="96"/>
      <c r="T1680" s="96"/>
      <c r="U1680" s="96"/>
      <c r="V1680" s="96"/>
      <c r="W1680" s="96"/>
    </row>
    <row r="1681" spans="1:23" x14ac:dyDescent="0.3">
      <c r="A1681" s="96"/>
      <c r="B1681" s="96"/>
      <c r="C1681" s="96"/>
      <c r="D1681" s="96"/>
      <c r="E1681" s="103"/>
      <c r="F1681" s="96"/>
      <c r="G1681" s="96"/>
      <c r="H1681" s="96"/>
      <c r="I1681" s="96"/>
      <c r="J1681" s="96"/>
      <c r="L1681" s="96"/>
      <c r="M1681" s="96"/>
      <c r="P1681" s="96"/>
      <c r="Q1681" s="96"/>
      <c r="R1681" s="96"/>
      <c r="S1681" s="96"/>
      <c r="T1681" s="96"/>
      <c r="U1681" s="96"/>
      <c r="V1681" s="96"/>
      <c r="W1681" s="96"/>
    </row>
    <row r="1682" spans="1:23" x14ac:dyDescent="0.3">
      <c r="A1682" s="96"/>
      <c r="B1682" s="96"/>
      <c r="C1682" s="96"/>
      <c r="D1682" s="96"/>
      <c r="E1682" s="103"/>
      <c r="F1682" s="96"/>
      <c r="G1682" s="96"/>
      <c r="H1682" s="96"/>
      <c r="I1682" s="96"/>
      <c r="J1682" s="96"/>
      <c r="L1682" s="96"/>
      <c r="M1682" s="96"/>
      <c r="P1682" s="96"/>
      <c r="Q1682" s="96"/>
      <c r="R1682" s="96"/>
      <c r="S1682" s="96"/>
      <c r="T1682" s="96"/>
      <c r="U1682" s="96"/>
      <c r="V1682" s="96"/>
      <c r="W1682" s="96"/>
    </row>
    <row r="1683" spans="1:23" x14ac:dyDescent="0.3">
      <c r="A1683" s="96"/>
      <c r="B1683" s="96"/>
      <c r="C1683" s="96"/>
      <c r="D1683" s="96"/>
      <c r="E1683" s="103"/>
      <c r="F1683" s="96"/>
      <c r="G1683" s="96"/>
      <c r="H1683" s="96"/>
      <c r="I1683" s="96"/>
      <c r="J1683" s="96"/>
      <c r="L1683" s="96"/>
      <c r="M1683" s="96"/>
      <c r="P1683" s="96"/>
      <c r="Q1683" s="96"/>
      <c r="R1683" s="96"/>
      <c r="S1683" s="96"/>
      <c r="T1683" s="96"/>
      <c r="U1683" s="96"/>
      <c r="V1683" s="96"/>
      <c r="W1683" s="96"/>
    </row>
    <row r="1684" spans="1:23" x14ac:dyDescent="0.3">
      <c r="A1684" s="96"/>
      <c r="B1684" s="96"/>
      <c r="C1684" s="96"/>
      <c r="D1684" s="96"/>
      <c r="E1684" s="103"/>
      <c r="F1684" s="96"/>
      <c r="G1684" s="96"/>
      <c r="H1684" s="96"/>
      <c r="I1684" s="96"/>
      <c r="J1684" s="96"/>
      <c r="L1684" s="96"/>
      <c r="M1684" s="96"/>
      <c r="P1684" s="96"/>
      <c r="Q1684" s="96"/>
      <c r="R1684" s="96"/>
      <c r="S1684" s="96"/>
      <c r="T1684" s="96"/>
      <c r="U1684" s="96"/>
      <c r="V1684" s="96"/>
      <c r="W1684" s="96"/>
    </row>
    <row r="1685" spans="1:23" x14ac:dyDescent="0.3">
      <c r="A1685" s="96"/>
      <c r="B1685" s="96"/>
      <c r="C1685" s="96"/>
      <c r="D1685" s="96"/>
      <c r="E1685" s="103"/>
      <c r="F1685" s="96"/>
      <c r="G1685" s="96"/>
      <c r="H1685" s="96"/>
      <c r="I1685" s="96"/>
      <c r="J1685" s="96"/>
      <c r="L1685" s="96"/>
      <c r="M1685" s="96"/>
      <c r="P1685" s="96"/>
      <c r="Q1685" s="96"/>
      <c r="R1685" s="96"/>
      <c r="S1685" s="96"/>
      <c r="T1685" s="96"/>
      <c r="U1685" s="96"/>
      <c r="V1685" s="96"/>
      <c r="W1685" s="96"/>
    </row>
    <row r="1686" spans="1:23" x14ac:dyDescent="0.3">
      <c r="A1686" s="96"/>
      <c r="B1686" s="96"/>
      <c r="C1686" s="96"/>
      <c r="D1686" s="96"/>
      <c r="E1686" s="103"/>
      <c r="F1686" s="96"/>
      <c r="G1686" s="96"/>
      <c r="H1686" s="96"/>
      <c r="I1686" s="96"/>
      <c r="J1686" s="96"/>
      <c r="L1686" s="96"/>
      <c r="M1686" s="96"/>
      <c r="P1686" s="96"/>
      <c r="Q1686" s="96"/>
      <c r="R1686" s="96"/>
      <c r="S1686" s="96"/>
      <c r="T1686" s="96"/>
      <c r="U1686" s="96"/>
      <c r="V1686" s="96"/>
      <c r="W1686" s="96"/>
    </row>
    <row r="1687" spans="1:23" x14ac:dyDescent="0.3">
      <c r="A1687" s="96"/>
      <c r="B1687" s="96"/>
      <c r="C1687" s="96"/>
      <c r="D1687" s="96"/>
      <c r="E1687" s="103"/>
      <c r="F1687" s="96"/>
      <c r="G1687" s="96"/>
      <c r="H1687" s="96"/>
      <c r="I1687" s="96"/>
      <c r="J1687" s="96"/>
      <c r="L1687" s="96"/>
      <c r="M1687" s="96"/>
      <c r="P1687" s="96"/>
      <c r="Q1687" s="96"/>
      <c r="R1687" s="96"/>
      <c r="S1687" s="96"/>
      <c r="T1687" s="96"/>
      <c r="U1687" s="96"/>
      <c r="V1687" s="96"/>
      <c r="W1687" s="96"/>
    </row>
    <row r="1688" spans="1:23" x14ac:dyDescent="0.3">
      <c r="A1688" s="96"/>
      <c r="B1688" s="96"/>
      <c r="C1688" s="96"/>
      <c r="D1688" s="96"/>
      <c r="E1688" s="103"/>
      <c r="F1688" s="96"/>
      <c r="G1688" s="96"/>
      <c r="H1688" s="96"/>
      <c r="I1688" s="96"/>
      <c r="J1688" s="96"/>
      <c r="L1688" s="96"/>
      <c r="M1688" s="96"/>
      <c r="P1688" s="96"/>
      <c r="Q1688" s="96"/>
      <c r="R1688" s="96"/>
      <c r="S1688" s="96"/>
      <c r="T1688" s="96"/>
      <c r="U1688" s="96"/>
      <c r="V1688" s="96"/>
      <c r="W1688" s="96"/>
    </row>
    <row r="1689" spans="1:23" x14ac:dyDescent="0.3">
      <c r="A1689" s="96"/>
      <c r="B1689" s="96"/>
      <c r="C1689" s="96"/>
      <c r="D1689" s="96"/>
      <c r="E1689" s="103"/>
      <c r="F1689" s="96"/>
      <c r="G1689" s="96"/>
      <c r="H1689" s="96"/>
      <c r="I1689" s="96"/>
      <c r="J1689" s="96"/>
      <c r="L1689" s="96"/>
      <c r="M1689" s="96"/>
      <c r="P1689" s="96"/>
      <c r="Q1689" s="96"/>
      <c r="R1689" s="96"/>
      <c r="S1689" s="96"/>
      <c r="T1689" s="96"/>
      <c r="U1689" s="96"/>
      <c r="V1689" s="96"/>
      <c r="W1689" s="96"/>
    </row>
    <row r="1690" spans="1:23" x14ac:dyDescent="0.3">
      <c r="A1690" s="96"/>
      <c r="B1690" s="96"/>
      <c r="C1690" s="96"/>
      <c r="D1690" s="96"/>
      <c r="E1690" s="103"/>
      <c r="F1690" s="96"/>
      <c r="G1690" s="96"/>
      <c r="H1690" s="96"/>
      <c r="I1690" s="96"/>
      <c r="J1690" s="96"/>
      <c r="L1690" s="96"/>
      <c r="M1690" s="96"/>
      <c r="P1690" s="96"/>
      <c r="Q1690" s="96"/>
      <c r="R1690" s="96"/>
      <c r="S1690" s="96"/>
      <c r="T1690" s="96"/>
      <c r="U1690" s="96"/>
      <c r="V1690" s="96"/>
      <c r="W1690" s="96"/>
    </row>
    <row r="1691" spans="1:23" x14ac:dyDescent="0.3">
      <c r="A1691" s="96"/>
      <c r="B1691" s="96"/>
      <c r="C1691" s="96"/>
      <c r="D1691" s="96"/>
      <c r="E1691" s="103"/>
      <c r="F1691" s="96"/>
      <c r="G1691" s="96"/>
      <c r="H1691" s="96"/>
      <c r="I1691" s="96"/>
      <c r="J1691" s="96"/>
      <c r="L1691" s="96"/>
      <c r="M1691" s="96"/>
      <c r="P1691" s="96"/>
      <c r="Q1691" s="96"/>
      <c r="R1691" s="96"/>
      <c r="S1691" s="96"/>
      <c r="T1691" s="96"/>
      <c r="U1691" s="96"/>
      <c r="V1691" s="96"/>
      <c r="W1691" s="96"/>
    </row>
    <row r="1692" spans="1:23" x14ac:dyDescent="0.3">
      <c r="A1692" s="96"/>
      <c r="B1692" s="96"/>
      <c r="C1692" s="96"/>
      <c r="D1692" s="96"/>
      <c r="E1692" s="103"/>
      <c r="F1692" s="96"/>
      <c r="G1692" s="96"/>
      <c r="H1692" s="96"/>
      <c r="I1692" s="96"/>
      <c r="J1692" s="96"/>
      <c r="L1692" s="96"/>
      <c r="M1692" s="96"/>
      <c r="P1692" s="96"/>
      <c r="Q1692" s="96"/>
      <c r="R1692" s="96"/>
      <c r="S1692" s="96"/>
      <c r="T1692" s="96"/>
      <c r="U1692" s="96"/>
      <c r="V1692" s="96"/>
      <c r="W1692" s="96"/>
    </row>
    <row r="1693" spans="1:23" x14ac:dyDescent="0.3">
      <c r="A1693" s="96"/>
      <c r="B1693" s="96"/>
      <c r="C1693" s="96"/>
      <c r="D1693" s="96"/>
      <c r="E1693" s="103"/>
      <c r="F1693" s="96"/>
      <c r="G1693" s="96"/>
      <c r="H1693" s="96"/>
      <c r="I1693" s="96"/>
      <c r="J1693" s="96"/>
      <c r="L1693" s="96"/>
      <c r="M1693" s="96"/>
      <c r="P1693" s="96"/>
      <c r="Q1693" s="96"/>
      <c r="R1693" s="96"/>
      <c r="S1693" s="96"/>
      <c r="T1693" s="96"/>
      <c r="U1693" s="96"/>
      <c r="V1693" s="96"/>
      <c r="W1693" s="96"/>
    </row>
    <row r="1694" spans="1:23" x14ac:dyDescent="0.3">
      <c r="A1694" s="96"/>
      <c r="B1694" s="96"/>
      <c r="C1694" s="96"/>
      <c r="D1694" s="96"/>
      <c r="E1694" s="103"/>
      <c r="F1694" s="96"/>
      <c r="G1694" s="96"/>
      <c r="H1694" s="96"/>
      <c r="I1694" s="96"/>
      <c r="J1694" s="96"/>
      <c r="L1694" s="96"/>
      <c r="M1694" s="96"/>
      <c r="P1694" s="96"/>
      <c r="Q1694" s="96"/>
      <c r="R1694" s="96"/>
      <c r="S1694" s="96"/>
      <c r="T1694" s="96"/>
      <c r="U1694" s="96"/>
      <c r="V1694" s="96"/>
      <c r="W1694" s="96"/>
    </row>
    <row r="1695" spans="1:23" x14ac:dyDescent="0.3">
      <c r="A1695" s="96"/>
      <c r="B1695" s="96"/>
      <c r="C1695" s="96"/>
      <c r="D1695" s="96"/>
      <c r="E1695" s="103"/>
      <c r="F1695" s="96"/>
      <c r="G1695" s="96"/>
      <c r="H1695" s="96"/>
      <c r="I1695" s="96"/>
      <c r="J1695" s="96"/>
      <c r="L1695" s="96"/>
      <c r="M1695" s="96"/>
      <c r="P1695" s="96"/>
      <c r="Q1695" s="96"/>
      <c r="R1695" s="96"/>
      <c r="S1695" s="96"/>
      <c r="T1695" s="96"/>
      <c r="U1695" s="96"/>
      <c r="V1695" s="96"/>
      <c r="W1695" s="96"/>
    </row>
    <row r="1696" spans="1:23" x14ac:dyDescent="0.3">
      <c r="A1696" s="96"/>
      <c r="B1696" s="96"/>
      <c r="C1696" s="96"/>
      <c r="D1696" s="96"/>
      <c r="E1696" s="103"/>
      <c r="F1696" s="96"/>
      <c r="G1696" s="96"/>
      <c r="H1696" s="96"/>
      <c r="I1696" s="96"/>
      <c r="J1696" s="96"/>
      <c r="L1696" s="96"/>
      <c r="M1696" s="96"/>
      <c r="P1696" s="96"/>
      <c r="Q1696" s="96"/>
      <c r="R1696" s="96"/>
      <c r="S1696" s="96"/>
      <c r="T1696" s="96"/>
      <c r="U1696" s="96"/>
      <c r="V1696" s="96"/>
      <c r="W1696" s="96"/>
    </row>
    <row r="1697" spans="1:23" x14ac:dyDescent="0.3">
      <c r="A1697" s="96"/>
      <c r="B1697" s="96"/>
      <c r="C1697" s="96"/>
      <c r="D1697" s="96"/>
      <c r="E1697" s="103"/>
      <c r="F1697" s="96"/>
      <c r="G1697" s="96"/>
      <c r="H1697" s="96"/>
      <c r="I1697" s="96"/>
      <c r="J1697" s="96"/>
      <c r="L1697" s="96"/>
      <c r="M1697" s="96"/>
      <c r="P1697" s="96"/>
      <c r="Q1697" s="96"/>
      <c r="R1697" s="96"/>
      <c r="S1697" s="96"/>
      <c r="T1697" s="96"/>
      <c r="U1697" s="96"/>
      <c r="V1697" s="96"/>
      <c r="W1697" s="96"/>
    </row>
    <row r="1698" spans="1:23" x14ac:dyDescent="0.3">
      <c r="A1698" s="96"/>
      <c r="B1698" s="96"/>
      <c r="C1698" s="96"/>
      <c r="D1698" s="96"/>
      <c r="E1698" s="103"/>
      <c r="F1698" s="96"/>
      <c r="G1698" s="96"/>
      <c r="H1698" s="96"/>
      <c r="I1698" s="96"/>
      <c r="J1698" s="96"/>
      <c r="L1698" s="96"/>
      <c r="M1698" s="96"/>
      <c r="P1698" s="96"/>
      <c r="Q1698" s="96"/>
      <c r="R1698" s="96"/>
      <c r="S1698" s="96"/>
      <c r="T1698" s="96"/>
      <c r="U1698" s="96"/>
      <c r="V1698" s="96"/>
      <c r="W1698" s="96"/>
    </row>
    <row r="1699" spans="1:23" x14ac:dyDescent="0.3">
      <c r="A1699" s="96"/>
      <c r="B1699" s="96"/>
      <c r="C1699" s="96"/>
      <c r="D1699" s="96"/>
      <c r="E1699" s="103"/>
      <c r="F1699" s="96"/>
      <c r="G1699" s="96"/>
      <c r="H1699" s="96"/>
      <c r="I1699" s="96"/>
      <c r="J1699" s="96"/>
      <c r="L1699" s="96"/>
      <c r="M1699" s="96"/>
      <c r="P1699" s="96"/>
      <c r="Q1699" s="96"/>
      <c r="R1699" s="96"/>
      <c r="S1699" s="96"/>
      <c r="T1699" s="96"/>
      <c r="U1699" s="96"/>
      <c r="V1699" s="96"/>
      <c r="W1699" s="96"/>
    </row>
    <row r="1700" spans="1:23" x14ac:dyDescent="0.3">
      <c r="A1700" s="96"/>
      <c r="B1700" s="96"/>
      <c r="C1700" s="96"/>
      <c r="D1700" s="96"/>
      <c r="E1700" s="103"/>
      <c r="F1700" s="96"/>
      <c r="G1700" s="96"/>
      <c r="H1700" s="96"/>
      <c r="I1700" s="96"/>
      <c r="J1700" s="96"/>
      <c r="L1700" s="96"/>
      <c r="M1700" s="96"/>
      <c r="P1700" s="96"/>
      <c r="Q1700" s="96"/>
      <c r="R1700" s="96"/>
      <c r="S1700" s="96"/>
      <c r="T1700" s="96"/>
      <c r="U1700" s="96"/>
      <c r="V1700" s="96"/>
      <c r="W1700" s="96"/>
    </row>
    <row r="1701" spans="1:23" x14ac:dyDescent="0.3">
      <c r="A1701" s="96"/>
      <c r="B1701" s="96"/>
      <c r="C1701" s="96"/>
      <c r="D1701" s="96"/>
      <c r="E1701" s="103"/>
      <c r="F1701" s="96"/>
      <c r="G1701" s="96"/>
      <c r="H1701" s="96"/>
      <c r="I1701" s="96"/>
      <c r="J1701" s="96"/>
      <c r="L1701" s="96"/>
      <c r="M1701" s="96"/>
      <c r="P1701" s="96"/>
      <c r="Q1701" s="96"/>
      <c r="R1701" s="96"/>
      <c r="S1701" s="96"/>
      <c r="T1701" s="96"/>
      <c r="U1701" s="96"/>
      <c r="V1701" s="96"/>
      <c r="W1701" s="96"/>
    </row>
    <row r="1702" spans="1:23" x14ac:dyDescent="0.3">
      <c r="A1702" s="96"/>
      <c r="B1702" s="96"/>
      <c r="C1702" s="96"/>
      <c r="D1702" s="96"/>
      <c r="E1702" s="103"/>
      <c r="F1702" s="96"/>
      <c r="G1702" s="96"/>
      <c r="H1702" s="96"/>
      <c r="I1702" s="96"/>
      <c r="J1702" s="96"/>
      <c r="L1702" s="96"/>
      <c r="M1702" s="96"/>
      <c r="P1702" s="96"/>
      <c r="Q1702" s="96"/>
      <c r="R1702" s="96"/>
      <c r="S1702" s="96"/>
      <c r="T1702" s="96"/>
      <c r="U1702" s="96"/>
      <c r="V1702" s="96"/>
      <c r="W1702" s="96"/>
    </row>
    <row r="1703" spans="1:23" x14ac:dyDescent="0.3">
      <c r="A1703" s="96"/>
      <c r="B1703" s="96"/>
      <c r="C1703" s="96"/>
      <c r="D1703" s="96"/>
      <c r="E1703" s="103"/>
      <c r="F1703" s="96"/>
      <c r="G1703" s="96"/>
      <c r="H1703" s="96"/>
      <c r="I1703" s="96"/>
      <c r="J1703" s="96"/>
      <c r="L1703" s="96"/>
      <c r="M1703" s="96"/>
      <c r="P1703" s="96"/>
      <c r="Q1703" s="96"/>
      <c r="R1703" s="96"/>
      <c r="S1703" s="96"/>
      <c r="T1703" s="96"/>
      <c r="U1703" s="96"/>
      <c r="V1703" s="96"/>
      <c r="W1703" s="96"/>
    </row>
    <row r="1704" spans="1:23" x14ac:dyDescent="0.3">
      <c r="A1704" s="96"/>
      <c r="B1704" s="96"/>
      <c r="C1704" s="96"/>
      <c r="D1704" s="96"/>
      <c r="E1704" s="103"/>
      <c r="F1704" s="96"/>
      <c r="G1704" s="96"/>
      <c r="H1704" s="96"/>
      <c r="I1704" s="96"/>
      <c r="J1704" s="96"/>
      <c r="L1704" s="96"/>
      <c r="M1704" s="96"/>
      <c r="P1704" s="96"/>
      <c r="Q1704" s="96"/>
      <c r="R1704" s="96"/>
      <c r="S1704" s="96"/>
      <c r="T1704" s="96"/>
      <c r="U1704" s="96"/>
      <c r="V1704" s="96"/>
      <c r="W1704" s="96"/>
    </row>
    <row r="1705" spans="1:23" x14ac:dyDescent="0.3">
      <c r="A1705" s="96"/>
      <c r="B1705" s="96"/>
      <c r="C1705" s="96"/>
      <c r="D1705" s="96"/>
      <c r="E1705" s="103"/>
      <c r="F1705" s="96"/>
      <c r="G1705" s="96"/>
      <c r="H1705" s="96"/>
      <c r="I1705" s="96"/>
      <c r="J1705" s="96"/>
      <c r="L1705" s="96"/>
      <c r="M1705" s="96"/>
      <c r="P1705" s="96"/>
      <c r="Q1705" s="96"/>
      <c r="R1705" s="96"/>
      <c r="S1705" s="96"/>
      <c r="T1705" s="96"/>
      <c r="U1705" s="96"/>
      <c r="V1705" s="96"/>
      <c r="W1705" s="96"/>
    </row>
    <row r="1706" spans="1:23" x14ac:dyDescent="0.3">
      <c r="A1706" s="96"/>
      <c r="B1706" s="96"/>
      <c r="C1706" s="96"/>
      <c r="D1706" s="96"/>
      <c r="E1706" s="103"/>
      <c r="F1706" s="96"/>
      <c r="G1706" s="96"/>
      <c r="H1706" s="96"/>
      <c r="I1706" s="96"/>
      <c r="J1706" s="96"/>
      <c r="L1706" s="96"/>
      <c r="M1706" s="96"/>
      <c r="P1706" s="96"/>
      <c r="Q1706" s="96"/>
      <c r="R1706" s="96"/>
      <c r="S1706" s="96"/>
      <c r="T1706" s="96"/>
      <c r="U1706" s="96"/>
      <c r="V1706" s="96"/>
      <c r="W1706" s="96"/>
    </row>
    <row r="1707" spans="1:23" x14ac:dyDescent="0.3">
      <c r="A1707" s="96"/>
      <c r="B1707" s="96"/>
      <c r="C1707" s="96"/>
      <c r="D1707" s="96"/>
      <c r="E1707" s="103"/>
      <c r="F1707" s="96"/>
      <c r="G1707" s="96"/>
      <c r="H1707" s="96"/>
      <c r="I1707" s="96"/>
      <c r="J1707" s="96"/>
      <c r="L1707" s="96"/>
      <c r="M1707" s="96"/>
      <c r="P1707" s="96"/>
      <c r="Q1707" s="96"/>
      <c r="R1707" s="96"/>
      <c r="S1707" s="96"/>
      <c r="T1707" s="96"/>
      <c r="U1707" s="96"/>
      <c r="V1707" s="96"/>
      <c r="W1707" s="96"/>
    </row>
    <row r="1708" spans="1:23" x14ac:dyDescent="0.3">
      <c r="A1708" s="96"/>
      <c r="B1708" s="96"/>
      <c r="C1708" s="96"/>
      <c r="D1708" s="96"/>
      <c r="E1708" s="103"/>
      <c r="F1708" s="96"/>
      <c r="G1708" s="96"/>
      <c r="H1708" s="96"/>
      <c r="I1708" s="96"/>
      <c r="J1708" s="96"/>
      <c r="L1708" s="96"/>
      <c r="M1708" s="96"/>
      <c r="P1708" s="96"/>
      <c r="Q1708" s="96"/>
      <c r="R1708" s="96"/>
      <c r="S1708" s="96"/>
      <c r="T1708" s="96"/>
      <c r="U1708" s="96"/>
      <c r="V1708" s="96"/>
      <c r="W1708" s="96"/>
    </row>
    <row r="1709" spans="1:23" x14ac:dyDescent="0.3">
      <c r="A1709" s="96"/>
      <c r="B1709" s="96"/>
      <c r="C1709" s="96"/>
      <c r="D1709" s="96"/>
      <c r="E1709" s="103"/>
      <c r="F1709" s="96"/>
      <c r="G1709" s="96"/>
      <c r="H1709" s="96"/>
      <c r="I1709" s="96"/>
      <c r="J1709" s="96"/>
      <c r="L1709" s="96"/>
      <c r="M1709" s="96"/>
      <c r="P1709" s="96"/>
      <c r="Q1709" s="96"/>
      <c r="R1709" s="96"/>
      <c r="S1709" s="96"/>
      <c r="T1709" s="96"/>
      <c r="U1709" s="96"/>
      <c r="V1709" s="96"/>
      <c r="W1709" s="96"/>
    </row>
    <row r="1710" spans="1:23" x14ac:dyDescent="0.3">
      <c r="A1710" s="96"/>
      <c r="B1710" s="96"/>
      <c r="C1710" s="96"/>
      <c r="D1710" s="96"/>
      <c r="E1710" s="103"/>
      <c r="F1710" s="96"/>
      <c r="G1710" s="96"/>
      <c r="H1710" s="96"/>
      <c r="I1710" s="96"/>
      <c r="J1710" s="96"/>
      <c r="L1710" s="96"/>
      <c r="M1710" s="96"/>
      <c r="P1710" s="96"/>
      <c r="Q1710" s="96"/>
      <c r="R1710" s="96"/>
      <c r="S1710" s="96"/>
      <c r="T1710" s="96"/>
      <c r="U1710" s="96"/>
      <c r="V1710" s="96"/>
      <c r="W1710" s="96"/>
    </row>
    <row r="1711" spans="1:23" x14ac:dyDescent="0.3">
      <c r="A1711" s="96"/>
      <c r="B1711" s="96"/>
      <c r="C1711" s="96"/>
      <c r="D1711" s="96"/>
      <c r="E1711" s="103"/>
      <c r="F1711" s="96"/>
      <c r="G1711" s="96"/>
      <c r="H1711" s="96"/>
      <c r="I1711" s="96"/>
      <c r="J1711" s="96"/>
      <c r="L1711" s="96"/>
      <c r="M1711" s="96"/>
      <c r="P1711" s="96"/>
      <c r="Q1711" s="96"/>
      <c r="R1711" s="96"/>
      <c r="S1711" s="96"/>
      <c r="T1711" s="96"/>
      <c r="U1711" s="96"/>
      <c r="V1711" s="96"/>
      <c r="W1711" s="96"/>
    </row>
    <row r="1712" spans="1:23" x14ac:dyDescent="0.3">
      <c r="A1712" s="96"/>
      <c r="B1712" s="96"/>
      <c r="C1712" s="96"/>
      <c r="D1712" s="96"/>
      <c r="E1712" s="103"/>
      <c r="F1712" s="96"/>
      <c r="G1712" s="96"/>
      <c r="H1712" s="96"/>
      <c r="I1712" s="96"/>
      <c r="J1712" s="96"/>
      <c r="L1712" s="96"/>
      <c r="M1712" s="96"/>
      <c r="P1712" s="96"/>
      <c r="Q1712" s="96"/>
      <c r="R1712" s="96"/>
      <c r="S1712" s="96"/>
      <c r="T1712" s="96"/>
      <c r="U1712" s="96"/>
      <c r="V1712" s="96"/>
      <c r="W1712" s="96"/>
    </row>
    <row r="1713" spans="1:23" x14ac:dyDescent="0.3">
      <c r="A1713" s="96"/>
      <c r="B1713" s="96"/>
      <c r="C1713" s="96"/>
      <c r="D1713" s="96"/>
      <c r="E1713" s="103"/>
      <c r="F1713" s="96"/>
      <c r="G1713" s="96"/>
      <c r="H1713" s="96"/>
      <c r="I1713" s="96"/>
      <c r="J1713" s="96"/>
      <c r="L1713" s="96"/>
      <c r="M1713" s="96"/>
      <c r="P1713" s="96"/>
      <c r="Q1713" s="96"/>
      <c r="R1713" s="96"/>
      <c r="S1713" s="96"/>
      <c r="T1713" s="96"/>
      <c r="U1713" s="96"/>
      <c r="V1713" s="96"/>
      <c r="W1713" s="96"/>
    </row>
    <row r="1714" spans="1:23" x14ac:dyDescent="0.3">
      <c r="A1714" s="96"/>
      <c r="B1714" s="96"/>
      <c r="C1714" s="96"/>
      <c r="D1714" s="96"/>
      <c r="E1714" s="103"/>
      <c r="F1714" s="96"/>
      <c r="G1714" s="96"/>
      <c r="H1714" s="96"/>
      <c r="I1714" s="96"/>
      <c r="J1714" s="96"/>
      <c r="L1714" s="96"/>
      <c r="M1714" s="96"/>
      <c r="P1714" s="96"/>
      <c r="Q1714" s="96"/>
      <c r="R1714" s="96"/>
      <c r="S1714" s="96"/>
      <c r="T1714" s="96"/>
      <c r="U1714" s="96"/>
      <c r="V1714" s="96"/>
      <c r="W1714" s="96"/>
    </row>
    <row r="1715" spans="1:23" x14ac:dyDescent="0.3">
      <c r="A1715" s="96"/>
      <c r="B1715" s="96"/>
      <c r="C1715" s="96"/>
      <c r="D1715" s="96"/>
      <c r="E1715" s="103"/>
      <c r="F1715" s="96"/>
      <c r="G1715" s="96"/>
      <c r="H1715" s="96"/>
      <c r="I1715" s="96"/>
      <c r="J1715" s="96"/>
      <c r="L1715" s="96"/>
      <c r="M1715" s="96"/>
      <c r="P1715" s="96"/>
      <c r="Q1715" s="96"/>
      <c r="R1715" s="96"/>
      <c r="S1715" s="96"/>
      <c r="T1715" s="96"/>
      <c r="U1715" s="96"/>
      <c r="V1715" s="96"/>
      <c r="W1715" s="96"/>
    </row>
    <row r="1716" spans="1:23" x14ac:dyDescent="0.3">
      <c r="A1716" s="96"/>
      <c r="B1716" s="96"/>
      <c r="C1716" s="96"/>
      <c r="D1716" s="96"/>
      <c r="E1716" s="103"/>
      <c r="F1716" s="96"/>
      <c r="G1716" s="96"/>
      <c r="H1716" s="96"/>
      <c r="I1716" s="96"/>
      <c r="J1716" s="96"/>
      <c r="L1716" s="96"/>
      <c r="M1716" s="96"/>
      <c r="P1716" s="96"/>
      <c r="Q1716" s="96"/>
      <c r="R1716" s="96"/>
      <c r="S1716" s="96"/>
      <c r="T1716" s="96"/>
      <c r="U1716" s="96"/>
      <c r="V1716" s="96"/>
      <c r="W1716" s="96"/>
    </row>
    <row r="1717" spans="1:23" x14ac:dyDescent="0.3">
      <c r="A1717" s="96"/>
      <c r="B1717" s="96"/>
      <c r="C1717" s="96"/>
      <c r="D1717" s="96"/>
      <c r="E1717" s="103"/>
      <c r="F1717" s="96"/>
      <c r="G1717" s="96"/>
      <c r="H1717" s="96"/>
      <c r="I1717" s="96"/>
      <c r="J1717" s="96"/>
      <c r="L1717" s="96"/>
      <c r="M1717" s="96"/>
      <c r="P1717" s="96"/>
      <c r="Q1717" s="96"/>
      <c r="R1717" s="96"/>
      <c r="S1717" s="96"/>
      <c r="T1717" s="96"/>
      <c r="U1717" s="96"/>
      <c r="V1717" s="96"/>
      <c r="W1717" s="96"/>
    </row>
    <row r="1718" spans="1:23" x14ac:dyDescent="0.3">
      <c r="A1718" s="96"/>
      <c r="B1718" s="96"/>
      <c r="C1718" s="96"/>
      <c r="D1718" s="96"/>
      <c r="E1718" s="103"/>
      <c r="F1718" s="96"/>
      <c r="G1718" s="96"/>
      <c r="H1718" s="96"/>
      <c r="I1718" s="96"/>
      <c r="J1718" s="96"/>
      <c r="L1718" s="96"/>
      <c r="M1718" s="96"/>
      <c r="P1718" s="96"/>
      <c r="Q1718" s="96"/>
      <c r="R1718" s="96"/>
      <c r="S1718" s="96"/>
      <c r="T1718" s="96"/>
      <c r="U1718" s="96"/>
      <c r="V1718" s="96"/>
      <c r="W1718" s="96"/>
    </row>
    <row r="1719" spans="1:23" x14ac:dyDescent="0.3">
      <c r="A1719" s="96"/>
      <c r="B1719" s="96"/>
      <c r="C1719" s="96"/>
      <c r="D1719" s="96"/>
      <c r="E1719" s="103"/>
      <c r="F1719" s="96"/>
      <c r="G1719" s="96"/>
      <c r="H1719" s="96"/>
      <c r="I1719" s="96"/>
      <c r="J1719" s="96"/>
      <c r="L1719" s="96"/>
      <c r="M1719" s="96"/>
      <c r="P1719" s="96"/>
      <c r="Q1719" s="96"/>
      <c r="R1719" s="96"/>
      <c r="S1719" s="96"/>
      <c r="T1719" s="96"/>
      <c r="U1719" s="96"/>
      <c r="V1719" s="96"/>
      <c r="W1719" s="96"/>
    </row>
    <row r="1720" spans="1:23" x14ac:dyDescent="0.3">
      <c r="A1720" s="96"/>
      <c r="B1720" s="96"/>
      <c r="C1720" s="96"/>
      <c r="D1720" s="96"/>
      <c r="E1720" s="103"/>
      <c r="F1720" s="96"/>
      <c r="G1720" s="96"/>
      <c r="H1720" s="96"/>
      <c r="I1720" s="96"/>
      <c r="J1720" s="96"/>
      <c r="L1720" s="96"/>
      <c r="M1720" s="96"/>
      <c r="P1720" s="96"/>
      <c r="Q1720" s="96"/>
      <c r="R1720" s="96"/>
      <c r="S1720" s="96"/>
      <c r="T1720" s="96"/>
      <c r="U1720" s="96"/>
      <c r="V1720" s="96"/>
      <c r="W1720" s="96"/>
    </row>
    <row r="1721" spans="1:23" x14ac:dyDescent="0.3">
      <c r="A1721" s="96"/>
      <c r="B1721" s="96"/>
      <c r="C1721" s="96"/>
      <c r="D1721" s="96"/>
      <c r="E1721" s="103"/>
      <c r="F1721" s="96"/>
      <c r="G1721" s="96"/>
      <c r="H1721" s="96"/>
      <c r="I1721" s="96"/>
      <c r="J1721" s="96"/>
      <c r="L1721" s="96"/>
      <c r="M1721" s="96"/>
      <c r="P1721" s="96"/>
      <c r="Q1721" s="96"/>
      <c r="R1721" s="96"/>
      <c r="S1721" s="96"/>
      <c r="T1721" s="96"/>
      <c r="U1721" s="96"/>
      <c r="V1721" s="96"/>
      <c r="W1721" s="96"/>
    </row>
    <row r="1722" spans="1:23" x14ac:dyDescent="0.3">
      <c r="A1722" s="96"/>
      <c r="B1722" s="96"/>
      <c r="C1722" s="96"/>
      <c r="D1722" s="96"/>
      <c r="E1722" s="103"/>
      <c r="F1722" s="96"/>
      <c r="G1722" s="96"/>
      <c r="H1722" s="96"/>
      <c r="I1722" s="96"/>
      <c r="J1722" s="96"/>
      <c r="L1722" s="96"/>
      <c r="M1722" s="96"/>
      <c r="P1722" s="96"/>
      <c r="Q1722" s="96"/>
      <c r="R1722" s="96"/>
      <c r="S1722" s="96"/>
      <c r="T1722" s="96"/>
      <c r="U1722" s="96"/>
      <c r="V1722" s="96"/>
      <c r="W1722" s="96"/>
    </row>
    <row r="1723" spans="1:23" x14ac:dyDescent="0.3">
      <c r="A1723" s="96"/>
      <c r="B1723" s="96"/>
      <c r="C1723" s="96"/>
      <c r="D1723" s="96"/>
      <c r="E1723" s="103"/>
      <c r="F1723" s="96"/>
      <c r="G1723" s="96"/>
      <c r="H1723" s="96"/>
      <c r="I1723" s="96"/>
      <c r="J1723" s="96"/>
      <c r="L1723" s="96"/>
      <c r="M1723" s="96"/>
      <c r="P1723" s="96"/>
      <c r="Q1723" s="96"/>
      <c r="R1723" s="96"/>
      <c r="S1723" s="96"/>
      <c r="T1723" s="96"/>
      <c r="U1723" s="96"/>
      <c r="V1723" s="96"/>
      <c r="W1723" s="96"/>
    </row>
    <row r="1724" spans="1:23" x14ac:dyDescent="0.3">
      <c r="A1724" s="96"/>
      <c r="B1724" s="96"/>
      <c r="C1724" s="96"/>
      <c r="D1724" s="96"/>
      <c r="E1724" s="103"/>
      <c r="F1724" s="96"/>
      <c r="G1724" s="96"/>
      <c r="H1724" s="96"/>
      <c r="I1724" s="96"/>
      <c r="J1724" s="96"/>
      <c r="L1724" s="96"/>
      <c r="M1724" s="96"/>
      <c r="P1724" s="96"/>
      <c r="Q1724" s="96"/>
      <c r="R1724" s="96"/>
      <c r="S1724" s="96"/>
      <c r="T1724" s="96"/>
      <c r="U1724" s="96"/>
      <c r="V1724" s="96"/>
      <c r="W1724" s="96"/>
    </row>
    <row r="1725" spans="1:23" x14ac:dyDescent="0.3">
      <c r="A1725" s="96"/>
      <c r="B1725" s="96"/>
      <c r="C1725" s="96"/>
      <c r="D1725" s="96"/>
      <c r="E1725" s="103"/>
      <c r="F1725" s="96"/>
      <c r="G1725" s="96"/>
      <c r="H1725" s="96"/>
      <c r="I1725" s="96"/>
      <c r="J1725" s="96"/>
      <c r="L1725" s="96"/>
      <c r="M1725" s="96"/>
      <c r="P1725" s="96"/>
      <c r="Q1725" s="96"/>
      <c r="R1725" s="96"/>
      <c r="S1725" s="96"/>
      <c r="T1725" s="96"/>
      <c r="U1725" s="96"/>
      <c r="V1725" s="96"/>
      <c r="W1725" s="96"/>
    </row>
    <row r="1726" spans="1:23" x14ac:dyDescent="0.3">
      <c r="A1726" s="96"/>
      <c r="B1726" s="96"/>
      <c r="C1726" s="96"/>
      <c r="D1726" s="96"/>
      <c r="E1726" s="103"/>
      <c r="F1726" s="96"/>
      <c r="G1726" s="96"/>
      <c r="H1726" s="96"/>
      <c r="I1726" s="96"/>
      <c r="J1726" s="96"/>
      <c r="L1726" s="96"/>
      <c r="M1726" s="96"/>
      <c r="P1726" s="96"/>
      <c r="Q1726" s="96"/>
      <c r="R1726" s="96"/>
      <c r="S1726" s="96"/>
      <c r="T1726" s="96"/>
      <c r="U1726" s="96"/>
      <c r="V1726" s="96"/>
      <c r="W1726" s="96"/>
    </row>
    <row r="1727" spans="1:23" x14ac:dyDescent="0.3">
      <c r="A1727" s="96"/>
      <c r="B1727" s="96"/>
      <c r="C1727" s="96"/>
      <c r="D1727" s="96"/>
      <c r="E1727" s="103"/>
      <c r="F1727" s="96"/>
      <c r="G1727" s="96"/>
      <c r="H1727" s="96"/>
      <c r="I1727" s="96"/>
      <c r="J1727" s="96"/>
      <c r="L1727" s="96"/>
      <c r="M1727" s="96"/>
      <c r="P1727" s="96"/>
      <c r="Q1727" s="96"/>
      <c r="R1727" s="96"/>
      <c r="S1727" s="96"/>
      <c r="T1727" s="96"/>
      <c r="U1727" s="96"/>
      <c r="V1727" s="96"/>
      <c r="W1727" s="96"/>
    </row>
    <row r="1728" spans="1:23" x14ac:dyDescent="0.3">
      <c r="A1728" s="96"/>
      <c r="B1728" s="96"/>
      <c r="C1728" s="96"/>
      <c r="D1728" s="96"/>
      <c r="E1728" s="103"/>
      <c r="F1728" s="96"/>
      <c r="G1728" s="96"/>
      <c r="H1728" s="96"/>
      <c r="I1728" s="96"/>
      <c r="J1728" s="96"/>
      <c r="L1728" s="96"/>
      <c r="M1728" s="96"/>
      <c r="P1728" s="96"/>
      <c r="Q1728" s="96"/>
      <c r="R1728" s="96"/>
      <c r="S1728" s="96"/>
      <c r="T1728" s="96"/>
      <c r="U1728" s="96"/>
      <c r="V1728" s="96"/>
      <c r="W1728" s="96"/>
    </row>
    <row r="1729" spans="1:23" x14ac:dyDescent="0.3">
      <c r="A1729" s="96"/>
      <c r="B1729" s="96"/>
      <c r="C1729" s="96"/>
      <c r="D1729" s="96"/>
      <c r="E1729" s="103"/>
      <c r="F1729" s="96"/>
      <c r="G1729" s="96"/>
      <c r="H1729" s="96"/>
      <c r="I1729" s="96"/>
      <c r="J1729" s="96"/>
      <c r="L1729" s="96"/>
      <c r="M1729" s="96"/>
      <c r="P1729" s="96"/>
      <c r="Q1729" s="96"/>
      <c r="R1729" s="96"/>
      <c r="S1729" s="96"/>
      <c r="T1729" s="96"/>
      <c r="U1729" s="96"/>
      <c r="V1729" s="96"/>
      <c r="W1729" s="96"/>
    </row>
    <row r="1730" spans="1:23" x14ac:dyDescent="0.3">
      <c r="A1730" s="96"/>
      <c r="B1730" s="96"/>
      <c r="C1730" s="96"/>
      <c r="D1730" s="96"/>
      <c r="E1730" s="103"/>
      <c r="F1730" s="96"/>
      <c r="G1730" s="96"/>
      <c r="H1730" s="96"/>
      <c r="I1730" s="96"/>
      <c r="J1730" s="96"/>
      <c r="L1730" s="96"/>
      <c r="M1730" s="96"/>
      <c r="P1730" s="96"/>
      <c r="Q1730" s="96"/>
      <c r="R1730" s="96"/>
      <c r="S1730" s="96"/>
      <c r="T1730" s="96"/>
      <c r="U1730" s="96"/>
      <c r="V1730" s="96"/>
      <c r="W1730" s="96"/>
    </row>
    <row r="1731" spans="1:23" x14ac:dyDescent="0.3">
      <c r="A1731" s="96"/>
      <c r="B1731" s="96"/>
      <c r="C1731" s="96"/>
      <c r="D1731" s="96"/>
      <c r="E1731" s="103"/>
      <c r="F1731" s="96"/>
      <c r="G1731" s="96"/>
      <c r="H1731" s="96"/>
      <c r="I1731" s="96"/>
      <c r="J1731" s="96"/>
      <c r="L1731" s="96"/>
      <c r="M1731" s="96"/>
      <c r="P1731" s="96"/>
      <c r="Q1731" s="96"/>
      <c r="R1731" s="96"/>
      <c r="S1731" s="96"/>
      <c r="T1731" s="96"/>
      <c r="U1731" s="96"/>
      <c r="V1731" s="96"/>
      <c r="W1731" s="96"/>
    </row>
    <row r="1732" spans="1:23" x14ac:dyDescent="0.3">
      <c r="A1732" s="96"/>
      <c r="B1732" s="96"/>
      <c r="C1732" s="96"/>
      <c r="D1732" s="96"/>
      <c r="E1732" s="103"/>
      <c r="F1732" s="96"/>
      <c r="G1732" s="96"/>
      <c r="H1732" s="96"/>
      <c r="I1732" s="96"/>
      <c r="J1732" s="96"/>
      <c r="L1732" s="96"/>
      <c r="M1732" s="96"/>
      <c r="P1732" s="96"/>
      <c r="Q1732" s="96"/>
      <c r="R1732" s="96"/>
      <c r="S1732" s="96"/>
      <c r="T1732" s="96"/>
      <c r="U1732" s="96"/>
      <c r="V1732" s="96"/>
      <c r="W1732" s="96"/>
    </row>
    <row r="1733" spans="1:23" x14ac:dyDescent="0.3">
      <c r="A1733" s="96"/>
      <c r="B1733" s="96"/>
      <c r="C1733" s="96"/>
      <c r="D1733" s="96"/>
      <c r="E1733" s="103"/>
      <c r="F1733" s="96"/>
      <c r="G1733" s="96"/>
      <c r="H1733" s="96"/>
      <c r="I1733" s="96"/>
      <c r="J1733" s="96"/>
      <c r="L1733" s="96"/>
      <c r="M1733" s="96"/>
      <c r="P1733" s="96"/>
      <c r="Q1733" s="96"/>
      <c r="R1733" s="96"/>
      <c r="S1733" s="96"/>
      <c r="T1733" s="96"/>
      <c r="U1733" s="96"/>
      <c r="V1733" s="96"/>
      <c r="W1733" s="96"/>
    </row>
    <row r="1734" spans="1:23" x14ac:dyDescent="0.3">
      <c r="A1734" s="96"/>
      <c r="B1734" s="96"/>
      <c r="C1734" s="96"/>
      <c r="D1734" s="96"/>
      <c r="E1734" s="103"/>
      <c r="F1734" s="96"/>
      <c r="G1734" s="96"/>
      <c r="H1734" s="96"/>
      <c r="I1734" s="96"/>
      <c r="J1734" s="96"/>
      <c r="L1734" s="96"/>
      <c r="M1734" s="96"/>
      <c r="P1734" s="96"/>
      <c r="Q1734" s="96"/>
      <c r="R1734" s="96"/>
      <c r="S1734" s="96"/>
      <c r="T1734" s="96"/>
      <c r="U1734" s="96"/>
      <c r="V1734" s="96"/>
      <c r="W1734" s="96"/>
    </row>
    <row r="1735" spans="1:23" x14ac:dyDescent="0.3">
      <c r="A1735" s="96"/>
      <c r="B1735" s="96"/>
      <c r="C1735" s="96"/>
      <c r="D1735" s="96"/>
      <c r="E1735" s="103"/>
      <c r="F1735" s="96"/>
      <c r="G1735" s="96"/>
      <c r="H1735" s="96"/>
      <c r="I1735" s="96"/>
      <c r="J1735" s="96"/>
      <c r="L1735" s="96"/>
      <c r="M1735" s="96"/>
      <c r="P1735" s="96"/>
      <c r="Q1735" s="96"/>
      <c r="R1735" s="96"/>
      <c r="S1735" s="96"/>
      <c r="T1735" s="96"/>
      <c r="U1735" s="96"/>
      <c r="V1735" s="96"/>
      <c r="W1735" s="96"/>
    </row>
    <row r="1736" spans="1:23" x14ac:dyDescent="0.3">
      <c r="A1736" s="96"/>
      <c r="B1736" s="96"/>
      <c r="C1736" s="96"/>
      <c r="D1736" s="96"/>
      <c r="E1736" s="103"/>
      <c r="F1736" s="96"/>
      <c r="G1736" s="96"/>
      <c r="H1736" s="96"/>
      <c r="I1736" s="96"/>
      <c r="J1736" s="96"/>
      <c r="L1736" s="96"/>
      <c r="M1736" s="96"/>
      <c r="P1736" s="96"/>
      <c r="Q1736" s="96"/>
      <c r="R1736" s="96"/>
      <c r="S1736" s="96"/>
      <c r="T1736" s="96"/>
      <c r="U1736" s="96"/>
      <c r="V1736" s="96"/>
      <c r="W1736" s="96"/>
    </row>
    <row r="1737" spans="1:23" x14ac:dyDescent="0.3">
      <c r="A1737" s="96"/>
      <c r="B1737" s="96"/>
      <c r="C1737" s="96"/>
      <c r="D1737" s="96"/>
      <c r="E1737" s="103"/>
      <c r="F1737" s="96"/>
      <c r="G1737" s="96"/>
      <c r="H1737" s="96"/>
      <c r="I1737" s="96"/>
      <c r="J1737" s="96"/>
      <c r="L1737" s="96"/>
      <c r="M1737" s="96"/>
      <c r="P1737" s="96"/>
      <c r="Q1737" s="96"/>
      <c r="R1737" s="96"/>
      <c r="S1737" s="96"/>
      <c r="T1737" s="96"/>
      <c r="U1737" s="96"/>
      <c r="V1737" s="96"/>
      <c r="W1737" s="96"/>
    </row>
    <row r="1738" spans="1:23" x14ac:dyDescent="0.3">
      <c r="A1738" s="96"/>
      <c r="B1738" s="96"/>
      <c r="C1738" s="96"/>
      <c r="D1738" s="96"/>
      <c r="E1738" s="103"/>
      <c r="F1738" s="96"/>
      <c r="G1738" s="96"/>
      <c r="H1738" s="96"/>
      <c r="I1738" s="96"/>
      <c r="J1738" s="96"/>
      <c r="L1738" s="96"/>
      <c r="M1738" s="96"/>
      <c r="P1738" s="96"/>
      <c r="Q1738" s="96"/>
      <c r="R1738" s="96"/>
      <c r="S1738" s="96"/>
      <c r="T1738" s="96"/>
      <c r="U1738" s="96"/>
      <c r="V1738" s="96"/>
      <c r="W1738" s="96"/>
    </row>
    <row r="1739" spans="1:23" x14ac:dyDescent="0.3">
      <c r="A1739" s="96"/>
      <c r="B1739" s="96"/>
      <c r="C1739" s="96"/>
      <c r="D1739" s="96"/>
      <c r="E1739" s="103"/>
      <c r="F1739" s="96"/>
      <c r="G1739" s="96"/>
      <c r="H1739" s="96"/>
      <c r="I1739" s="96"/>
      <c r="J1739" s="96"/>
      <c r="L1739" s="96"/>
      <c r="M1739" s="96"/>
      <c r="P1739" s="96"/>
      <c r="Q1739" s="96"/>
      <c r="R1739" s="96"/>
      <c r="S1739" s="96"/>
      <c r="T1739" s="96"/>
      <c r="U1739" s="96"/>
      <c r="V1739" s="96"/>
      <c r="W1739" s="96"/>
    </row>
    <row r="1740" spans="1:23" x14ac:dyDescent="0.3">
      <c r="A1740" s="96"/>
      <c r="B1740" s="96"/>
      <c r="C1740" s="96"/>
      <c r="D1740" s="96"/>
      <c r="E1740" s="103"/>
      <c r="F1740" s="96"/>
      <c r="G1740" s="96"/>
      <c r="H1740" s="96"/>
      <c r="I1740" s="96"/>
      <c r="J1740" s="96"/>
      <c r="L1740" s="96"/>
      <c r="M1740" s="96"/>
      <c r="P1740" s="96"/>
      <c r="Q1740" s="96"/>
      <c r="R1740" s="96"/>
      <c r="S1740" s="96"/>
      <c r="T1740" s="96"/>
      <c r="U1740" s="96"/>
      <c r="V1740" s="96"/>
      <c r="W1740" s="96"/>
    </row>
    <row r="1741" spans="1:23" x14ac:dyDescent="0.3">
      <c r="A1741" s="96"/>
      <c r="B1741" s="96"/>
      <c r="C1741" s="96"/>
      <c r="D1741" s="96"/>
      <c r="E1741" s="103"/>
      <c r="F1741" s="96"/>
      <c r="G1741" s="96"/>
      <c r="H1741" s="96"/>
      <c r="I1741" s="96"/>
      <c r="J1741" s="96"/>
      <c r="L1741" s="96"/>
      <c r="M1741" s="96"/>
      <c r="P1741" s="96"/>
      <c r="Q1741" s="96"/>
      <c r="R1741" s="96"/>
      <c r="S1741" s="96"/>
      <c r="T1741" s="96"/>
      <c r="U1741" s="96"/>
      <c r="V1741" s="96"/>
      <c r="W1741" s="96"/>
    </row>
    <row r="1742" spans="1:23" x14ac:dyDescent="0.3">
      <c r="A1742" s="96"/>
      <c r="B1742" s="96"/>
      <c r="C1742" s="96"/>
      <c r="D1742" s="96"/>
      <c r="E1742" s="103"/>
      <c r="F1742" s="96"/>
      <c r="G1742" s="96"/>
      <c r="H1742" s="96"/>
      <c r="I1742" s="96"/>
      <c r="J1742" s="96"/>
      <c r="L1742" s="96"/>
      <c r="M1742" s="96"/>
      <c r="P1742" s="96"/>
      <c r="Q1742" s="96"/>
      <c r="R1742" s="96"/>
      <c r="S1742" s="96"/>
      <c r="T1742" s="96"/>
      <c r="U1742" s="96"/>
      <c r="V1742" s="96"/>
      <c r="W1742" s="96"/>
    </row>
    <row r="1743" spans="1:23" x14ac:dyDescent="0.3">
      <c r="A1743" s="96"/>
      <c r="B1743" s="96"/>
      <c r="C1743" s="96"/>
      <c r="D1743" s="96"/>
      <c r="E1743" s="103"/>
      <c r="F1743" s="96"/>
      <c r="G1743" s="96"/>
      <c r="H1743" s="96"/>
      <c r="I1743" s="96"/>
      <c r="J1743" s="96"/>
      <c r="L1743" s="96"/>
      <c r="M1743" s="96"/>
      <c r="P1743" s="96"/>
      <c r="Q1743" s="96"/>
      <c r="R1743" s="96"/>
      <c r="S1743" s="96"/>
      <c r="T1743" s="96"/>
      <c r="U1743" s="96"/>
      <c r="V1743" s="96"/>
      <c r="W1743" s="96"/>
    </row>
    <row r="1744" spans="1:23" x14ac:dyDescent="0.3">
      <c r="A1744" s="96"/>
      <c r="B1744" s="96"/>
      <c r="C1744" s="96"/>
      <c r="D1744" s="96"/>
      <c r="E1744" s="103"/>
      <c r="F1744" s="96"/>
      <c r="G1744" s="96"/>
      <c r="H1744" s="96"/>
      <c r="I1744" s="96"/>
      <c r="J1744" s="96"/>
      <c r="L1744" s="96"/>
      <c r="M1744" s="96"/>
      <c r="P1744" s="96"/>
      <c r="Q1744" s="96"/>
      <c r="R1744" s="96"/>
      <c r="S1744" s="96"/>
      <c r="T1744" s="96"/>
      <c r="U1744" s="96"/>
      <c r="V1744" s="96"/>
      <c r="W1744" s="96"/>
    </row>
    <row r="1745" spans="1:23" x14ac:dyDescent="0.3">
      <c r="A1745" s="96"/>
      <c r="B1745" s="96"/>
      <c r="C1745" s="96"/>
      <c r="D1745" s="96"/>
      <c r="E1745" s="103"/>
      <c r="F1745" s="96"/>
      <c r="G1745" s="96"/>
      <c r="H1745" s="96"/>
      <c r="I1745" s="96"/>
      <c r="J1745" s="96"/>
      <c r="L1745" s="96"/>
      <c r="M1745" s="96"/>
      <c r="P1745" s="96"/>
      <c r="Q1745" s="96"/>
      <c r="R1745" s="96"/>
      <c r="S1745" s="96"/>
      <c r="T1745" s="96"/>
      <c r="U1745" s="96"/>
      <c r="V1745" s="96"/>
      <c r="W1745" s="96"/>
    </row>
    <row r="1746" spans="1:23" x14ac:dyDescent="0.3">
      <c r="A1746" s="96"/>
      <c r="B1746" s="96"/>
      <c r="C1746" s="96"/>
      <c r="D1746" s="96"/>
      <c r="E1746" s="103"/>
      <c r="F1746" s="96"/>
      <c r="G1746" s="96"/>
      <c r="H1746" s="96"/>
      <c r="I1746" s="96"/>
      <c r="J1746" s="96"/>
      <c r="L1746" s="96"/>
      <c r="M1746" s="96"/>
      <c r="P1746" s="96"/>
      <c r="Q1746" s="96"/>
      <c r="R1746" s="96"/>
      <c r="S1746" s="96"/>
      <c r="T1746" s="96"/>
      <c r="U1746" s="96"/>
      <c r="V1746" s="96"/>
      <c r="W1746" s="96"/>
    </row>
    <row r="1747" spans="1:23" x14ac:dyDescent="0.3">
      <c r="A1747" s="96"/>
      <c r="B1747" s="96"/>
      <c r="C1747" s="96"/>
      <c r="D1747" s="96"/>
      <c r="E1747" s="103"/>
      <c r="F1747" s="96"/>
      <c r="G1747" s="96"/>
      <c r="H1747" s="96"/>
      <c r="I1747" s="96"/>
      <c r="J1747" s="96"/>
      <c r="L1747" s="96"/>
      <c r="M1747" s="96"/>
      <c r="P1747" s="96"/>
      <c r="Q1747" s="96"/>
      <c r="R1747" s="96"/>
      <c r="S1747" s="96"/>
      <c r="T1747" s="96"/>
      <c r="U1747" s="96"/>
      <c r="V1747" s="96"/>
      <c r="W1747" s="96"/>
    </row>
    <row r="1748" spans="1:23" x14ac:dyDescent="0.3">
      <c r="A1748" s="96"/>
      <c r="B1748" s="96"/>
      <c r="C1748" s="96"/>
      <c r="D1748" s="96"/>
      <c r="E1748" s="103"/>
      <c r="F1748" s="96"/>
      <c r="G1748" s="96"/>
      <c r="H1748" s="96"/>
      <c r="I1748" s="96"/>
      <c r="J1748" s="96"/>
      <c r="L1748" s="96"/>
      <c r="M1748" s="96"/>
      <c r="P1748" s="96"/>
      <c r="Q1748" s="96"/>
      <c r="R1748" s="96"/>
      <c r="S1748" s="96"/>
      <c r="T1748" s="96"/>
      <c r="U1748" s="96"/>
      <c r="V1748" s="96"/>
      <c r="W1748" s="96"/>
    </row>
    <row r="1749" spans="1:23" x14ac:dyDescent="0.3">
      <c r="A1749" s="96"/>
      <c r="B1749" s="96"/>
      <c r="C1749" s="96"/>
      <c r="D1749" s="96"/>
      <c r="E1749" s="103"/>
      <c r="F1749" s="96"/>
      <c r="G1749" s="96"/>
      <c r="H1749" s="96"/>
      <c r="I1749" s="96"/>
      <c r="J1749" s="96"/>
      <c r="L1749" s="96"/>
      <c r="M1749" s="96"/>
      <c r="P1749" s="96"/>
      <c r="Q1749" s="96"/>
      <c r="R1749" s="96"/>
      <c r="S1749" s="96"/>
      <c r="T1749" s="96"/>
      <c r="U1749" s="96"/>
      <c r="V1749" s="96"/>
      <c r="W1749" s="96"/>
    </row>
    <row r="1750" spans="1:23" x14ac:dyDescent="0.3">
      <c r="A1750" s="96"/>
      <c r="B1750" s="96"/>
      <c r="C1750" s="96"/>
      <c r="D1750" s="96"/>
      <c r="E1750" s="103"/>
      <c r="F1750" s="96"/>
      <c r="G1750" s="96"/>
      <c r="H1750" s="96"/>
      <c r="I1750" s="96"/>
      <c r="J1750" s="96"/>
      <c r="L1750" s="96"/>
      <c r="M1750" s="96"/>
      <c r="P1750" s="96"/>
      <c r="Q1750" s="96"/>
      <c r="R1750" s="96"/>
      <c r="S1750" s="96"/>
      <c r="T1750" s="96"/>
      <c r="U1750" s="96"/>
      <c r="V1750" s="96"/>
      <c r="W1750" s="96"/>
    </row>
    <row r="1751" spans="1:23" x14ac:dyDescent="0.3">
      <c r="A1751" s="96"/>
      <c r="B1751" s="96"/>
      <c r="C1751" s="96"/>
      <c r="D1751" s="96"/>
      <c r="E1751" s="103"/>
      <c r="F1751" s="96"/>
      <c r="G1751" s="96"/>
      <c r="H1751" s="96"/>
      <c r="I1751" s="96"/>
      <c r="J1751" s="96"/>
      <c r="L1751" s="96"/>
      <c r="M1751" s="96"/>
      <c r="P1751" s="96"/>
      <c r="Q1751" s="96"/>
      <c r="R1751" s="96"/>
      <c r="S1751" s="96"/>
      <c r="T1751" s="96"/>
      <c r="U1751" s="96"/>
      <c r="V1751" s="96"/>
      <c r="W1751" s="96"/>
    </row>
    <row r="1752" spans="1:23" x14ac:dyDescent="0.3">
      <c r="A1752" s="96"/>
      <c r="B1752" s="96"/>
      <c r="C1752" s="96"/>
      <c r="D1752" s="96"/>
      <c r="E1752" s="103"/>
      <c r="F1752" s="96"/>
      <c r="G1752" s="96"/>
      <c r="H1752" s="96"/>
      <c r="I1752" s="96"/>
      <c r="J1752" s="96"/>
      <c r="L1752" s="96"/>
      <c r="M1752" s="96"/>
      <c r="P1752" s="96"/>
      <c r="Q1752" s="96"/>
      <c r="R1752" s="96"/>
      <c r="S1752" s="96"/>
      <c r="T1752" s="96"/>
      <c r="U1752" s="96"/>
      <c r="V1752" s="96"/>
      <c r="W1752" s="96"/>
    </row>
    <row r="1753" spans="1:23" x14ac:dyDescent="0.3">
      <c r="A1753" s="96"/>
      <c r="B1753" s="96"/>
      <c r="C1753" s="96"/>
      <c r="D1753" s="96"/>
      <c r="E1753" s="103"/>
      <c r="F1753" s="96"/>
      <c r="G1753" s="96"/>
      <c r="H1753" s="96"/>
      <c r="I1753" s="96"/>
      <c r="J1753" s="96"/>
      <c r="L1753" s="96"/>
      <c r="M1753" s="96"/>
      <c r="P1753" s="96"/>
      <c r="Q1753" s="96"/>
      <c r="R1753" s="96"/>
      <c r="S1753" s="96"/>
      <c r="T1753" s="96"/>
      <c r="U1753" s="96"/>
      <c r="V1753" s="96"/>
      <c r="W1753" s="96"/>
    </row>
    <row r="1754" spans="1:23" x14ac:dyDescent="0.3">
      <c r="A1754" s="96"/>
      <c r="B1754" s="96"/>
      <c r="C1754" s="96"/>
      <c r="D1754" s="96"/>
      <c r="E1754" s="103"/>
      <c r="F1754" s="96"/>
      <c r="G1754" s="96"/>
      <c r="H1754" s="96"/>
      <c r="I1754" s="96"/>
      <c r="J1754" s="96"/>
      <c r="L1754" s="96"/>
      <c r="M1754" s="96"/>
      <c r="P1754" s="96"/>
      <c r="Q1754" s="96"/>
      <c r="R1754" s="96"/>
      <c r="S1754" s="96"/>
      <c r="T1754" s="96"/>
      <c r="U1754" s="96"/>
      <c r="V1754" s="96"/>
      <c r="W1754" s="96"/>
    </row>
    <row r="1755" spans="1:23" x14ac:dyDescent="0.3">
      <c r="A1755" s="96"/>
      <c r="B1755" s="96"/>
      <c r="C1755" s="96"/>
      <c r="D1755" s="96"/>
      <c r="E1755" s="103"/>
      <c r="F1755" s="96"/>
      <c r="G1755" s="96"/>
      <c r="H1755" s="96"/>
      <c r="I1755" s="96"/>
      <c r="J1755" s="96"/>
      <c r="L1755" s="96"/>
      <c r="M1755" s="96"/>
      <c r="P1755" s="96"/>
      <c r="Q1755" s="96"/>
      <c r="R1755" s="96"/>
      <c r="S1755" s="96"/>
      <c r="T1755" s="96"/>
      <c r="U1755" s="96"/>
      <c r="V1755" s="96"/>
      <c r="W1755" s="96"/>
    </row>
    <row r="1756" spans="1:23" x14ac:dyDescent="0.3">
      <c r="A1756" s="96"/>
      <c r="B1756" s="96"/>
      <c r="C1756" s="96"/>
      <c r="D1756" s="96"/>
      <c r="E1756" s="103"/>
      <c r="F1756" s="96"/>
      <c r="G1756" s="96"/>
      <c r="H1756" s="96"/>
      <c r="I1756" s="96"/>
      <c r="J1756" s="96"/>
      <c r="L1756" s="96"/>
      <c r="M1756" s="96"/>
      <c r="P1756" s="96"/>
      <c r="Q1756" s="96"/>
      <c r="R1756" s="96"/>
      <c r="S1756" s="96"/>
      <c r="T1756" s="96"/>
      <c r="U1756" s="96"/>
      <c r="V1756" s="96"/>
      <c r="W1756" s="96"/>
    </row>
    <row r="1757" spans="1:23" x14ac:dyDescent="0.3">
      <c r="A1757" s="96"/>
      <c r="B1757" s="96"/>
      <c r="C1757" s="96"/>
      <c r="D1757" s="96"/>
      <c r="E1757" s="103"/>
      <c r="F1757" s="96"/>
      <c r="G1757" s="96"/>
      <c r="H1757" s="96"/>
      <c r="I1757" s="96"/>
      <c r="J1757" s="96"/>
      <c r="L1757" s="96"/>
      <c r="M1757" s="96"/>
      <c r="P1757" s="96"/>
      <c r="Q1757" s="96"/>
      <c r="R1757" s="96"/>
      <c r="S1757" s="96"/>
      <c r="T1757" s="96"/>
      <c r="U1757" s="96"/>
      <c r="V1757" s="96"/>
      <c r="W1757" s="96"/>
    </row>
    <row r="1758" spans="1:23" x14ac:dyDescent="0.3">
      <c r="A1758" s="96"/>
      <c r="B1758" s="96"/>
      <c r="C1758" s="96"/>
      <c r="D1758" s="96"/>
      <c r="E1758" s="103"/>
      <c r="F1758" s="96"/>
      <c r="G1758" s="96"/>
      <c r="H1758" s="96"/>
      <c r="I1758" s="96"/>
      <c r="J1758" s="96"/>
      <c r="L1758" s="96"/>
      <c r="M1758" s="96"/>
      <c r="P1758" s="96"/>
      <c r="Q1758" s="96"/>
      <c r="R1758" s="96"/>
      <c r="S1758" s="96"/>
      <c r="T1758" s="96"/>
      <c r="U1758" s="96"/>
      <c r="V1758" s="96"/>
      <c r="W1758" s="96"/>
    </row>
    <row r="1759" spans="1:23" x14ac:dyDescent="0.3">
      <c r="A1759" s="96"/>
      <c r="B1759" s="96"/>
      <c r="C1759" s="96"/>
      <c r="D1759" s="96"/>
      <c r="E1759" s="103"/>
      <c r="F1759" s="96"/>
      <c r="G1759" s="96"/>
      <c r="H1759" s="96"/>
      <c r="I1759" s="96"/>
      <c r="J1759" s="96"/>
      <c r="L1759" s="96"/>
      <c r="M1759" s="96"/>
      <c r="P1759" s="96"/>
      <c r="Q1759" s="96"/>
      <c r="R1759" s="96"/>
      <c r="S1759" s="96"/>
      <c r="T1759" s="96"/>
      <c r="U1759" s="96"/>
      <c r="V1759" s="96"/>
      <c r="W1759" s="96"/>
    </row>
    <row r="1760" spans="1:23" x14ac:dyDescent="0.3">
      <c r="A1760" s="96"/>
      <c r="B1760" s="96"/>
      <c r="C1760" s="96"/>
      <c r="D1760" s="96"/>
      <c r="E1760" s="103"/>
      <c r="F1760" s="96"/>
      <c r="G1760" s="96"/>
      <c r="H1760" s="96"/>
      <c r="I1760" s="96"/>
      <c r="J1760" s="96"/>
      <c r="L1760" s="96"/>
      <c r="M1760" s="96"/>
      <c r="P1760" s="96"/>
      <c r="Q1760" s="96"/>
      <c r="R1760" s="96"/>
      <c r="S1760" s="96"/>
      <c r="T1760" s="96"/>
      <c r="U1760" s="96"/>
      <c r="V1760" s="96"/>
      <c r="W1760" s="96"/>
    </row>
    <row r="1761" spans="1:23" x14ac:dyDescent="0.3">
      <c r="A1761" s="96"/>
      <c r="B1761" s="96"/>
      <c r="C1761" s="96"/>
      <c r="D1761" s="96"/>
      <c r="E1761" s="103"/>
      <c r="F1761" s="96"/>
      <c r="G1761" s="96"/>
      <c r="H1761" s="96"/>
      <c r="I1761" s="96"/>
      <c r="J1761" s="96"/>
      <c r="L1761" s="96"/>
      <c r="M1761" s="96"/>
      <c r="P1761" s="96"/>
      <c r="Q1761" s="96"/>
      <c r="R1761" s="96"/>
      <c r="S1761" s="96"/>
      <c r="T1761" s="96"/>
      <c r="U1761" s="96"/>
      <c r="V1761" s="96"/>
      <c r="W1761" s="96"/>
    </row>
    <row r="1762" spans="1:23" x14ac:dyDescent="0.3">
      <c r="A1762" s="96"/>
      <c r="B1762" s="96"/>
      <c r="C1762" s="96"/>
      <c r="D1762" s="96"/>
      <c r="E1762" s="103"/>
      <c r="F1762" s="96"/>
      <c r="G1762" s="96"/>
      <c r="H1762" s="96"/>
      <c r="I1762" s="96"/>
      <c r="J1762" s="96"/>
      <c r="L1762" s="96"/>
      <c r="M1762" s="96"/>
      <c r="P1762" s="96"/>
      <c r="Q1762" s="96"/>
      <c r="R1762" s="96"/>
      <c r="S1762" s="96"/>
      <c r="T1762" s="96"/>
      <c r="U1762" s="96"/>
      <c r="V1762" s="96"/>
      <c r="W1762" s="96"/>
    </row>
    <row r="1763" spans="1:23" x14ac:dyDescent="0.3">
      <c r="A1763" s="96"/>
      <c r="B1763" s="96"/>
      <c r="C1763" s="96"/>
      <c r="D1763" s="96"/>
      <c r="E1763" s="103"/>
      <c r="F1763" s="96"/>
      <c r="G1763" s="96"/>
      <c r="H1763" s="96"/>
      <c r="I1763" s="96"/>
      <c r="J1763" s="96"/>
      <c r="L1763" s="96"/>
      <c r="M1763" s="96"/>
      <c r="P1763" s="96"/>
      <c r="Q1763" s="96"/>
      <c r="R1763" s="96"/>
      <c r="S1763" s="96"/>
      <c r="T1763" s="96"/>
      <c r="U1763" s="96"/>
      <c r="V1763" s="96"/>
      <c r="W1763" s="96"/>
    </row>
    <row r="1764" spans="1:23" x14ac:dyDescent="0.3">
      <c r="A1764" s="96"/>
      <c r="B1764" s="96"/>
      <c r="C1764" s="96"/>
      <c r="D1764" s="96"/>
      <c r="E1764" s="103"/>
      <c r="F1764" s="96"/>
      <c r="G1764" s="96"/>
      <c r="H1764" s="96"/>
      <c r="I1764" s="96"/>
      <c r="J1764" s="96"/>
      <c r="L1764" s="96"/>
      <c r="M1764" s="96"/>
      <c r="P1764" s="96"/>
      <c r="Q1764" s="96"/>
      <c r="R1764" s="96"/>
      <c r="S1764" s="96"/>
      <c r="T1764" s="96"/>
      <c r="U1764" s="96"/>
      <c r="V1764" s="96"/>
      <c r="W1764" s="96"/>
    </row>
    <row r="1765" spans="1:23" x14ac:dyDescent="0.3">
      <c r="A1765" s="96"/>
      <c r="B1765" s="96"/>
      <c r="C1765" s="96"/>
      <c r="D1765" s="96"/>
      <c r="E1765" s="103"/>
      <c r="F1765" s="96"/>
      <c r="G1765" s="96"/>
      <c r="H1765" s="96"/>
      <c r="I1765" s="96"/>
      <c r="J1765" s="96"/>
      <c r="L1765" s="96"/>
      <c r="M1765" s="96"/>
      <c r="P1765" s="96"/>
      <c r="Q1765" s="96"/>
      <c r="R1765" s="96"/>
      <c r="S1765" s="96"/>
      <c r="T1765" s="96"/>
      <c r="U1765" s="96"/>
      <c r="V1765" s="96"/>
      <c r="W1765" s="96"/>
    </row>
    <row r="1766" spans="1:23" x14ac:dyDescent="0.3">
      <c r="A1766" s="96"/>
      <c r="B1766" s="96"/>
      <c r="C1766" s="96"/>
      <c r="D1766" s="96"/>
      <c r="E1766" s="103"/>
      <c r="F1766" s="96"/>
      <c r="G1766" s="96"/>
      <c r="H1766" s="96"/>
      <c r="I1766" s="96"/>
      <c r="J1766" s="96"/>
      <c r="L1766" s="96"/>
      <c r="M1766" s="96"/>
      <c r="P1766" s="96"/>
      <c r="Q1766" s="96"/>
      <c r="R1766" s="96"/>
      <c r="S1766" s="96"/>
      <c r="T1766" s="96"/>
      <c r="U1766" s="96"/>
      <c r="V1766" s="96"/>
      <c r="W1766" s="96"/>
    </row>
    <row r="1767" spans="1:23" x14ac:dyDescent="0.3">
      <c r="A1767" s="96"/>
      <c r="B1767" s="96"/>
      <c r="C1767" s="96"/>
      <c r="D1767" s="96"/>
      <c r="E1767" s="103"/>
      <c r="F1767" s="96"/>
      <c r="G1767" s="96"/>
      <c r="H1767" s="96"/>
      <c r="I1767" s="96"/>
      <c r="J1767" s="96"/>
      <c r="L1767" s="96"/>
      <c r="M1767" s="96"/>
      <c r="P1767" s="96"/>
      <c r="Q1767" s="96"/>
      <c r="R1767" s="96"/>
      <c r="S1767" s="96"/>
      <c r="T1767" s="96"/>
      <c r="U1767" s="96"/>
      <c r="V1767" s="96"/>
      <c r="W1767" s="96"/>
    </row>
    <row r="1768" spans="1:23" x14ac:dyDescent="0.3">
      <c r="A1768" s="96"/>
      <c r="B1768" s="96"/>
      <c r="C1768" s="96"/>
      <c r="D1768" s="96"/>
      <c r="E1768" s="103"/>
      <c r="F1768" s="96"/>
      <c r="G1768" s="96"/>
      <c r="H1768" s="96"/>
      <c r="I1768" s="96"/>
      <c r="J1768" s="96"/>
      <c r="L1768" s="96"/>
      <c r="M1768" s="96"/>
      <c r="P1768" s="96"/>
      <c r="Q1768" s="96"/>
      <c r="R1768" s="96"/>
      <c r="S1768" s="96"/>
      <c r="T1768" s="96"/>
      <c r="U1768" s="96"/>
      <c r="V1768" s="96"/>
      <c r="W1768" s="96"/>
    </row>
    <row r="1769" spans="1:23" x14ac:dyDescent="0.3">
      <c r="A1769" s="96"/>
      <c r="B1769" s="96"/>
      <c r="C1769" s="96"/>
      <c r="D1769" s="96"/>
      <c r="E1769" s="103"/>
      <c r="F1769" s="96"/>
      <c r="G1769" s="96"/>
      <c r="H1769" s="96"/>
      <c r="I1769" s="96"/>
      <c r="J1769" s="96"/>
      <c r="L1769" s="96"/>
      <c r="M1769" s="96"/>
      <c r="P1769" s="96"/>
      <c r="Q1769" s="96"/>
      <c r="R1769" s="96"/>
      <c r="S1769" s="96"/>
      <c r="T1769" s="96"/>
      <c r="U1769" s="96"/>
      <c r="V1769" s="96"/>
      <c r="W1769" s="96"/>
    </row>
    <row r="1770" spans="1:23" x14ac:dyDescent="0.3">
      <c r="A1770" s="96"/>
      <c r="B1770" s="96"/>
      <c r="C1770" s="96"/>
      <c r="D1770" s="96"/>
      <c r="E1770" s="103"/>
      <c r="F1770" s="96"/>
      <c r="G1770" s="96"/>
      <c r="H1770" s="96"/>
      <c r="I1770" s="96"/>
      <c r="J1770" s="96"/>
      <c r="L1770" s="96"/>
      <c r="M1770" s="96"/>
      <c r="P1770" s="96"/>
      <c r="Q1770" s="96"/>
      <c r="R1770" s="96"/>
      <c r="S1770" s="96"/>
      <c r="T1770" s="96"/>
      <c r="U1770" s="96"/>
      <c r="V1770" s="96"/>
      <c r="W1770" s="96"/>
    </row>
    <row r="1771" spans="1:23" x14ac:dyDescent="0.3">
      <c r="A1771" s="96"/>
      <c r="B1771" s="96"/>
      <c r="C1771" s="96"/>
      <c r="D1771" s="96"/>
      <c r="E1771" s="103"/>
      <c r="F1771" s="96"/>
      <c r="G1771" s="96"/>
      <c r="H1771" s="96"/>
      <c r="I1771" s="96"/>
      <c r="J1771" s="96"/>
      <c r="L1771" s="96"/>
      <c r="M1771" s="96"/>
      <c r="P1771" s="96"/>
      <c r="Q1771" s="96"/>
      <c r="R1771" s="96"/>
      <c r="S1771" s="96"/>
      <c r="T1771" s="96"/>
      <c r="U1771" s="96"/>
      <c r="V1771" s="96"/>
      <c r="W1771" s="96"/>
    </row>
    <row r="1772" spans="1:23" x14ac:dyDescent="0.3">
      <c r="A1772" s="96"/>
      <c r="B1772" s="96"/>
      <c r="C1772" s="96"/>
      <c r="D1772" s="96"/>
      <c r="E1772" s="103"/>
      <c r="F1772" s="96"/>
      <c r="G1772" s="96"/>
      <c r="H1772" s="96"/>
      <c r="I1772" s="96"/>
      <c r="J1772" s="96"/>
      <c r="L1772" s="96"/>
      <c r="M1772" s="96"/>
      <c r="P1772" s="96"/>
      <c r="Q1772" s="96"/>
      <c r="R1772" s="96"/>
      <c r="S1772" s="96"/>
      <c r="T1772" s="96"/>
      <c r="U1772" s="96"/>
      <c r="V1772" s="96"/>
      <c r="W1772" s="96"/>
    </row>
    <row r="1773" spans="1:23" x14ac:dyDescent="0.3">
      <c r="A1773" s="96"/>
      <c r="B1773" s="96"/>
      <c r="C1773" s="96"/>
      <c r="D1773" s="96"/>
      <c r="E1773" s="103"/>
      <c r="F1773" s="96"/>
      <c r="G1773" s="96"/>
      <c r="H1773" s="96"/>
      <c r="I1773" s="96"/>
      <c r="J1773" s="96"/>
      <c r="L1773" s="96"/>
      <c r="M1773" s="96"/>
      <c r="P1773" s="96"/>
      <c r="Q1773" s="96"/>
      <c r="R1773" s="96"/>
      <c r="S1773" s="96"/>
      <c r="T1773" s="96"/>
      <c r="U1773" s="96"/>
      <c r="V1773" s="96"/>
      <c r="W1773" s="96"/>
    </row>
    <row r="1774" spans="1:23" x14ac:dyDescent="0.3">
      <c r="A1774" s="96"/>
      <c r="B1774" s="96"/>
      <c r="C1774" s="96"/>
      <c r="D1774" s="96"/>
      <c r="E1774" s="103"/>
      <c r="F1774" s="96"/>
      <c r="G1774" s="96"/>
      <c r="H1774" s="96"/>
      <c r="I1774" s="96"/>
      <c r="J1774" s="96"/>
      <c r="L1774" s="96"/>
      <c r="M1774" s="96"/>
      <c r="P1774" s="96"/>
      <c r="Q1774" s="96"/>
      <c r="R1774" s="96"/>
      <c r="S1774" s="96"/>
      <c r="T1774" s="96"/>
      <c r="U1774" s="96"/>
      <c r="V1774" s="96"/>
      <c r="W1774" s="96"/>
    </row>
    <row r="1775" spans="1:23" x14ac:dyDescent="0.3">
      <c r="A1775" s="96"/>
      <c r="B1775" s="96"/>
      <c r="C1775" s="96"/>
      <c r="D1775" s="96"/>
      <c r="E1775" s="103"/>
      <c r="F1775" s="96"/>
      <c r="G1775" s="96"/>
      <c r="H1775" s="96"/>
      <c r="I1775" s="96"/>
      <c r="J1775" s="96"/>
      <c r="L1775" s="96"/>
      <c r="M1775" s="96"/>
      <c r="P1775" s="96"/>
      <c r="Q1775" s="96"/>
      <c r="R1775" s="96"/>
      <c r="S1775" s="96"/>
      <c r="T1775" s="96"/>
      <c r="U1775" s="96"/>
      <c r="V1775" s="96"/>
      <c r="W1775" s="96"/>
    </row>
    <row r="1776" spans="1:23" x14ac:dyDescent="0.3">
      <c r="A1776" s="96"/>
      <c r="B1776" s="96"/>
      <c r="C1776" s="96"/>
      <c r="D1776" s="96"/>
      <c r="E1776" s="103"/>
      <c r="F1776" s="96"/>
      <c r="G1776" s="96"/>
      <c r="H1776" s="96"/>
      <c r="I1776" s="96"/>
      <c r="J1776" s="96"/>
      <c r="L1776" s="96"/>
      <c r="M1776" s="96"/>
      <c r="P1776" s="96"/>
      <c r="Q1776" s="96"/>
      <c r="R1776" s="96"/>
      <c r="S1776" s="96"/>
      <c r="T1776" s="96"/>
      <c r="U1776" s="96"/>
      <c r="V1776" s="96"/>
      <c r="W1776" s="96"/>
    </row>
    <row r="1777" spans="1:23" x14ac:dyDescent="0.3">
      <c r="A1777" s="96"/>
      <c r="B1777" s="96"/>
      <c r="C1777" s="96"/>
      <c r="D1777" s="96"/>
      <c r="E1777" s="103"/>
      <c r="F1777" s="96"/>
      <c r="G1777" s="96"/>
      <c r="H1777" s="96"/>
      <c r="I1777" s="96"/>
      <c r="J1777" s="96"/>
      <c r="L1777" s="96"/>
      <c r="M1777" s="96"/>
      <c r="P1777" s="96"/>
      <c r="Q1777" s="96"/>
      <c r="R1777" s="96"/>
      <c r="S1777" s="96"/>
      <c r="T1777" s="96"/>
      <c r="U1777" s="96"/>
      <c r="V1777" s="96"/>
      <c r="W1777" s="96"/>
    </row>
    <row r="1778" spans="1:23" x14ac:dyDescent="0.3">
      <c r="A1778" s="96"/>
      <c r="B1778" s="96"/>
      <c r="C1778" s="96"/>
      <c r="D1778" s="96"/>
      <c r="E1778" s="103"/>
      <c r="F1778" s="96"/>
      <c r="G1778" s="96"/>
      <c r="H1778" s="96"/>
      <c r="I1778" s="96"/>
      <c r="J1778" s="96"/>
      <c r="L1778" s="96"/>
      <c r="M1778" s="96"/>
      <c r="P1778" s="96"/>
      <c r="Q1778" s="96"/>
      <c r="R1778" s="96"/>
      <c r="S1778" s="96"/>
      <c r="T1778" s="96"/>
      <c r="U1778" s="96"/>
      <c r="V1778" s="96"/>
      <c r="W1778" s="96"/>
    </row>
    <row r="1779" spans="1:23" x14ac:dyDescent="0.3">
      <c r="A1779" s="96"/>
      <c r="B1779" s="96"/>
      <c r="C1779" s="96"/>
      <c r="D1779" s="96"/>
      <c r="E1779" s="103"/>
      <c r="F1779" s="96"/>
      <c r="G1779" s="96"/>
      <c r="H1779" s="96"/>
      <c r="I1779" s="96"/>
      <c r="J1779" s="96"/>
      <c r="L1779" s="96"/>
      <c r="M1779" s="96"/>
      <c r="P1779" s="96"/>
      <c r="Q1779" s="96"/>
      <c r="R1779" s="96"/>
      <c r="S1779" s="96"/>
      <c r="T1779" s="96"/>
      <c r="U1779" s="96"/>
      <c r="V1779" s="96"/>
      <c r="W1779" s="96"/>
    </row>
    <row r="1780" spans="1:23" x14ac:dyDescent="0.3">
      <c r="A1780" s="96"/>
      <c r="B1780" s="96"/>
      <c r="C1780" s="96"/>
      <c r="D1780" s="96"/>
      <c r="E1780" s="103"/>
      <c r="F1780" s="96"/>
      <c r="G1780" s="96"/>
      <c r="H1780" s="96"/>
      <c r="I1780" s="96"/>
      <c r="J1780" s="96"/>
      <c r="L1780" s="96"/>
      <c r="M1780" s="96"/>
      <c r="P1780" s="96"/>
      <c r="Q1780" s="96"/>
      <c r="R1780" s="96"/>
      <c r="S1780" s="96"/>
      <c r="T1780" s="96"/>
      <c r="U1780" s="96"/>
      <c r="V1780" s="96"/>
      <c r="W1780" s="96"/>
    </row>
    <row r="1781" spans="1:23" x14ac:dyDescent="0.3">
      <c r="A1781" s="96"/>
      <c r="B1781" s="96"/>
      <c r="C1781" s="96"/>
      <c r="D1781" s="96"/>
      <c r="E1781" s="103"/>
      <c r="F1781" s="96"/>
      <c r="G1781" s="96"/>
      <c r="H1781" s="96"/>
      <c r="I1781" s="96"/>
      <c r="J1781" s="96"/>
      <c r="L1781" s="96"/>
      <c r="M1781" s="96"/>
      <c r="P1781" s="96"/>
      <c r="Q1781" s="96"/>
      <c r="R1781" s="96"/>
      <c r="S1781" s="96"/>
      <c r="T1781" s="96"/>
      <c r="U1781" s="96"/>
      <c r="V1781" s="96"/>
      <c r="W1781" s="96"/>
    </row>
    <row r="1782" spans="1:23" x14ac:dyDescent="0.3">
      <c r="A1782" s="96"/>
      <c r="B1782" s="96"/>
      <c r="C1782" s="96"/>
      <c r="D1782" s="96"/>
      <c r="E1782" s="103"/>
      <c r="F1782" s="96"/>
      <c r="G1782" s="96"/>
      <c r="H1782" s="96"/>
      <c r="I1782" s="96"/>
      <c r="J1782" s="96"/>
      <c r="L1782" s="96"/>
      <c r="M1782" s="96"/>
      <c r="P1782" s="96"/>
      <c r="Q1782" s="96"/>
      <c r="R1782" s="96"/>
      <c r="S1782" s="96"/>
      <c r="T1782" s="96"/>
      <c r="U1782" s="96"/>
      <c r="V1782" s="96"/>
      <c r="W1782" s="96"/>
    </row>
    <row r="1783" spans="1:23" x14ac:dyDescent="0.3">
      <c r="A1783" s="96"/>
      <c r="B1783" s="96"/>
      <c r="C1783" s="96"/>
      <c r="D1783" s="96"/>
      <c r="E1783" s="103"/>
      <c r="F1783" s="96"/>
      <c r="G1783" s="96"/>
      <c r="H1783" s="96"/>
      <c r="I1783" s="96"/>
      <c r="J1783" s="96"/>
      <c r="L1783" s="96"/>
      <c r="M1783" s="96"/>
      <c r="P1783" s="96"/>
      <c r="Q1783" s="96"/>
      <c r="R1783" s="96"/>
      <c r="S1783" s="96"/>
      <c r="T1783" s="96"/>
      <c r="U1783" s="96"/>
      <c r="V1783" s="96"/>
      <c r="W1783" s="96"/>
    </row>
    <row r="1784" spans="1:23" x14ac:dyDescent="0.3">
      <c r="A1784" s="96"/>
      <c r="B1784" s="96"/>
      <c r="C1784" s="96"/>
      <c r="D1784" s="96"/>
      <c r="E1784" s="103"/>
      <c r="F1784" s="96"/>
      <c r="G1784" s="96"/>
      <c r="H1784" s="96"/>
      <c r="I1784" s="96"/>
      <c r="J1784" s="96"/>
      <c r="L1784" s="96"/>
      <c r="M1784" s="96"/>
      <c r="P1784" s="96"/>
      <c r="Q1784" s="96"/>
      <c r="R1784" s="96"/>
      <c r="S1784" s="96"/>
      <c r="T1784" s="96"/>
      <c r="U1784" s="96"/>
      <c r="V1784" s="96"/>
      <c r="W1784" s="96"/>
    </row>
    <row r="1785" spans="1:23" x14ac:dyDescent="0.3">
      <c r="A1785" s="96"/>
      <c r="B1785" s="96"/>
      <c r="C1785" s="96"/>
      <c r="D1785" s="96"/>
      <c r="E1785" s="103"/>
      <c r="F1785" s="96"/>
      <c r="G1785" s="96"/>
      <c r="H1785" s="96"/>
      <c r="I1785" s="96"/>
      <c r="J1785" s="96"/>
      <c r="L1785" s="96"/>
      <c r="M1785" s="96"/>
      <c r="P1785" s="96"/>
      <c r="Q1785" s="96"/>
      <c r="R1785" s="96"/>
      <c r="S1785" s="96"/>
      <c r="T1785" s="96"/>
      <c r="U1785" s="96"/>
      <c r="V1785" s="96"/>
      <c r="W1785" s="96"/>
    </row>
    <row r="1786" spans="1:23" x14ac:dyDescent="0.3">
      <c r="A1786" s="96"/>
      <c r="B1786" s="96"/>
      <c r="C1786" s="96"/>
      <c r="D1786" s="96"/>
      <c r="E1786" s="103"/>
      <c r="F1786" s="96"/>
      <c r="G1786" s="96"/>
      <c r="H1786" s="96"/>
      <c r="I1786" s="96"/>
      <c r="J1786" s="96"/>
      <c r="L1786" s="96"/>
      <c r="M1786" s="96"/>
      <c r="P1786" s="96"/>
      <c r="Q1786" s="96"/>
      <c r="R1786" s="96"/>
      <c r="S1786" s="96"/>
      <c r="T1786" s="96"/>
      <c r="U1786" s="96"/>
      <c r="V1786" s="96"/>
      <c r="W1786" s="96"/>
    </row>
    <row r="1787" spans="1:23" x14ac:dyDescent="0.3">
      <c r="A1787" s="96"/>
      <c r="B1787" s="96"/>
      <c r="C1787" s="96"/>
      <c r="D1787" s="96"/>
      <c r="E1787" s="103"/>
      <c r="F1787" s="96"/>
      <c r="G1787" s="96"/>
      <c r="H1787" s="96"/>
      <c r="I1787" s="96"/>
      <c r="J1787" s="96"/>
      <c r="L1787" s="96"/>
      <c r="M1787" s="96"/>
      <c r="P1787" s="96"/>
      <c r="Q1787" s="96"/>
      <c r="R1787" s="96"/>
      <c r="S1787" s="96"/>
      <c r="T1787" s="96"/>
      <c r="U1787" s="96"/>
      <c r="V1787" s="96"/>
      <c r="W1787" s="96"/>
    </row>
    <row r="1788" spans="1:23" x14ac:dyDescent="0.3">
      <c r="A1788" s="96"/>
      <c r="B1788" s="96"/>
      <c r="C1788" s="96"/>
      <c r="D1788" s="96"/>
      <c r="E1788" s="103"/>
      <c r="F1788" s="96"/>
      <c r="G1788" s="96"/>
      <c r="H1788" s="96"/>
      <c r="I1788" s="96"/>
      <c r="J1788" s="96"/>
      <c r="L1788" s="96"/>
      <c r="M1788" s="96"/>
      <c r="P1788" s="96"/>
      <c r="Q1788" s="96"/>
      <c r="R1788" s="96"/>
      <c r="S1788" s="96"/>
      <c r="T1788" s="96"/>
      <c r="U1788" s="96"/>
      <c r="V1788" s="96"/>
      <c r="W1788" s="96"/>
    </row>
    <row r="1789" spans="1:23" x14ac:dyDescent="0.3">
      <c r="A1789" s="96"/>
      <c r="B1789" s="96"/>
      <c r="C1789" s="96"/>
      <c r="D1789" s="96"/>
      <c r="E1789" s="103"/>
      <c r="F1789" s="96"/>
      <c r="G1789" s="96"/>
      <c r="H1789" s="96"/>
      <c r="I1789" s="96"/>
      <c r="J1789" s="96"/>
      <c r="L1789" s="96"/>
      <c r="M1789" s="96"/>
      <c r="P1789" s="96"/>
      <c r="Q1789" s="96"/>
      <c r="R1789" s="96"/>
      <c r="S1789" s="96"/>
      <c r="T1789" s="96"/>
      <c r="U1789" s="96"/>
      <c r="V1789" s="96"/>
      <c r="W1789" s="96"/>
    </row>
    <row r="1790" spans="1:23" x14ac:dyDescent="0.3">
      <c r="A1790" s="96"/>
      <c r="B1790" s="96"/>
      <c r="C1790" s="96"/>
      <c r="D1790" s="96"/>
      <c r="E1790" s="103"/>
      <c r="F1790" s="96"/>
      <c r="G1790" s="96"/>
      <c r="H1790" s="96"/>
      <c r="I1790" s="96"/>
      <c r="J1790" s="96"/>
      <c r="L1790" s="96"/>
      <c r="M1790" s="96"/>
      <c r="P1790" s="96"/>
      <c r="Q1790" s="96"/>
      <c r="R1790" s="96"/>
      <c r="S1790" s="96"/>
      <c r="T1790" s="96"/>
      <c r="U1790" s="96"/>
      <c r="V1790" s="96"/>
      <c r="W1790" s="96"/>
    </row>
    <row r="1791" spans="1:23" x14ac:dyDescent="0.3">
      <c r="A1791" s="96"/>
      <c r="B1791" s="96"/>
      <c r="C1791" s="96"/>
      <c r="D1791" s="96"/>
      <c r="E1791" s="103"/>
      <c r="F1791" s="96"/>
      <c r="G1791" s="96"/>
      <c r="H1791" s="96"/>
      <c r="I1791" s="96"/>
      <c r="J1791" s="96"/>
      <c r="L1791" s="96"/>
      <c r="M1791" s="96"/>
      <c r="P1791" s="96"/>
      <c r="Q1791" s="96"/>
      <c r="R1791" s="96"/>
      <c r="S1791" s="96"/>
      <c r="T1791" s="96"/>
      <c r="U1791" s="96"/>
      <c r="V1791" s="96"/>
      <c r="W1791" s="96"/>
    </row>
    <row r="1792" spans="1:23" x14ac:dyDescent="0.3">
      <c r="A1792" s="96"/>
      <c r="B1792" s="96"/>
      <c r="C1792" s="96"/>
      <c r="D1792" s="96"/>
      <c r="E1792" s="103"/>
      <c r="F1792" s="96"/>
      <c r="G1792" s="96"/>
      <c r="H1792" s="96"/>
      <c r="I1792" s="96"/>
      <c r="J1792" s="96"/>
      <c r="L1792" s="96"/>
      <c r="M1792" s="96"/>
      <c r="P1792" s="96"/>
      <c r="Q1792" s="96"/>
      <c r="R1792" s="96"/>
      <c r="S1792" s="96"/>
      <c r="T1792" s="96"/>
      <c r="U1792" s="96"/>
      <c r="V1792" s="96"/>
      <c r="W1792" s="96"/>
    </row>
    <row r="1793" spans="1:23" x14ac:dyDescent="0.3">
      <c r="A1793" s="96"/>
      <c r="B1793" s="96"/>
      <c r="C1793" s="96"/>
      <c r="D1793" s="96"/>
      <c r="E1793" s="103"/>
      <c r="F1793" s="96"/>
      <c r="G1793" s="96"/>
      <c r="H1793" s="96"/>
      <c r="I1793" s="96"/>
      <c r="J1793" s="96"/>
      <c r="L1793" s="96"/>
      <c r="M1793" s="96"/>
      <c r="P1793" s="96"/>
      <c r="Q1793" s="96"/>
      <c r="R1793" s="96"/>
      <c r="S1793" s="96"/>
      <c r="T1793" s="96"/>
      <c r="U1793" s="96"/>
      <c r="V1793" s="96"/>
      <c r="W1793" s="96"/>
    </row>
    <row r="1794" spans="1:23" x14ac:dyDescent="0.3">
      <c r="A1794" s="96"/>
      <c r="B1794" s="96"/>
      <c r="C1794" s="96"/>
      <c r="D1794" s="96"/>
      <c r="E1794" s="103"/>
      <c r="F1794" s="96"/>
      <c r="G1794" s="96"/>
      <c r="H1794" s="96"/>
      <c r="I1794" s="96"/>
      <c r="J1794" s="96"/>
      <c r="L1794" s="96"/>
      <c r="M1794" s="96"/>
      <c r="P1794" s="96"/>
      <c r="Q1794" s="96"/>
      <c r="R1794" s="96"/>
      <c r="S1794" s="96"/>
      <c r="T1794" s="96"/>
      <c r="U1794" s="96"/>
      <c r="V1794" s="96"/>
      <c r="W1794" s="96"/>
    </row>
    <row r="1795" spans="1:23" x14ac:dyDescent="0.3">
      <c r="A1795" s="96"/>
      <c r="B1795" s="96"/>
      <c r="C1795" s="96"/>
      <c r="D1795" s="96"/>
      <c r="E1795" s="103"/>
      <c r="F1795" s="96"/>
      <c r="G1795" s="96"/>
      <c r="H1795" s="96"/>
      <c r="I1795" s="96"/>
      <c r="J1795" s="96"/>
      <c r="L1795" s="96"/>
      <c r="M1795" s="96"/>
      <c r="P1795" s="96"/>
      <c r="Q1795" s="96"/>
      <c r="R1795" s="96"/>
      <c r="S1795" s="96"/>
      <c r="T1795" s="96"/>
      <c r="U1795" s="96"/>
      <c r="V1795" s="96"/>
      <c r="W1795" s="96"/>
    </row>
    <row r="1796" spans="1:23" x14ac:dyDescent="0.3">
      <c r="A1796" s="96"/>
      <c r="B1796" s="96"/>
      <c r="C1796" s="96"/>
      <c r="D1796" s="96"/>
      <c r="E1796" s="103"/>
      <c r="F1796" s="96"/>
      <c r="G1796" s="96"/>
      <c r="H1796" s="96"/>
      <c r="I1796" s="96"/>
      <c r="J1796" s="96"/>
      <c r="L1796" s="96"/>
      <c r="M1796" s="96"/>
      <c r="P1796" s="96"/>
      <c r="Q1796" s="96"/>
      <c r="R1796" s="96"/>
      <c r="S1796" s="96"/>
      <c r="T1796" s="96"/>
      <c r="U1796" s="96"/>
      <c r="V1796" s="96"/>
      <c r="W1796" s="96"/>
    </row>
    <row r="1797" spans="1:23" x14ac:dyDescent="0.3">
      <c r="A1797" s="96"/>
      <c r="B1797" s="96"/>
      <c r="C1797" s="96"/>
      <c r="D1797" s="96"/>
      <c r="E1797" s="103"/>
      <c r="F1797" s="96"/>
      <c r="G1797" s="96"/>
      <c r="H1797" s="96"/>
      <c r="I1797" s="96"/>
      <c r="J1797" s="96"/>
      <c r="L1797" s="96"/>
      <c r="M1797" s="96"/>
      <c r="P1797" s="96"/>
      <c r="Q1797" s="96"/>
      <c r="R1797" s="96"/>
      <c r="S1797" s="96"/>
      <c r="T1797" s="96"/>
      <c r="U1797" s="96"/>
      <c r="V1797" s="96"/>
      <c r="W1797" s="96"/>
    </row>
    <row r="1798" spans="1:23" x14ac:dyDescent="0.3">
      <c r="A1798" s="96"/>
      <c r="B1798" s="96"/>
      <c r="C1798" s="96"/>
      <c r="D1798" s="96"/>
      <c r="E1798" s="103"/>
      <c r="F1798" s="96"/>
      <c r="G1798" s="96"/>
      <c r="H1798" s="96"/>
      <c r="I1798" s="96"/>
      <c r="J1798" s="96"/>
      <c r="L1798" s="96"/>
      <c r="M1798" s="96"/>
      <c r="P1798" s="96"/>
      <c r="Q1798" s="96"/>
      <c r="R1798" s="96"/>
      <c r="S1798" s="96"/>
      <c r="T1798" s="96"/>
      <c r="U1798" s="96"/>
      <c r="V1798" s="96"/>
      <c r="W1798" s="96"/>
    </row>
    <row r="1799" spans="1:23" x14ac:dyDescent="0.3">
      <c r="A1799" s="96"/>
      <c r="B1799" s="96"/>
      <c r="C1799" s="96"/>
      <c r="D1799" s="96"/>
      <c r="E1799" s="103"/>
      <c r="F1799" s="96"/>
      <c r="G1799" s="96"/>
      <c r="H1799" s="96"/>
      <c r="I1799" s="96"/>
      <c r="J1799" s="96"/>
      <c r="L1799" s="96"/>
      <c r="M1799" s="96"/>
      <c r="P1799" s="96"/>
      <c r="Q1799" s="96"/>
      <c r="R1799" s="96"/>
      <c r="S1799" s="96"/>
      <c r="T1799" s="96"/>
      <c r="U1799" s="96"/>
      <c r="V1799" s="96"/>
      <c r="W1799" s="96"/>
    </row>
    <row r="1800" spans="1:23" x14ac:dyDescent="0.3">
      <c r="A1800" s="96"/>
      <c r="B1800" s="96"/>
      <c r="C1800" s="96"/>
      <c r="D1800" s="96"/>
      <c r="E1800" s="103"/>
      <c r="F1800" s="96"/>
      <c r="G1800" s="96"/>
      <c r="H1800" s="96"/>
      <c r="I1800" s="96"/>
      <c r="J1800" s="96"/>
      <c r="L1800" s="96"/>
      <c r="M1800" s="96"/>
      <c r="P1800" s="96"/>
      <c r="Q1800" s="96"/>
      <c r="R1800" s="96"/>
      <c r="S1800" s="96"/>
      <c r="T1800" s="96"/>
      <c r="U1800" s="96"/>
      <c r="V1800" s="96"/>
      <c r="W1800" s="96"/>
    </row>
    <row r="1801" spans="1:23" x14ac:dyDescent="0.3">
      <c r="A1801" s="96"/>
      <c r="B1801" s="96"/>
      <c r="C1801" s="96"/>
      <c r="D1801" s="96"/>
      <c r="E1801" s="103"/>
      <c r="F1801" s="96"/>
      <c r="G1801" s="96"/>
      <c r="H1801" s="96"/>
      <c r="I1801" s="96"/>
      <c r="J1801" s="96"/>
      <c r="L1801" s="96"/>
      <c r="M1801" s="96"/>
      <c r="P1801" s="96"/>
      <c r="Q1801" s="96"/>
      <c r="R1801" s="96"/>
      <c r="S1801" s="96"/>
      <c r="T1801" s="96"/>
      <c r="U1801" s="96"/>
      <c r="V1801" s="96"/>
      <c r="W1801" s="96"/>
    </row>
    <row r="1802" spans="1:23" x14ac:dyDescent="0.3">
      <c r="A1802" s="96"/>
      <c r="B1802" s="96"/>
      <c r="C1802" s="96"/>
      <c r="D1802" s="96"/>
      <c r="E1802" s="103"/>
      <c r="F1802" s="96"/>
      <c r="G1802" s="96"/>
      <c r="H1802" s="96"/>
      <c r="I1802" s="96"/>
      <c r="J1802" s="96"/>
      <c r="L1802" s="96"/>
      <c r="M1802" s="96"/>
      <c r="P1802" s="96"/>
      <c r="Q1802" s="96"/>
      <c r="R1802" s="96"/>
      <c r="S1802" s="96"/>
      <c r="T1802" s="96"/>
      <c r="U1802" s="96"/>
      <c r="V1802" s="96"/>
      <c r="W1802" s="96"/>
    </row>
    <row r="1803" spans="1:23" x14ac:dyDescent="0.3">
      <c r="A1803" s="96"/>
      <c r="B1803" s="96"/>
      <c r="C1803" s="96"/>
      <c r="D1803" s="96"/>
      <c r="E1803" s="103"/>
      <c r="F1803" s="96"/>
      <c r="G1803" s="96"/>
      <c r="H1803" s="96"/>
      <c r="I1803" s="96"/>
      <c r="J1803" s="96"/>
      <c r="L1803" s="96"/>
      <c r="M1803" s="96"/>
      <c r="P1803" s="96"/>
      <c r="Q1803" s="96"/>
      <c r="R1803" s="96"/>
      <c r="S1803" s="96"/>
      <c r="T1803" s="96"/>
      <c r="U1803" s="96"/>
      <c r="V1803" s="96"/>
      <c r="W1803" s="96"/>
    </row>
    <row r="1804" spans="1:23" x14ac:dyDescent="0.3">
      <c r="A1804" s="96"/>
      <c r="B1804" s="96"/>
      <c r="C1804" s="96"/>
      <c r="D1804" s="96"/>
      <c r="E1804" s="103"/>
      <c r="F1804" s="96"/>
      <c r="G1804" s="96"/>
      <c r="H1804" s="96"/>
      <c r="I1804" s="96"/>
      <c r="J1804" s="96"/>
      <c r="L1804" s="96"/>
      <c r="M1804" s="96"/>
      <c r="P1804" s="96"/>
      <c r="Q1804" s="96"/>
      <c r="R1804" s="96"/>
      <c r="S1804" s="96"/>
      <c r="T1804" s="96"/>
      <c r="U1804" s="96"/>
      <c r="V1804" s="96"/>
      <c r="W1804" s="96"/>
    </row>
    <row r="1805" spans="1:23" x14ac:dyDescent="0.3">
      <c r="A1805" s="96"/>
      <c r="B1805" s="96"/>
      <c r="C1805" s="96"/>
      <c r="D1805" s="96"/>
      <c r="E1805" s="103"/>
      <c r="F1805" s="96"/>
      <c r="G1805" s="96"/>
      <c r="H1805" s="96"/>
      <c r="I1805" s="96"/>
      <c r="J1805" s="96"/>
      <c r="L1805" s="96"/>
      <c r="M1805" s="96"/>
      <c r="P1805" s="96"/>
      <c r="Q1805" s="96"/>
      <c r="R1805" s="96"/>
      <c r="S1805" s="96"/>
      <c r="T1805" s="96"/>
      <c r="U1805" s="96"/>
      <c r="V1805" s="96"/>
      <c r="W1805" s="96"/>
    </row>
    <row r="1806" spans="1:23" x14ac:dyDescent="0.3">
      <c r="A1806" s="96"/>
      <c r="B1806" s="96"/>
      <c r="C1806" s="96"/>
      <c r="D1806" s="96"/>
      <c r="E1806" s="103"/>
      <c r="F1806" s="96"/>
      <c r="G1806" s="96"/>
      <c r="H1806" s="96"/>
      <c r="I1806" s="96"/>
      <c r="J1806" s="96"/>
      <c r="L1806" s="96"/>
      <c r="M1806" s="96"/>
      <c r="P1806" s="96"/>
      <c r="Q1806" s="96"/>
      <c r="R1806" s="96"/>
      <c r="S1806" s="96"/>
      <c r="T1806" s="96"/>
      <c r="U1806" s="96"/>
      <c r="V1806" s="96"/>
      <c r="W1806" s="96"/>
    </row>
    <row r="1807" spans="1:23" x14ac:dyDescent="0.3">
      <c r="A1807" s="96"/>
      <c r="B1807" s="96"/>
      <c r="C1807" s="96"/>
      <c r="D1807" s="96"/>
      <c r="E1807" s="103"/>
      <c r="F1807" s="96"/>
      <c r="G1807" s="96"/>
      <c r="H1807" s="96"/>
      <c r="I1807" s="96"/>
      <c r="J1807" s="96"/>
      <c r="L1807" s="96"/>
      <c r="M1807" s="96"/>
      <c r="P1807" s="96"/>
      <c r="Q1807" s="96"/>
      <c r="R1807" s="96"/>
      <c r="S1807" s="96"/>
      <c r="T1807" s="96"/>
      <c r="U1807" s="96"/>
      <c r="V1807" s="96"/>
      <c r="W1807" s="96"/>
    </row>
    <row r="1808" spans="1:23" x14ac:dyDescent="0.3">
      <c r="A1808" s="96"/>
      <c r="B1808" s="96"/>
      <c r="C1808" s="96"/>
      <c r="D1808" s="96"/>
      <c r="E1808" s="103"/>
      <c r="F1808" s="96"/>
      <c r="G1808" s="96"/>
      <c r="H1808" s="96"/>
      <c r="I1808" s="96"/>
      <c r="J1808" s="96"/>
      <c r="L1808" s="96"/>
      <c r="M1808" s="96"/>
      <c r="P1808" s="96"/>
      <c r="Q1808" s="96"/>
      <c r="R1808" s="96"/>
      <c r="S1808" s="96"/>
      <c r="T1808" s="96"/>
      <c r="U1808" s="96"/>
      <c r="V1808" s="96"/>
      <c r="W1808" s="96"/>
    </row>
    <row r="1809" spans="1:23" x14ac:dyDescent="0.3">
      <c r="A1809" s="96"/>
      <c r="B1809" s="96"/>
      <c r="C1809" s="96"/>
      <c r="D1809" s="96"/>
      <c r="E1809" s="103"/>
      <c r="F1809" s="96"/>
      <c r="G1809" s="96"/>
      <c r="H1809" s="96"/>
      <c r="I1809" s="96"/>
      <c r="J1809" s="96"/>
      <c r="L1809" s="96"/>
      <c r="M1809" s="96"/>
      <c r="P1809" s="96"/>
      <c r="Q1809" s="96"/>
      <c r="R1809" s="96"/>
      <c r="S1809" s="96"/>
      <c r="T1809" s="96"/>
      <c r="U1809" s="96"/>
      <c r="V1809" s="96"/>
      <c r="W1809" s="96"/>
    </row>
    <row r="1810" spans="1:23" x14ac:dyDescent="0.3">
      <c r="A1810" s="96"/>
      <c r="B1810" s="96"/>
      <c r="C1810" s="96"/>
      <c r="D1810" s="96"/>
      <c r="E1810" s="103"/>
      <c r="F1810" s="96"/>
      <c r="G1810" s="96"/>
      <c r="H1810" s="96"/>
      <c r="I1810" s="96"/>
      <c r="J1810" s="96"/>
      <c r="L1810" s="96"/>
      <c r="M1810" s="96"/>
      <c r="P1810" s="96"/>
      <c r="Q1810" s="96"/>
      <c r="R1810" s="96"/>
      <c r="S1810" s="96"/>
      <c r="T1810" s="96"/>
      <c r="U1810" s="96"/>
      <c r="V1810" s="96"/>
      <c r="W1810" s="96"/>
    </row>
    <row r="1811" spans="1:23" x14ac:dyDescent="0.3">
      <c r="A1811" s="96"/>
      <c r="B1811" s="96"/>
      <c r="C1811" s="96"/>
      <c r="D1811" s="96"/>
      <c r="E1811" s="103"/>
      <c r="F1811" s="96"/>
      <c r="G1811" s="96"/>
      <c r="H1811" s="96"/>
      <c r="I1811" s="96"/>
      <c r="J1811" s="96"/>
      <c r="L1811" s="96"/>
      <c r="M1811" s="96"/>
      <c r="P1811" s="96"/>
      <c r="Q1811" s="96"/>
      <c r="R1811" s="96"/>
      <c r="S1811" s="96"/>
      <c r="T1811" s="96"/>
      <c r="U1811" s="96"/>
      <c r="V1811" s="96"/>
      <c r="W1811" s="96"/>
    </row>
    <row r="1812" spans="1:23" x14ac:dyDescent="0.3">
      <c r="A1812" s="96"/>
      <c r="B1812" s="96"/>
      <c r="C1812" s="96"/>
      <c r="D1812" s="96"/>
      <c r="E1812" s="103"/>
      <c r="F1812" s="96"/>
      <c r="G1812" s="96"/>
      <c r="H1812" s="96"/>
      <c r="I1812" s="96"/>
      <c r="J1812" s="96"/>
      <c r="L1812" s="96"/>
      <c r="M1812" s="96"/>
      <c r="P1812" s="96"/>
      <c r="Q1812" s="96"/>
      <c r="R1812" s="96"/>
      <c r="S1812" s="96"/>
      <c r="T1812" s="96"/>
      <c r="U1812" s="96"/>
      <c r="V1812" s="96"/>
      <c r="W1812" s="96"/>
    </row>
    <row r="1813" spans="1:23" x14ac:dyDescent="0.3">
      <c r="A1813" s="96"/>
      <c r="B1813" s="96"/>
      <c r="C1813" s="96"/>
      <c r="D1813" s="96"/>
      <c r="E1813" s="103"/>
      <c r="F1813" s="96"/>
      <c r="G1813" s="96"/>
      <c r="H1813" s="96"/>
      <c r="I1813" s="96"/>
      <c r="J1813" s="96"/>
      <c r="L1813" s="96"/>
      <c r="M1813" s="96"/>
      <c r="P1813" s="96"/>
      <c r="Q1813" s="96"/>
      <c r="R1813" s="96"/>
      <c r="S1813" s="96"/>
      <c r="T1813" s="96"/>
      <c r="U1813" s="96"/>
      <c r="V1813" s="96"/>
      <c r="W1813" s="96"/>
    </row>
    <row r="1814" spans="1:23" x14ac:dyDescent="0.3">
      <c r="A1814" s="96"/>
      <c r="B1814" s="96"/>
      <c r="C1814" s="96"/>
      <c r="D1814" s="96"/>
      <c r="E1814" s="103"/>
      <c r="F1814" s="96"/>
      <c r="G1814" s="96"/>
      <c r="H1814" s="96"/>
      <c r="I1814" s="96"/>
      <c r="J1814" s="96"/>
      <c r="L1814" s="96"/>
      <c r="M1814" s="96"/>
      <c r="P1814" s="96"/>
      <c r="Q1814" s="96"/>
      <c r="R1814" s="96"/>
      <c r="S1814" s="96"/>
      <c r="T1814" s="96"/>
      <c r="U1814" s="96"/>
      <c r="V1814" s="96"/>
      <c r="W1814" s="96"/>
    </row>
    <row r="1815" spans="1:23" x14ac:dyDescent="0.3">
      <c r="A1815" s="96"/>
      <c r="B1815" s="96"/>
      <c r="C1815" s="96"/>
      <c r="D1815" s="96"/>
      <c r="E1815" s="103"/>
      <c r="F1815" s="96"/>
      <c r="G1815" s="96"/>
      <c r="H1815" s="96"/>
      <c r="I1815" s="96"/>
      <c r="J1815" s="96"/>
      <c r="L1815" s="96"/>
      <c r="M1815" s="96"/>
      <c r="P1815" s="96"/>
      <c r="Q1815" s="96"/>
      <c r="R1815" s="96"/>
      <c r="S1815" s="96"/>
      <c r="T1815" s="96"/>
      <c r="U1815" s="96"/>
      <c r="V1815" s="96"/>
      <c r="W1815" s="96"/>
    </row>
    <row r="1816" spans="1:23" x14ac:dyDescent="0.3">
      <c r="A1816" s="96"/>
      <c r="B1816" s="96"/>
      <c r="C1816" s="96"/>
      <c r="D1816" s="96"/>
      <c r="E1816" s="103"/>
      <c r="F1816" s="96"/>
      <c r="G1816" s="96"/>
      <c r="H1816" s="96"/>
      <c r="I1816" s="96"/>
      <c r="J1816" s="96"/>
      <c r="L1816" s="96"/>
      <c r="M1816" s="96"/>
      <c r="P1816" s="96"/>
      <c r="Q1816" s="96"/>
      <c r="R1816" s="96"/>
      <c r="S1816" s="96"/>
      <c r="T1816" s="96"/>
      <c r="U1816" s="96"/>
      <c r="V1816" s="96"/>
      <c r="W1816" s="96"/>
    </row>
    <row r="1817" spans="1:23" x14ac:dyDescent="0.3">
      <c r="A1817" s="96"/>
      <c r="B1817" s="96"/>
      <c r="C1817" s="96"/>
      <c r="D1817" s="96"/>
      <c r="E1817" s="103"/>
      <c r="F1817" s="96"/>
      <c r="G1817" s="96"/>
      <c r="H1817" s="96"/>
      <c r="I1817" s="96"/>
      <c r="J1817" s="96"/>
      <c r="L1817" s="96"/>
      <c r="M1817" s="96"/>
      <c r="P1817" s="96"/>
      <c r="Q1817" s="96"/>
      <c r="R1817" s="96"/>
      <c r="S1817" s="96"/>
      <c r="T1817" s="96"/>
      <c r="U1817" s="96"/>
      <c r="V1817" s="96"/>
      <c r="W1817" s="96"/>
    </row>
    <row r="1818" spans="1:23" x14ac:dyDescent="0.3">
      <c r="A1818" s="96"/>
      <c r="B1818" s="96"/>
      <c r="C1818" s="96"/>
      <c r="D1818" s="96"/>
      <c r="E1818" s="103"/>
      <c r="F1818" s="96"/>
      <c r="G1818" s="96"/>
      <c r="H1818" s="96"/>
      <c r="I1818" s="96"/>
      <c r="J1818" s="96"/>
      <c r="L1818" s="96"/>
      <c r="M1818" s="96"/>
      <c r="P1818" s="96"/>
      <c r="Q1818" s="96"/>
      <c r="R1818" s="96"/>
      <c r="S1818" s="96"/>
      <c r="T1818" s="96"/>
      <c r="U1818" s="96"/>
      <c r="V1818" s="96"/>
      <c r="W1818" s="96"/>
    </row>
    <row r="1819" spans="1:23" x14ac:dyDescent="0.3">
      <c r="A1819" s="96"/>
      <c r="B1819" s="96"/>
      <c r="C1819" s="96"/>
      <c r="D1819" s="96"/>
      <c r="E1819" s="103"/>
      <c r="F1819" s="96"/>
      <c r="G1819" s="96"/>
      <c r="H1819" s="96"/>
      <c r="I1819" s="96"/>
      <c r="J1819" s="96"/>
      <c r="L1819" s="96"/>
      <c r="M1819" s="96"/>
      <c r="P1819" s="96"/>
      <c r="Q1819" s="96"/>
      <c r="R1819" s="96"/>
      <c r="S1819" s="96"/>
      <c r="T1819" s="96"/>
      <c r="U1819" s="96"/>
      <c r="V1819" s="96"/>
      <c r="W1819" s="96"/>
    </row>
    <row r="1820" spans="1:23" x14ac:dyDescent="0.3">
      <c r="A1820" s="96"/>
      <c r="B1820" s="96"/>
      <c r="C1820" s="96"/>
      <c r="D1820" s="96"/>
      <c r="E1820" s="103"/>
      <c r="F1820" s="96"/>
      <c r="G1820" s="96"/>
      <c r="H1820" s="96"/>
      <c r="I1820" s="96"/>
      <c r="J1820" s="96"/>
      <c r="L1820" s="96"/>
      <c r="M1820" s="96"/>
      <c r="P1820" s="96"/>
      <c r="Q1820" s="96"/>
      <c r="R1820" s="96"/>
      <c r="S1820" s="96"/>
      <c r="T1820" s="96"/>
      <c r="U1820" s="96"/>
      <c r="V1820" s="96"/>
      <c r="W1820" s="96"/>
    </row>
    <row r="1821" spans="1:23" x14ac:dyDescent="0.3">
      <c r="A1821" s="96"/>
      <c r="B1821" s="96"/>
      <c r="C1821" s="96"/>
      <c r="D1821" s="96"/>
      <c r="E1821" s="103"/>
      <c r="F1821" s="96"/>
      <c r="G1821" s="96"/>
      <c r="H1821" s="96"/>
      <c r="I1821" s="96"/>
      <c r="J1821" s="96"/>
      <c r="L1821" s="96"/>
      <c r="M1821" s="96"/>
      <c r="P1821" s="96"/>
      <c r="Q1821" s="96"/>
      <c r="R1821" s="96"/>
      <c r="S1821" s="96"/>
      <c r="T1821" s="96"/>
      <c r="U1821" s="96"/>
      <c r="V1821" s="96"/>
      <c r="W1821" s="96"/>
    </row>
    <row r="1822" spans="1:23" x14ac:dyDescent="0.3">
      <c r="A1822" s="96"/>
      <c r="B1822" s="96"/>
      <c r="C1822" s="96"/>
      <c r="D1822" s="96"/>
      <c r="E1822" s="103"/>
      <c r="F1822" s="96"/>
      <c r="G1822" s="96"/>
      <c r="H1822" s="96"/>
      <c r="I1822" s="96"/>
      <c r="J1822" s="96"/>
      <c r="L1822" s="96"/>
      <c r="M1822" s="96"/>
      <c r="P1822" s="96"/>
      <c r="Q1822" s="96"/>
      <c r="R1822" s="96"/>
      <c r="S1822" s="96"/>
      <c r="T1822" s="96"/>
      <c r="U1822" s="96"/>
      <c r="V1822" s="96"/>
      <c r="W1822" s="96"/>
    </row>
    <row r="1823" spans="1:23" x14ac:dyDescent="0.3">
      <c r="A1823" s="96"/>
      <c r="B1823" s="96"/>
      <c r="C1823" s="96"/>
      <c r="D1823" s="96"/>
      <c r="E1823" s="103"/>
      <c r="F1823" s="96"/>
      <c r="G1823" s="96"/>
      <c r="H1823" s="96"/>
      <c r="I1823" s="96"/>
      <c r="J1823" s="96"/>
      <c r="L1823" s="96"/>
      <c r="M1823" s="96"/>
      <c r="P1823" s="96"/>
      <c r="Q1823" s="96"/>
      <c r="R1823" s="96"/>
      <c r="S1823" s="96"/>
      <c r="T1823" s="96"/>
      <c r="U1823" s="96"/>
      <c r="V1823" s="96"/>
      <c r="W1823" s="96"/>
    </row>
    <row r="1824" spans="1:23" x14ac:dyDescent="0.3">
      <c r="A1824" s="96"/>
      <c r="B1824" s="96"/>
      <c r="C1824" s="96"/>
      <c r="D1824" s="96"/>
      <c r="E1824" s="103"/>
      <c r="F1824" s="96"/>
      <c r="G1824" s="96"/>
      <c r="H1824" s="96"/>
      <c r="I1824" s="96"/>
      <c r="J1824" s="96"/>
      <c r="L1824" s="96"/>
      <c r="M1824" s="96"/>
      <c r="P1824" s="96"/>
      <c r="Q1824" s="96"/>
      <c r="R1824" s="96"/>
      <c r="S1824" s="96"/>
      <c r="T1824" s="96"/>
      <c r="U1824" s="96"/>
      <c r="V1824" s="96"/>
      <c r="W1824" s="96"/>
    </row>
    <row r="1825" spans="1:23" x14ac:dyDescent="0.3">
      <c r="A1825" s="96"/>
      <c r="B1825" s="96"/>
      <c r="C1825" s="96"/>
      <c r="D1825" s="96"/>
      <c r="E1825" s="103"/>
      <c r="F1825" s="96"/>
      <c r="G1825" s="96"/>
      <c r="H1825" s="96"/>
      <c r="I1825" s="96"/>
      <c r="J1825" s="96"/>
      <c r="L1825" s="96"/>
      <c r="M1825" s="96"/>
      <c r="P1825" s="96"/>
      <c r="Q1825" s="96"/>
      <c r="R1825" s="96"/>
      <c r="S1825" s="96"/>
      <c r="T1825" s="96"/>
      <c r="U1825" s="96"/>
      <c r="V1825" s="96"/>
      <c r="W1825" s="96"/>
    </row>
    <row r="1826" spans="1:23" x14ac:dyDescent="0.3">
      <c r="A1826" s="96"/>
      <c r="B1826" s="96"/>
      <c r="C1826" s="96"/>
      <c r="D1826" s="96"/>
      <c r="E1826" s="103"/>
      <c r="F1826" s="96"/>
      <c r="G1826" s="96"/>
      <c r="H1826" s="96"/>
      <c r="I1826" s="96"/>
      <c r="J1826" s="96"/>
      <c r="L1826" s="96"/>
      <c r="M1826" s="96"/>
      <c r="P1826" s="96"/>
      <c r="Q1826" s="96"/>
      <c r="R1826" s="96"/>
      <c r="S1826" s="96"/>
      <c r="T1826" s="96"/>
      <c r="U1826" s="96"/>
      <c r="V1826" s="96"/>
      <c r="W1826" s="96"/>
    </row>
    <row r="1827" spans="1:23" x14ac:dyDescent="0.3">
      <c r="A1827" s="96"/>
      <c r="B1827" s="96"/>
      <c r="C1827" s="96"/>
      <c r="D1827" s="96"/>
      <c r="E1827" s="103"/>
      <c r="F1827" s="96"/>
      <c r="G1827" s="96"/>
      <c r="H1827" s="96"/>
      <c r="I1827" s="96"/>
      <c r="J1827" s="96"/>
      <c r="L1827" s="96"/>
      <c r="M1827" s="96"/>
      <c r="P1827" s="96"/>
      <c r="Q1827" s="96"/>
      <c r="R1827" s="96"/>
      <c r="S1827" s="96"/>
      <c r="T1827" s="96"/>
      <c r="U1827" s="96"/>
      <c r="V1827" s="96"/>
      <c r="W1827" s="96"/>
    </row>
    <row r="1828" spans="1:23" x14ac:dyDescent="0.3">
      <c r="A1828" s="96"/>
      <c r="B1828" s="96"/>
      <c r="C1828" s="96"/>
      <c r="D1828" s="96"/>
      <c r="E1828" s="103"/>
      <c r="F1828" s="96"/>
      <c r="G1828" s="96"/>
      <c r="H1828" s="96"/>
      <c r="I1828" s="96"/>
      <c r="J1828" s="96"/>
      <c r="L1828" s="96"/>
      <c r="M1828" s="96"/>
      <c r="P1828" s="96"/>
      <c r="Q1828" s="96"/>
      <c r="R1828" s="96"/>
      <c r="S1828" s="96"/>
      <c r="T1828" s="96"/>
      <c r="U1828" s="96"/>
      <c r="V1828" s="96"/>
      <c r="W1828" s="96"/>
    </row>
    <row r="1829" spans="1:23" x14ac:dyDescent="0.3">
      <c r="A1829" s="96"/>
      <c r="B1829" s="96"/>
      <c r="C1829" s="96"/>
      <c r="D1829" s="96"/>
      <c r="E1829" s="103"/>
      <c r="F1829" s="96"/>
      <c r="G1829" s="96"/>
      <c r="H1829" s="96"/>
      <c r="I1829" s="96"/>
      <c r="J1829" s="96"/>
      <c r="L1829" s="96"/>
      <c r="M1829" s="96"/>
      <c r="P1829" s="96"/>
      <c r="Q1829" s="96"/>
      <c r="R1829" s="96"/>
      <c r="S1829" s="96"/>
      <c r="T1829" s="96"/>
      <c r="U1829" s="96"/>
      <c r="V1829" s="96"/>
      <c r="W1829" s="96"/>
    </row>
    <row r="1830" spans="1:23" x14ac:dyDescent="0.3">
      <c r="A1830" s="96"/>
      <c r="B1830" s="96"/>
      <c r="C1830" s="96"/>
      <c r="D1830" s="96"/>
      <c r="E1830" s="103"/>
      <c r="F1830" s="96"/>
      <c r="G1830" s="96"/>
      <c r="H1830" s="96"/>
      <c r="I1830" s="96"/>
      <c r="J1830" s="96"/>
      <c r="L1830" s="96"/>
      <c r="M1830" s="96"/>
      <c r="P1830" s="96"/>
      <c r="Q1830" s="96"/>
      <c r="R1830" s="96"/>
      <c r="S1830" s="96"/>
      <c r="T1830" s="96"/>
      <c r="U1830" s="96"/>
      <c r="V1830" s="96"/>
      <c r="W1830" s="96"/>
    </row>
    <row r="1831" spans="1:23" x14ac:dyDescent="0.3">
      <c r="A1831" s="96"/>
      <c r="B1831" s="96"/>
      <c r="C1831" s="96"/>
      <c r="D1831" s="96"/>
      <c r="E1831" s="103"/>
      <c r="F1831" s="96"/>
      <c r="G1831" s="96"/>
      <c r="H1831" s="96"/>
      <c r="I1831" s="96"/>
      <c r="J1831" s="96"/>
      <c r="L1831" s="96"/>
      <c r="M1831" s="96"/>
      <c r="P1831" s="96"/>
      <c r="Q1831" s="96"/>
      <c r="R1831" s="96"/>
      <c r="S1831" s="96"/>
      <c r="T1831" s="96"/>
      <c r="U1831" s="96"/>
      <c r="V1831" s="96"/>
      <c r="W1831" s="96"/>
    </row>
    <row r="1832" spans="1:23" x14ac:dyDescent="0.3">
      <c r="A1832" s="96"/>
      <c r="B1832" s="96"/>
      <c r="C1832" s="96"/>
      <c r="D1832" s="96"/>
      <c r="E1832" s="103"/>
      <c r="F1832" s="96"/>
      <c r="G1832" s="96"/>
      <c r="H1832" s="96"/>
      <c r="I1832" s="96"/>
      <c r="J1832" s="96"/>
      <c r="L1832" s="96"/>
      <c r="M1832" s="96"/>
      <c r="P1832" s="96"/>
      <c r="Q1832" s="96"/>
      <c r="R1832" s="96"/>
      <c r="S1832" s="96"/>
      <c r="T1832" s="96"/>
      <c r="U1832" s="96"/>
      <c r="V1832" s="96"/>
      <c r="W1832" s="96"/>
    </row>
  </sheetData>
  <autoFilter ref="A1:AH1832" xr:uid="{00000000-0001-0000-0A00-000000000000}"/>
  <mergeCells count="46">
    <mergeCell ref="Z185:Z190"/>
    <mergeCell ref="Z450:Z451"/>
    <mergeCell ref="Z121:Z129"/>
    <mergeCell ref="Z138:Z140"/>
    <mergeCell ref="Z141:Z143"/>
    <mergeCell ref="I666:J666"/>
    <mergeCell ref="I640:J640"/>
    <mergeCell ref="I665:J665"/>
    <mergeCell ref="Z453:Z461"/>
    <mergeCell ref="Z463:Z468"/>
    <mergeCell ref="Z469:Z475"/>
    <mergeCell ref="Z526:Z531"/>
    <mergeCell ref="Z532:Z537"/>
    <mergeCell ref="I639:J639"/>
    <mergeCell ref="I449:J449"/>
    <mergeCell ref="Z25:Z36"/>
    <mergeCell ref="Z46:Z49"/>
    <mergeCell ref="Z58:Z87"/>
    <mergeCell ref="Z92:Z93"/>
    <mergeCell ref="Z94:Z96"/>
    <mergeCell ref="Z97:Z106"/>
    <mergeCell ref="Z112:Z114"/>
    <mergeCell ref="Z191:Z192"/>
    <mergeCell ref="I447:J447"/>
    <mergeCell ref="I448:J448"/>
    <mergeCell ref="Z144:Z146"/>
    <mergeCell ref="Z147:Z149"/>
    <mergeCell ref="Z150:Z152"/>
    <mergeCell ref="Z153:Z164"/>
    <mergeCell ref="I23:J23"/>
    <mergeCell ref="I14:J14"/>
    <mergeCell ref="I15:J15"/>
    <mergeCell ref="I16:J16"/>
    <mergeCell ref="I24:J24"/>
    <mergeCell ref="I12:J12"/>
    <mergeCell ref="I13:J13"/>
    <mergeCell ref="I17:J17"/>
    <mergeCell ref="I18:J18"/>
    <mergeCell ref="I22:J22"/>
    <mergeCell ref="I11:J11"/>
    <mergeCell ref="I5:J5"/>
    <mergeCell ref="I6:J6"/>
    <mergeCell ref="I7:J7"/>
    <mergeCell ref="I8:J8"/>
    <mergeCell ref="I9:J9"/>
    <mergeCell ref="I10:J10"/>
  </mergeCells>
  <conditionalFormatting sqref="C432">
    <cfRule type="expression" dxfId="57" priority="37">
      <formula>AND(IF(COUNTIF($K432, "BME*"),TRUE,FALSE), OR($H432=2,$H432=8, $H432=10, $H432=11))</formula>
    </cfRule>
  </conditionalFormatting>
  <conditionalFormatting sqref="C860">
    <cfRule type="expression" dxfId="56" priority="13">
      <formula>AND(IF(COUNTIF($K860, "BME*"),TRUE,FALSE), OR($H860=2,$H860=8, $H860=10, $H860=11))</formula>
    </cfRule>
  </conditionalFormatting>
  <conditionalFormatting sqref="K1:K2 K432:K443 K637 K639 K641 K647:K665 K667 K673:K687 K878:K1048576">
    <cfRule type="expression" dxfId="55" priority="56">
      <formula>AND(IF(COUNTIF($K1, "BME*"),TRUE,FALSE), OR($H1=2,$H1=8, $H1=10, $H1=11))</formula>
    </cfRule>
  </conditionalFormatting>
  <conditionalFormatting sqref="K4:K254">
    <cfRule type="expression" dxfId="54" priority="35">
      <formula>AND(IF(COUNTIF($K4, "BME*"),TRUE,FALSE), OR($H4=2,$H4=8, $H4=10, $H4=11))</formula>
    </cfRule>
  </conditionalFormatting>
  <conditionalFormatting sqref="K257">
    <cfRule type="expression" dxfId="53" priority="34">
      <formula>AND(IF(COUNTIF($K257, "BME*"),TRUE,FALSE), OR($H257=2,$H257=8, $H257=10, $H257=11))</formula>
    </cfRule>
  </conditionalFormatting>
  <conditionalFormatting sqref="K260:K266">
    <cfRule type="expression" dxfId="52" priority="32">
      <formula>AND(IF(COUNTIF($K260, "BME*"),TRUE,FALSE), OR($H260=2,$H260=8, $H260=10, $H260=11))</formula>
    </cfRule>
  </conditionalFormatting>
  <conditionalFormatting sqref="K271:K281">
    <cfRule type="expression" dxfId="51" priority="31">
      <formula>AND(IF(COUNTIF($K271, "BME*"),TRUE,FALSE), OR($H271=2,$H271=8, $H271=10, $H271=11))</formula>
    </cfRule>
  </conditionalFormatting>
  <conditionalFormatting sqref="K283:K308">
    <cfRule type="expression" dxfId="50" priority="51">
      <formula>AND(IF(COUNTIF($K283, "BME*"),TRUE,FALSE), OR($H283=2,$H283=8, $H283=10, $H283=11))</formula>
    </cfRule>
  </conditionalFormatting>
  <conditionalFormatting sqref="K310:K323">
    <cfRule type="expression" dxfId="49" priority="7">
      <formula>AND(IF(COUNTIF($K310, "BME*"),TRUE,FALSE), OR($H310=2,$H310=8, $H310=10, $H310=11))</formula>
    </cfRule>
  </conditionalFormatting>
  <conditionalFormatting sqref="K325:K334">
    <cfRule type="expression" dxfId="48" priority="46">
      <formula>AND(IF(COUNTIF($K325, "BME*"),TRUE,FALSE), OR($H325=2,$H325=8, $H325=10, $H325=11))</formula>
    </cfRule>
  </conditionalFormatting>
  <conditionalFormatting sqref="K336:K345">
    <cfRule type="expression" dxfId="47" priority="45">
      <formula>AND(IF(COUNTIF($K336, "BME*"),TRUE,FALSE), OR($H336=2,$H336=8, $H336=10, $H336=11))</formula>
    </cfRule>
  </conditionalFormatting>
  <conditionalFormatting sqref="K347:K356">
    <cfRule type="expression" dxfId="46" priority="44">
      <formula>AND(IF(COUNTIF($K347, "BME*"),TRUE,FALSE), OR($H347=2,$H347=8, $H347=10, $H347=11))</formula>
    </cfRule>
  </conditionalFormatting>
  <conditionalFormatting sqref="K358:K367">
    <cfRule type="expression" dxfId="45" priority="43">
      <formula>AND(IF(COUNTIF($K358, "BME*"),TRUE,FALSE), OR($H358=2,$H358=8, $H358=10, $H358=11))</formula>
    </cfRule>
  </conditionalFormatting>
  <conditionalFormatting sqref="K369:K378">
    <cfRule type="expression" dxfId="44" priority="42">
      <formula>AND(IF(COUNTIF($K369, "BME*"),TRUE,FALSE), OR($H369=2,$H369=8, $H369=10, $H369=11))</formula>
    </cfRule>
  </conditionalFormatting>
  <conditionalFormatting sqref="K380:K393">
    <cfRule type="expression" dxfId="43" priority="6">
      <formula>AND(IF(COUNTIF($K380, "BME*"),TRUE,FALSE), OR($H380=2,$H380=8, $H380=10, $H380=11))</formula>
    </cfRule>
  </conditionalFormatting>
  <conditionalFormatting sqref="K395:K404">
    <cfRule type="expression" dxfId="42" priority="40">
      <formula>AND(IF(COUNTIF($K395, "BME*"),TRUE,FALSE), OR($H395=2,$H395=8, $H395=10, $H395=11))</formula>
    </cfRule>
  </conditionalFormatting>
  <conditionalFormatting sqref="K406:K419">
    <cfRule type="expression" dxfId="41" priority="5">
      <formula>AND(IF(COUNTIF($K406, "BME*"),TRUE,FALSE), OR($H406=2,$H406=8, $H406=10, $H406=11))</formula>
    </cfRule>
  </conditionalFormatting>
  <conditionalFormatting sqref="K421:K430">
    <cfRule type="expression" dxfId="40" priority="38">
      <formula>AND(IF(COUNTIF($K421, "BME*"),TRUE,FALSE), OR($H421=2,$H421=8, $H421=10, $H421=11))</formula>
    </cfRule>
  </conditionalFormatting>
  <conditionalFormatting sqref="K446:K633">
    <cfRule type="expression" dxfId="39" priority="26">
      <formula>AND(IF(COUNTIF($K446, "BME*"),TRUE,FALSE), OR($H446=2,$H446=8, $H446=10, $H446=11))</formula>
    </cfRule>
  </conditionalFormatting>
  <conditionalFormatting sqref="K638">
    <cfRule type="expression" dxfId="38" priority="59">
      <formula>AND(IF(COUNTIF($K638, "BME*"),TRUE,FALSE), OR($H640=2,$H640=8, $H640=10, $H640=11))</formula>
    </cfRule>
  </conditionalFormatting>
  <conditionalFormatting sqref="K640 K666">
    <cfRule type="expression" dxfId="37" priority="57">
      <formula>AND(IF(COUNTIF($K640, "BME*"),TRUE,FALSE), OR($H644=2,$H644=8, $H644=10, $H644=11))</formula>
    </cfRule>
  </conditionalFormatting>
  <conditionalFormatting sqref="K643 K669">
    <cfRule type="expression" dxfId="36" priority="60">
      <formula>AND(IF(COUNTIF($K643, "BME*"),TRUE,FALSE), OR($H641=2,$H641=8, $H641=10, $H641=11))</formula>
    </cfRule>
  </conditionalFormatting>
  <conditionalFormatting sqref="K644 K670">
    <cfRule type="expression" dxfId="35" priority="61">
      <formula>AND(IF(COUNTIF($K644, "BME*"),TRUE,FALSE), OR($H640=2,$H640=8, $H640=10, $H640=11))</formula>
    </cfRule>
  </conditionalFormatting>
  <conditionalFormatting sqref="K645 K671">
    <cfRule type="expression" dxfId="34" priority="58">
      <formula>AND(IF(COUNTIF($K645, "BME*"),TRUE,FALSE), OR($H646=2,$H646=8, $H646=10, $H646=11))</formula>
    </cfRule>
  </conditionalFormatting>
  <conditionalFormatting sqref="K688">
    <cfRule type="expression" dxfId="33" priority="62">
      <formula>AND(IF(COUNTIF($K688, "BME*"),TRUE,FALSE), OR(#REF!=2,#REF!=8, #REF!=10, #REF!=11))</formula>
    </cfRule>
  </conditionalFormatting>
  <conditionalFormatting sqref="K713:K733">
    <cfRule type="expression" dxfId="32" priority="22">
      <formula>AND(IF(COUNTIF($K713, "BME*"),TRUE,FALSE), OR($H713=2,$H713=8, $H713=10, $H713=11))</formula>
    </cfRule>
  </conditionalFormatting>
  <conditionalFormatting sqref="K735:K744">
    <cfRule type="expression" dxfId="31" priority="21">
      <formula>AND(IF(COUNTIF($K735, "BME*"),TRUE,FALSE), OR($H735=2,$H735=8, $H735=10, $H735=11))</formula>
    </cfRule>
  </conditionalFormatting>
  <conditionalFormatting sqref="K746:K755">
    <cfRule type="expression" dxfId="30" priority="8">
      <formula>AND(IF(COUNTIF($K746, "BME*"),TRUE,FALSE), OR($H746=2,$H746=8, $H746=10, $H746=11))</formula>
    </cfRule>
  </conditionalFormatting>
  <conditionalFormatting sqref="K757:K766">
    <cfRule type="expression" dxfId="29" priority="20">
      <formula>AND(IF(COUNTIF($K757, "BME*"),TRUE,FALSE), OR($H757=2,$H757=8, $H757=10, $H757=11))</formula>
    </cfRule>
  </conditionalFormatting>
  <conditionalFormatting sqref="K768:K777">
    <cfRule type="expression" dxfId="28" priority="19">
      <formula>AND(IF(COUNTIF($K768, "BME*"),TRUE,FALSE), OR($H768=2,$H768=8, $H768=10, $H768=11))</formula>
    </cfRule>
  </conditionalFormatting>
  <conditionalFormatting sqref="K779:K788">
    <cfRule type="expression" dxfId="27" priority="18">
      <formula>AND(IF(COUNTIF($K779, "BME*"),TRUE,FALSE), OR($H779=2,$H779=8, $H779=10, $H779=11))</formula>
    </cfRule>
  </conditionalFormatting>
  <conditionalFormatting sqref="K790:K799">
    <cfRule type="expression" dxfId="26" priority="17">
      <formula>AND(IF(COUNTIF($K790, "BME*"),TRUE,FALSE), OR($H790=2,$H790=8, $H790=10, $H790=11))</formula>
    </cfRule>
  </conditionalFormatting>
  <conditionalFormatting sqref="K801:K810">
    <cfRule type="expression" dxfId="25" priority="16">
      <formula>AND(IF(COUNTIF($K801, "BME*"),TRUE,FALSE), OR($H801=2,$H801=8, $H801=10, $H801=11))</formula>
    </cfRule>
  </conditionalFormatting>
  <conditionalFormatting sqref="K812:K825">
    <cfRule type="expression" dxfId="24" priority="15">
      <formula>AND(IF(COUNTIF($K812, "BME*"),TRUE,FALSE), OR($H812=2,$H812=8, $H812=10, $H812=11))</formula>
    </cfRule>
  </conditionalFormatting>
  <conditionalFormatting sqref="K830:K843">
    <cfRule type="expression" dxfId="23" priority="11">
      <formula>AND(IF(COUNTIF($K830, "BME*"),TRUE,FALSE), OR($H830=2,$H830=8, $H830=10, $H830=11))</formula>
    </cfRule>
  </conditionalFormatting>
  <conditionalFormatting sqref="K846:K855">
    <cfRule type="expression" dxfId="22" priority="9">
      <formula>AND(IF(COUNTIF($K846, "BME*"),TRUE,FALSE), OR($H846=2,$H846=8, $H846=10, $H846=11))</formula>
    </cfRule>
  </conditionalFormatting>
  <conditionalFormatting sqref="K860:K864">
    <cfRule type="expression" dxfId="21" priority="25">
      <formula>AND(IF(COUNTIF($K860, "BME*"),TRUE,FALSE), OR($H860=2,$H860=8, $H860=10, $H860=11))</formula>
    </cfRule>
  </conditionalFormatting>
  <conditionalFormatting sqref="K866:K876">
    <cfRule type="expression" dxfId="20" priority="30">
      <formula>AND(IF(COUNTIF($K866, "BME*"),TRUE,FALSE), OR($H866=2,$H866=8, $H866=10, $H866=11))</formula>
    </cfRule>
  </conditionalFormatting>
  <conditionalFormatting sqref="L7">
    <cfRule type="expression" dxfId="19" priority="49">
      <formula>AND(IF(COUNTIF($K7, "BME*"),TRUE,FALSE), OR($H7=2,$H7=8, $H7=10, $H7=11))</formula>
    </cfRule>
  </conditionalFormatting>
  <conditionalFormatting sqref="L12">
    <cfRule type="expression" dxfId="18" priority="48">
      <formula>AND(IF(COUNTIF($K12, "BME*"),TRUE,FALSE), OR($H12=2,$H12=8, $H12=10, $H12=11))</formula>
    </cfRule>
  </conditionalFormatting>
  <conditionalFormatting sqref="L24">
    <cfRule type="expression" dxfId="17" priority="50">
      <formula>AND(IF(COUNTIF($K24, "BME*"),TRUE,FALSE), OR($H24=2,$H24=8, $H24=10, $H24=11))</formula>
    </cfRule>
  </conditionalFormatting>
  <conditionalFormatting sqref="L449">
    <cfRule type="expression" dxfId="16" priority="27">
      <formula>AND(IF(COUNTIF($K449, "BME*"),TRUE,FALSE), OR($H449=2,$H449=8, $H449=10, $H449=11))</formula>
    </cfRule>
  </conditionalFormatting>
  <conditionalFormatting sqref="S102:S106">
    <cfRule type="expression" dxfId="15" priority="3">
      <formula>$AV102="No Match"</formula>
    </cfRule>
  </conditionalFormatting>
  <conditionalFormatting sqref="S109:S111">
    <cfRule type="expression" dxfId="14" priority="2">
      <formula>$AV109="No Match"</formula>
    </cfRule>
  </conditionalFormatting>
  <conditionalFormatting sqref="S118:S119">
    <cfRule type="expression" dxfId="13" priority="1">
      <formula>$AV118="No Match"</formula>
    </cfRule>
  </conditionalFormatting>
  <printOptions gridLines="1"/>
  <pageMargins left="0.74803149606299213" right="0.74803149606299213" top="0.98425196850393704" bottom="0.98425196850393704" header="0.51181102362204722" footer="0.51181102362204722"/>
  <pageSetup paperSize="8" scale="52" fitToHeight="0" orientation="landscape" r:id="rId1"/>
  <headerFooter alignWithMargins="0">
    <oddHeader>&amp;C&amp;F</oddHeader>
    <oddFooter>&amp;R&amp;D&amp;C&amp;"Calibri"&amp;11&amp;K000000&amp;Z&amp;F_x000D_&amp;1#&amp;"Calibri"&amp;10&amp;KFFFFFFRioTintoNonBusiness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7BD5-A279-451B-B7FC-2A055B93BA7F}">
  <sheetPr codeName="Sheet1">
    <pageSetUpPr fitToPage="1"/>
  </sheetPr>
  <dimension ref="A1:AY1318"/>
  <sheetViews>
    <sheetView topLeftCell="A546" zoomScale="85" zoomScaleNormal="85" workbookViewId="0">
      <selection activeCell="O585" activeCellId="1" sqref="T585 O585"/>
    </sheetView>
  </sheetViews>
  <sheetFormatPr defaultColWidth="9.1796875" defaultRowHeight="13" x14ac:dyDescent="0.3"/>
  <cols>
    <col min="1" max="1" width="12.81640625" style="5" customWidth="1"/>
    <col min="2" max="2" width="11.54296875" style="5" customWidth="1"/>
    <col min="3" max="3" width="8.54296875" style="5" bestFit="1" customWidth="1"/>
    <col min="4" max="4" width="7.54296875" style="5" bestFit="1" customWidth="1"/>
    <col min="5" max="5" width="10" style="75" bestFit="1" customWidth="1"/>
    <col min="6" max="7" width="8.1796875" style="75" bestFit="1" customWidth="1"/>
    <col min="8" max="8" width="7.453125" style="5" bestFit="1" customWidth="1"/>
    <col min="9" max="9" width="6.453125" style="5" bestFit="1" customWidth="1"/>
    <col min="10" max="10" width="13.54296875" style="5" customWidth="1"/>
    <col min="11" max="11" width="14.1796875" style="1" bestFit="1" customWidth="1"/>
    <col min="12" max="12" width="12.453125" style="1" bestFit="1" customWidth="1"/>
    <col min="13" max="13" width="7.1796875" style="1" bestFit="1" customWidth="1"/>
    <col min="14" max="14" width="22.1796875" style="1" bestFit="1" customWidth="1"/>
    <col min="15" max="15" width="9.81640625" style="1" bestFit="1" customWidth="1"/>
    <col min="16" max="16" width="41.26953125" style="1" customWidth="1"/>
    <col min="17" max="17" width="57" style="1" bestFit="1" customWidth="1"/>
    <col min="18" max="18" width="18.54296875" style="1" bestFit="1" customWidth="1"/>
    <col min="19" max="19" width="11.7265625" style="1" bestFit="1" customWidth="1"/>
    <col min="20" max="20" width="13.54296875" style="1" customWidth="1"/>
    <col min="21" max="21" width="11.7265625" style="1" bestFit="1" customWidth="1"/>
    <col min="22" max="22" width="11.81640625" style="1" bestFit="1" customWidth="1"/>
    <col min="23" max="23" width="22.54296875" style="1" customWidth="1"/>
    <col min="24" max="24" width="9.81640625" style="18" bestFit="1" customWidth="1"/>
    <col min="25" max="25" width="47.453125" style="1" bestFit="1" customWidth="1"/>
    <col min="26" max="26" width="7.453125" style="201" bestFit="1" customWidth="1"/>
    <col min="27" max="27" width="7.54296875" style="201" bestFit="1" customWidth="1"/>
    <col min="28" max="28" width="13.1796875" style="1" bestFit="1" customWidth="1"/>
    <col min="29" max="29" width="11.81640625" style="1" bestFit="1" customWidth="1"/>
    <col min="30" max="30" width="12.54296875" style="1" bestFit="1" customWidth="1"/>
    <col min="31" max="31" width="11.453125" style="1" bestFit="1" customWidth="1"/>
    <col min="32" max="32" width="10.453125" style="1" bestFit="1" customWidth="1"/>
    <col min="33" max="33" width="6.7265625" style="8" bestFit="1" customWidth="1"/>
    <col min="34" max="37" width="8.54296875" style="8" bestFit="1" customWidth="1"/>
    <col min="38" max="38" width="6.1796875" style="200" customWidth="1"/>
    <col min="39" max="39" width="12.1796875" style="1" customWidth="1"/>
    <col min="40" max="40" width="13.453125" style="2" bestFit="1" customWidth="1"/>
    <col min="41" max="41" width="12.7265625" style="2" bestFit="1" customWidth="1"/>
    <col min="42" max="42" width="10.453125" style="2" bestFit="1" customWidth="1"/>
    <col min="43" max="43" width="16" style="2" bestFit="1" customWidth="1"/>
    <col min="44" max="51" width="15" style="2" bestFit="1" customWidth="1"/>
    <col min="52" max="16384" width="9.1796875" style="4"/>
  </cols>
  <sheetData>
    <row r="1" spans="1:51" s="6" customFormat="1" ht="14.5" x14ac:dyDescent="0.35">
      <c r="A1" s="6" t="s">
        <v>836</v>
      </c>
      <c r="B1" s="6" t="s">
        <v>835</v>
      </c>
      <c r="C1" s="6" t="s">
        <v>834</v>
      </c>
      <c r="D1" s="6" t="s">
        <v>833</v>
      </c>
      <c r="E1" s="51" t="s">
        <v>832</v>
      </c>
      <c r="F1" s="28" t="s">
        <v>831</v>
      </c>
      <c r="G1" s="28" t="s">
        <v>830</v>
      </c>
      <c r="H1" s="6" t="s">
        <v>829</v>
      </c>
      <c r="I1" s="6" t="s">
        <v>828</v>
      </c>
      <c r="J1" s="6" t="s">
        <v>827</v>
      </c>
      <c r="K1" s="6" t="s">
        <v>826</v>
      </c>
      <c r="L1" s="6" t="s">
        <v>825</v>
      </c>
      <c r="M1" s="6" t="s">
        <v>813</v>
      </c>
      <c r="N1" s="262" t="s">
        <v>823</v>
      </c>
      <c r="O1" s="6" t="s">
        <v>822</v>
      </c>
      <c r="P1" s="262" t="s">
        <v>821</v>
      </c>
      <c r="Q1" s="6" t="s">
        <v>820</v>
      </c>
      <c r="R1" s="6" t="s">
        <v>819</v>
      </c>
      <c r="S1" s="1" t="s">
        <v>818</v>
      </c>
      <c r="T1" s="1" t="s">
        <v>817</v>
      </c>
      <c r="U1" s="1" t="s">
        <v>816</v>
      </c>
      <c r="V1" s="6" t="s">
        <v>815</v>
      </c>
      <c r="W1" s="6" t="s">
        <v>814</v>
      </c>
      <c r="X1" s="89" t="s">
        <v>813</v>
      </c>
      <c r="Y1" s="9" t="s">
        <v>812</v>
      </c>
      <c r="Z1" s="225" t="s">
        <v>811</v>
      </c>
      <c r="AA1" s="9" t="s">
        <v>810</v>
      </c>
      <c r="AB1" s="9" t="s">
        <v>809</v>
      </c>
      <c r="AC1" s="9" t="s">
        <v>808</v>
      </c>
      <c r="AD1" s="9" t="s">
        <v>807</v>
      </c>
      <c r="AE1" s="9" t="s">
        <v>806</v>
      </c>
      <c r="AF1" s="9" t="s">
        <v>805</v>
      </c>
      <c r="AG1" s="28" t="s">
        <v>1985</v>
      </c>
      <c r="AH1" s="261" t="s">
        <v>803</v>
      </c>
      <c r="AI1" s="261" t="s">
        <v>802</v>
      </c>
      <c r="AJ1" s="261" t="s">
        <v>801</v>
      </c>
      <c r="AK1" s="261" t="s">
        <v>800</v>
      </c>
      <c r="AL1" s="260"/>
      <c r="AM1" s="50"/>
      <c r="AN1" s="90" t="s">
        <v>799</v>
      </c>
      <c r="AO1" s="90" t="s">
        <v>798</v>
      </c>
      <c r="AP1" s="90" t="s">
        <v>797</v>
      </c>
      <c r="AQ1" s="90" t="s">
        <v>796</v>
      </c>
      <c r="AR1" s="90" t="s">
        <v>795</v>
      </c>
      <c r="AS1" s="90" t="s">
        <v>794</v>
      </c>
      <c r="AT1" s="90" t="s">
        <v>793</v>
      </c>
      <c r="AU1" s="90" t="s">
        <v>792</v>
      </c>
      <c r="AV1" s="90" t="s">
        <v>791</v>
      </c>
      <c r="AW1" s="90" t="s">
        <v>790</v>
      </c>
      <c r="AX1" s="90" t="s">
        <v>789</v>
      </c>
      <c r="AY1" s="90" t="s">
        <v>788</v>
      </c>
    </row>
    <row r="2" spans="1:51" s="6" customFormat="1" ht="15.5" x14ac:dyDescent="0.35">
      <c r="A2" s="71"/>
      <c r="B2" s="53" t="s">
        <v>1984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226"/>
      <c r="T2" s="226"/>
      <c r="U2" s="226"/>
      <c r="V2" s="71"/>
      <c r="W2" s="226"/>
      <c r="X2" s="227"/>
      <c r="Y2" s="226"/>
      <c r="Z2" s="225"/>
      <c r="AA2" s="225"/>
      <c r="AB2" s="7"/>
      <c r="AC2" s="7"/>
      <c r="AD2" s="7"/>
      <c r="AE2" s="7"/>
      <c r="AF2" s="7"/>
      <c r="AG2" s="8"/>
      <c r="AH2" s="8"/>
      <c r="AI2" s="8"/>
      <c r="AJ2" s="8"/>
      <c r="AK2" s="8"/>
      <c r="AL2" s="200"/>
      <c r="AM2" s="50"/>
      <c r="AN2" s="2"/>
      <c r="AO2" s="2"/>
      <c r="AP2" s="2"/>
      <c r="AQ2" s="2"/>
      <c r="AR2" s="2"/>
      <c r="AS2" s="1"/>
      <c r="AT2" s="1"/>
      <c r="AU2" s="2"/>
      <c r="AV2" s="1"/>
      <c r="AW2" s="1"/>
      <c r="AX2" s="1"/>
      <c r="AY2" s="1"/>
    </row>
    <row r="3" spans="1:51" s="6" customFormat="1" x14ac:dyDescent="0.3">
      <c r="E3" s="51"/>
      <c r="F3" s="50"/>
      <c r="G3" s="50"/>
      <c r="S3" s="1"/>
      <c r="T3" s="1"/>
      <c r="U3" s="1"/>
      <c r="W3" s="1"/>
      <c r="X3" s="18"/>
      <c r="Y3" s="7"/>
      <c r="Z3" s="225"/>
      <c r="AA3" s="225"/>
      <c r="AB3" s="7"/>
      <c r="AC3" s="7"/>
      <c r="AD3" s="7"/>
      <c r="AE3" s="7"/>
      <c r="AF3" s="7"/>
      <c r="AG3" s="8"/>
      <c r="AH3" s="8"/>
      <c r="AI3" s="8"/>
      <c r="AJ3" s="8"/>
      <c r="AK3" s="8"/>
      <c r="AL3" s="200"/>
      <c r="AM3" s="50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s="6" customFormat="1" ht="13.5" thickBot="1" x14ac:dyDescent="0.35">
      <c r="E4" s="51"/>
      <c r="F4" s="50"/>
      <c r="G4" s="50"/>
      <c r="S4" s="1"/>
      <c r="T4" s="1"/>
      <c r="U4" s="1"/>
      <c r="W4" s="1"/>
      <c r="X4" s="18"/>
      <c r="Y4" s="7"/>
      <c r="Z4" s="225"/>
      <c r="AA4" s="225"/>
      <c r="AB4" s="7"/>
      <c r="AC4" s="7"/>
      <c r="AD4" s="7"/>
      <c r="AE4" s="7"/>
      <c r="AF4" s="7"/>
      <c r="AG4" s="8"/>
      <c r="AH4" s="8"/>
      <c r="AI4" s="8"/>
      <c r="AJ4" s="8"/>
      <c r="AK4" s="8"/>
      <c r="AL4" s="200"/>
      <c r="AM4" s="50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ht="13.5" thickBot="1" x14ac:dyDescent="0.35">
      <c r="A5" s="31" t="s">
        <v>1983</v>
      </c>
      <c r="B5" s="1" t="s">
        <v>1905</v>
      </c>
      <c r="C5" s="2" t="s">
        <v>459</v>
      </c>
      <c r="D5" s="2">
        <v>130</v>
      </c>
      <c r="E5" s="3">
        <v>2</v>
      </c>
      <c r="F5" s="3">
        <v>3</v>
      </c>
      <c r="G5" s="3">
        <v>0</v>
      </c>
      <c r="H5" s="62"/>
      <c r="I5" s="263"/>
      <c r="J5" s="264"/>
      <c r="K5" s="2"/>
      <c r="L5" s="6"/>
      <c r="M5" s="6"/>
      <c r="N5" s="6"/>
      <c r="O5" s="6"/>
      <c r="P5" s="6"/>
      <c r="Q5" s="6"/>
      <c r="R5" s="6"/>
      <c r="V5" s="6"/>
      <c r="Y5" s="7"/>
      <c r="Z5" s="206"/>
      <c r="AA5" s="206"/>
      <c r="AB5" s="7"/>
      <c r="AC5" s="7"/>
      <c r="AD5" s="7"/>
      <c r="AE5" s="7"/>
      <c r="AF5" s="7"/>
    </row>
    <row r="6" spans="1:51" ht="13.5" thickBot="1" x14ac:dyDescent="0.35">
      <c r="A6" s="76" t="s">
        <v>1471</v>
      </c>
      <c r="B6" s="1" t="s">
        <v>1905</v>
      </c>
      <c r="C6" s="2" t="str">
        <f t="shared" ref="C6:C37" si="0">C5</f>
        <v>DIO1</v>
      </c>
      <c r="D6" s="2">
        <v>130</v>
      </c>
      <c r="E6" s="3">
        <v>2</v>
      </c>
      <c r="F6" s="3">
        <f t="shared" ref="F6:F37" si="1">F5</f>
        <v>3</v>
      </c>
      <c r="G6" s="3">
        <v>0</v>
      </c>
      <c r="H6" s="6"/>
      <c r="I6" s="263" t="s">
        <v>458</v>
      </c>
      <c r="J6" s="265"/>
      <c r="K6" s="1" t="s">
        <v>457</v>
      </c>
      <c r="L6" s="6"/>
      <c r="M6" s="6"/>
      <c r="N6" s="6"/>
      <c r="O6" s="6"/>
      <c r="P6" s="6"/>
      <c r="Q6" s="6"/>
      <c r="R6" s="6"/>
      <c r="V6" s="6"/>
      <c r="Y6" s="7"/>
      <c r="Z6" s="206"/>
      <c r="AA6" s="206"/>
      <c r="AB6" s="7"/>
      <c r="AC6" s="7"/>
      <c r="AD6" s="7"/>
      <c r="AE6" s="7"/>
      <c r="AF6" s="7"/>
    </row>
    <row r="7" spans="1:51" ht="13.5" thickBot="1" x14ac:dyDescent="0.35">
      <c r="A7" s="76" t="s">
        <v>1471</v>
      </c>
      <c r="B7" s="1" t="s">
        <v>1905</v>
      </c>
      <c r="C7" s="2" t="str">
        <f t="shared" si="0"/>
        <v>DIO1</v>
      </c>
      <c r="D7" s="2">
        <v>130</v>
      </c>
      <c r="E7" s="3">
        <v>2</v>
      </c>
      <c r="F7" s="3">
        <f t="shared" si="1"/>
        <v>3</v>
      </c>
      <c r="G7" s="3">
        <v>0</v>
      </c>
      <c r="H7" s="6"/>
      <c r="I7" s="263" t="s">
        <v>456</v>
      </c>
      <c r="J7" s="265"/>
      <c r="K7" s="2" t="s">
        <v>455</v>
      </c>
      <c r="L7" s="6"/>
      <c r="M7" s="70" t="s">
        <v>454</v>
      </c>
      <c r="N7" s="70"/>
      <c r="O7" s="70" t="s">
        <v>453</v>
      </c>
      <c r="P7" s="70"/>
      <c r="Q7" s="70" t="s">
        <v>452</v>
      </c>
      <c r="R7" s="6"/>
      <c r="V7" s="6"/>
      <c r="Y7" s="7"/>
      <c r="Z7" s="206"/>
      <c r="AA7" s="206"/>
      <c r="AB7" s="7"/>
      <c r="AC7" s="7"/>
      <c r="AD7" s="7"/>
      <c r="AE7" s="7"/>
      <c r="AF7" s="7"/>
    </row>
    <row r="8" spans="1:51" ht="13.5" thickBot="1" x14ac:dyDescent="0.35">
      <c r="A8" s="76" t="s">
        <v>1471</v>
      </c>
      <c r="B8" s="1" t="s">
        <v>1905</v>
      </c>
      <c r="C8" s="2" t="str">
        <f t="shared" si="0"/>
        <v>DIO1</v>
      </c>
      <c r="D8" s="2">
        <v>130</v>
      </c>
      <c r="E8" s="3">
        <v>2</v>
      </c>
      <c r="F8" s="3">
        <f t="shared" si="1"/>
        <v>3</v>
      </c>
      <c r="G8" s="3">
        <v>0</v>
      </c>
      <c r="H8" s="27">
        <v>0</v>
      </c>
      <c r="I8" s="263" t="s">
        <v>451</v>
      </c>
      <c r="J8" s="264"/>
      <c r="K8" s="1" t="s">
        <v>450</v>
      </c>
      <c r="L8" s="14" t="s">
        <v>1020</v>
      </c>
      <c r="M8" s="70">
        <f>+COUNTA(L9:L108)</f>
        <v>72</v>
      </c>
      <c r="N8" s="70"/>
      <c r="O8" s="70">
        <f>+COUNTBLANK(O9:O108)</f>
        <v>55</v>
      </c>
      <c r="P8" s="70"/>
      <c r="Q8" s="69">
        <f>+O8/M8</f>
        <v>0.76388888888888884</v>
      </c>
      <c r="Y8" s="7"/>
      <c r="Z8" s="206"/>
      <c r="AA8" s="206"/>
      <c r="AB8" s="7"/>
      <c r="AC8" s="7"/>
      <c r="AD8" s="7"/>
      <c r="AE8" s="7"/>
      <c r="AF8" s="7"/>
    </row>
    <row r="9" spans="1:51" x14ac:dyDescent="0.3">
      <c r="A9" s="76" t="s">
        <v>1471</v>
      </c>
      <c r="B9" s="1" t="s">
        <v>1905</v>
      </c>
      <c r="C9" s="2" t="str">
        <f t="shared" si="0"/>
        <v>DIO1</v>
      </c>
      <c r="D9" s="2">
        <v>130</v>
      </c>
      <c r="E9" s="3">
        <v>2</v>
      </c>
      <c r="F9" s="3">
        <f t="shared" si="1"/>
        <v>3</v>
      </c>
      <c r="G9" s="3">
        <v>0</v>
      </c>
      <c r="H9" s="62">
        <f>+H8+1</f>
        <v>1</v>
      </c>
      <c r="I9" s="56">
        <v>0</v>
      </c>
      <c r="J9" s="61" t="s">
        <v>316</v>
      </c>
      <c r="K9" s="2" t="s">
        <v>315</v>
      </c>
      <c r="L9" s="1" t="s">
        <v>21</v>
      </c>
      <c r="M9" s="2">
        <v>4</v>
      </c>
      <c r="N9" s="1" t="s">
        <v>1979</v>
      </c>
      <c r="O9" s="1" t="s">
        <v>72</v>
      </c>
      <c r="Q9" s="1" t="s">
        <v>1982</v>
      </c>
      <c r="R9" s="1" t="s">
        <v>24</v>
      </c>
      <c r="S9" s="13" t="s">
        <v>1219</v>
      </c>
      <c r="T9" s="1" t="s">
        <v>1979</v>
      </c>
      <c r="V9" s="1" t="str">
        <f t="shared" ref="V9:V40" si="2">+CONCATENATE(E9,".",F9,"\",G9,".",H9,":",I9)</f>
        <v>2.3\0.1:0</v>
      </c>
      <c r="W9" s="1" t="s">
        <v>1978</v>
      </c>
      <c r="X9" s="3">
        <v>0</v>
      </c>
      <c r="Y9" s="7"/>
      <c r="Z9" s="206" t="s">
        <v>1198</v>
      </c>
      <c r="AA9" s="206"/>
      <c r="AB9" s="7"/>
      <c r="AC9" s="7"/>
      <c r="AD9" s="7"/>
      <c r="AE9" s="7"/>
      <c r="AF9" s="7"/>
      <c r="AG9" s="3" t="s">
        <v>768</v>
      </c>
      <c r="AH9" s="3"/>
      <c r="AI9" s="3">
        <v>1</v>
      </c>
      <c r="AJ9" s="12"/>
      <c r="AK9" s="12"/>
      <c r="AM9" s="3"/>
    </row>
    <row r="10" spans="1:51" x14ac:dyDescent="0.3">
      <c r="A10" s="5" t="str">
        <f t="shared" ref="A10:A40" si="3">A9</f>
        <v>BBD130</v>
      </c>
      <c r="B10" s="1" t="s">
        <v>1905</v>
      </c>
      <c r="C10" s="2" t="str">
        <f t="shared" si="0"/>
        <v>DIO1</v>
      </c>
      <c r="D10" s="2">
        <v>130</v>
      </c>
      <c r="E10" s="3">
        <v>2</v>
      </c>
      <c r="F10" s="3">
        <f t="shared" si="1"/>
        <v>3</v>
      </c>
      <c r="G10" s="3">
        <v>0</v>
      </c>
      <c r="H10" s="60">
        <f>H9</f>
        <v>1</v>
      </c>
      <c r="I10" s="54">
        <f t="shared" ref="I10:I40" si="4">+I9+1</f>
        <v>1</v>
      </c>
      <c r="J10" s="61"/>
      <c r="L10" s="1" t="s">
        <v>21</v>
      </c>
      <c r="M10" s="2">
        <v>4</v>
      </c>
      <c r="N10" s="1" t="s">
        <v>1979</v>
      </c>
      <c r="O10" s="12" t="s">
        <v>320</v>
      </c>
      <c r="P10" s="12"/>
      <c r="Q10" s="243" t="s">
        <v>1218</v>
      </c>
      <c r="R10" s="12" t="s">
        <v>18</v>
      </c>
      <c r="S10" s="13" t="s">
        <v>1217</v>
      </c>
      <c r="T10" s="1" t="s">
        <v>1979</v>
      </c>
      <c r="V10" s="1" t="str">
        <f t="shared" si="2"/>
        <v>2.3\0.1:1</v>
      </c>
      <c r="W10" s="1" t="s">
        <v>1978</v>
      </c>
      <c r="X10" s="3">
        <v>0</v>
      </c>
      <c r="Y10" s="7"/>
      <c r="Z10" s="206" t="s">
        <v>1198</v>
      </c>
      <c r="AA10" s="206"/>
      <c r="AB10" s="7"/>
      <c r="AC10" s="7"/>
      <c r="AD10" s="7"/>
      <c r="AE10" s="7"/>
      <c r="AF10" s="7"/>
      <c r="AG10" s="3" t="s">
        <v>768</v>
      </c>
      <c r="AH10" s="3"/>
      <c r="AI10" s="3">
        <v>2</v>
      </c>
      <c r="AJ10" s="12"/>
      <c r="AK10" s="12"/>
      <c r="AL10" s="242"/>
      <c r="AM10" s="3"/>
    </row>
    <row r="11" spans="1:51" x14ac:dyDescent="0.3">
      <c r="A11" s="5" t="str">
        <f t="shared" si="3"/>
        <v>BBD130</v>
      </c>
      <c r="B11" s="1" t="s">
        <v>1905</v>
      </c>
      <c r="C11" s="2" t="str">
        <f t="shared" si="0"/>
        <v>DIO1</v>
      </c>
      <c r="D11" s="2">
        <v>130</v>
      </c>
      <c r="E11" s="3">
        <v>2</v>
      </c>
      <c r="F11" s="3">
        <f t="shared" si="1"/>
        <v>3</v>
      </c>
      <c r="G11" s="3">
        <v>0</v>
      </c>
      <c r="H11" s="60">
        <f>H9</f>
        <v>1</v>
      </c>
      <c r="I11" s="54">
        <f t="shared" si="4"/>
        <v>2</v>
      </c>
      <c r="J11" s="61"/>
      <c r="K11" s="30"/>
      <c r="L11" s="1" t="s">
        <v>21</v>
      </c>
      <c r="M11" s="2">
        <v>4</v>
      </c>
      <c r="N11" s="1" t="s">
        <v>1979</v>
      </c>
      <c r="O11" s="12" t="s">
        <v>350</v>
      </c>
      <c r="P11" s="12"/>
      <c r="Q11" s="1" t="s">
        <v>1216</v>
      </c>
      <c r="R11" s="12" t="s">
        <v>18</v>
      </c>
      <c r="S11" s="13" t="s">
        <v>1215</v>
      </c>
      <c r="T11" s="1" t="s">
        <v>1979</v>
      </c>
      <c r="V11" s="1" t="str">
        <f t="shared" si="2"/>
        <v>2.3\0.1:2</v>
      </c>
      <c r="W11" s="1" t="s">
        <v>1978</v>
      </c>
      <c r="X11" s="3">
        <v>0</v>
      </c>
      <c r="Y11" s="7"/>
      <c r="Z11" s="206" t="s">
        <v>1198</v>
      </c>
      <c r="AA11" s="206"/>
      <c r="AB11" s="7"/>
      <c r="AC11" s="7"/>
      <c r="AD11" s="7"/>
      <c r="AE11" s="7"/>
      <c r="AF11" s="7"/>
      <c r="AG11" s="3" t="s">
        <v>768</v>
      </c>
      <c r="AH11" s="3"/>
      <c r="AI11" s="3">
        <v>3</v>
      </c>
      <c r="AJ11" s="12"/>
      <c r="AK11" s="12"/>
      <c r="AL11" s="242"/>
      <c r="AM11" s="3"/>
    </row>
    <row r="12" spans="1:51" x14ac:dyDescent="0.3">
      <c r="A12" s="5" t="str">
        <f t="shared" si="3"/>
        <v>BBD130</v>
      </c>
      <c r="B12" s="1" t="s">
        <v>1905</v>
      </c>
      <c r="C12" s="2" t="str">
        <f t="shared" si="0"/>
        <v>DIO1</v>
      </c>
      <c r="D12" s="2">
        <v>130</v>
      </c>
      <c r="E12" s="3">
        <v>2</v>
      </c>
      <c r="F12" s="3">
        <f t="shared" si="1"/>
        <v>3</v>
      </c>
      <c r="G12" s="3">
        <v>0</v>
      </c>
      <c r="H12" s="60">
        <f t="shared" ref="H12:H23" si="5">H9</f>
        <v>1</v>
      </c>
      <c r="I12" s="54">
        <f t="shared" si="4"/>
        <v>3</v>
      </c>
      <c r="J12" s="61"/>
      <c r="K12" s="30"/>
      <c r="L12" s="1" t="s">
        <v>21</v>
      </c>
      <c r="M12" s="2">
        <v>4</v>
      </c>
      <c r="N12" s="1" t="s">
        <v>1979</v>
      </c>
      <c r="O12" s="12" t="s">
        <v>348</v>
      </c>
      <c r="P12" s="12"/>
      <c r="Q12" s="1" t="s">
        <v>1214</v>
      </c>
      <c r="R12" s="12" t="s">
        <v>18</v>
      </c>
      <c r="S12" s="13" t="s">
        <v>1213</v>
      </c>
      <c r="T12" s="1" t="s">
        <v>1979</v>
      </c>
      <c r="V12" s="1" t="str">
        <f t="shared" si="2"/>
        <v>2.3\0.1:3</v>
      </c>
      <c r="W12" s="1" t="s">
        <v>1978</v>
      </c>
      <c r="X12" s="3">
        <v>0</v>
      </c>
      <c r="Y12" s="7"/>
      <c r="Z12" s="206" t="s">
        <v>1198</v>
      </c>
      <c r="AA12" s="206"/>
      <c r="AB12" s="7"/>
      <c r="AC12" s="7"/>
      <c r="AD12" s="7"/>
      <c r="AE12" s="7"/>
      <c r="AF12" s="7"/>
      <c r="AG12" s="3" t="s">
        <v>768</v>
      </c>
      <c r="AH12" s="3"/>
      <c r="AI12" s="3">
        <v>4</v>
      </c>
      <c r="AJ12" s="12"/>
      <c r="AK12" s="12"/>
      <c r="AL12" s="242"/>
      <c r="AM12" s="3"/>
    </row>
    <row r="13" spans="1:51" x14ac:dyDescent="0.3">
      <c r="A13" s="5" t="str">
        <f t="shared" si="3"/>
        <v>BBD130</v>
      </c>
      <c r="B13" s="1" t="s">
        <v>1905</v>
      </c>
      <c r="C13" s="2" t="str">
        <f t="shared" si="0"/>
        <v>DIO1</v>
      </c>
      <c r="D13" s="2">
        <v>130</v>
      </c>
      <c r="E13" s="3">
        <v>2</v>
      </c>
      <c r="F13" s="3">
        <f t="shared" si="1"/>
        <v>3</v>
      </c>
      <c r="G13" s="3">
        <v>0</v>
      </c>
      <c r="H13" s="60">
        <f t="shared" si="5"/>
        <v>1</v>
      </c>
      <c r="I13" s="54">
        <f t="shared" si="4"/>
        <v>4</v>
      </c>
      <c r="J13" s="61"/>
      <c r="K13" s="30"/>
      <c r="L13" s="1" t="s">
        <v>21</v>
      </c>
      <c r="M13" s="2">
        <v>4</v>
      </c>
      <c r="N13" s="1" t="s">
        <v>1979</v>
      </c>
      <c r="O13" s="12" t="s">
        <v>345</v>
      </c>
      <c r="P13" s="12"/>
      <c r="Q13" s="1" t="s">
        <v>1212</v>
      </c>
      <c r="R13" s="12" t="s">
        <v>18</v>
      </c>
      <c r="S13" s="13" t="s">
        <v>1211</v>
      </c>
      <c r="T13" s="1" t="s">
        <v>1979</v>
      </c>
      <c r="V13" s="1" t="str">
        <f t="shared" si="2"/>
        <v>2.3\0.1:4</v>
      </c>
      <c r="W13" s="1" t="s">
        <v>1978</v>
      </c>
      <c r="X13" s="3">
        <v>0</v>
      </c>
      <c r="Y13" s="7"/>
      <c r="Z13" s="206" t="s">
        <v>1198</v>
      </c>
      <c r="AA13" s="206"/>
      <c r="AB13" s="7"/>
      <c r="AC13" s="7"/>
      <c r="AD13" s="7"/>
      <c r="AE13" s="7"/>
      <c r="AF13" s="7"/>
      <c r="AG13" s="3" t="s">
        <v>768</v>
      </c>
      <c r="AH13" s="3"/>
      <c r="AI13" s="3">
        <v>5</v>
      </c>
      <c r="AJ13" s="12"/>
      <c r="AK13" s="12"/>
      <c r="AM13" s="3"/>
    </row>
    <row r="14" spans="1:51" x14ac:dyDescent="0.3">
      <c r="A14" s="5" t="str">
        <f t="shared" si="3"/>
        <v>BBD130</v>
      </c>
      <c r="B14" s="1" t="s">
        <v>1905</v>
      </c>
      <c r="C14" s="2" t="str">
        <f t="shared" si="0"/>
        <v>DIO1</v>
      </c>
      <c r="D14" s="2">
        <v>130</v>
      </c>
      <c r="E14" s="3">
        <v>2</v>
      </c>
      <c r="F14" s="3">
        <f t="shared" si="1"/>
        <v>3</v>
      </c>
      <c r="G14" s="3">
        <v>0</v>
      </c>
      <c r="H14" s="60">
        <f t="shared" si="5"/>
        <v>1</v>
      </c>
      <c r="I14" s="54">
        <f t="shared" si="4"/>
        <v>5</v>
      </c>
      <c r="J14" s="61"/>
      <c r="K14" s="30"/>
      <c r="L14" s="1" t="s">
        <v>21</v>
      </c>
      <c r="M14" s="2">
        <v>4</v>
      </c>
      <c r="N14" s="1" t="s">
        <v>1979</v>
      </c>
      <c r="O14" s="12" t="s">
        <v>342</v>
      </c>
      <c r="P14" s="12"/>
      <c r="Q14" s="1" t="s">
        <v>1981</v>
      </c>
      <c r="R14" s="12" t="s">
        <v>18</v>
      </c>
      <c r="S14" s="13" t="s">
        <v>1008</v>
      </c>
      <c r="T14" s="1" t="s">
        <v>1979</v>
      </c>
      <c r="V14" s="1" t="str">
        <f t="shared" si="2"/>
        <v>2.3\0.1:5</v>
      </c>
      <c r="W14" s="1" t="s">
        <v>1978</v>
      </c>
      <c r="X14" s="3">
        <v>0</v>
      </c>
      <c r="Y14" s="7"/>
      <c r="Z14" s="206" t="s">
        <v>1198</v>
      </c>
      <c r="AA14" s="206"/>
      <c r="AB14" s="7"/>
      <c r="AC14" s="7"/>
      <c r="AD14" s="7"/>
      <c r="AE14" s="7"/>
      <c r="AF14" s="7"/>
      <c r="AG14" s="3" t="s">
        <v>768</v>
      </c>
      <c r="AH14" s="3"/>
      <c r="AI14" s="3">
        <v>6</v>
      </c>
      <c r="AJ14" s="12"/>
      <c r="AK14" s="12"/>
      <c r="AM14" s="3"/>
    </row>
    <row r="15" spans="1:51" x14ac:dyDescent="0.3">
      <c r="A15" s="5" t="str">
        <f t="shared" si="3"/>
        <v>BBD130</v>
      </c>
      <c r="B15" s="1" t="s">
        <v>1905</v>
      </c>
      <c r="C15" s="2" t="str">
        <f t="shared" si="0"/>
        <v>DIO1</v>
      </c>
      <c r="D15" s="2">
        <v>130</v>
      </c>
      <c r="E15" s="3">
        <v>2</v>
      </c>
      <c r="F15" s="3">
        <f t="shared" si="1"/>
        <v>3</v>
      </c>
      <c r="G15" s="3">
        <v>0</v>
      </c>
      <c r="H15" s="60">
        <f t="shared" si="5"/>
        <v>1</v>
      </c>
      <c r="I15" s="54">
        <f t="shared" si="4"/>
        <v>6</v>
      </c>
      <c r="J15" s="61"/>
      <c r="K15" s="30"/>
      <c r="L15" s="1" t="s">
        <v>21</v>
      </c>
      <c r="M15" s="2">
        <v>4</v>
      </c>
      <c r="N15" s="1" t="s">
        <v>1979</v>
      </c>
      <c r="O15" s="12" t="s">
        <v>339</v>
      </c>
      <c r="P15" s="12"/>
      <c r="Q15" s="1" t="s">
        <v>1980</v>
      </c>
      <c r="R15" s="12" t="s">
        <v>18</v>
      </c>
      <c r="S15" s="13" t="s">
        <v>1207</v>
      </c>
      <c r="T15" s="1" t="s">
        <v>1979</v>
      </c>
      <c r="V15" s="1" t="str">
        <f t="shared" si="2"/>
        <v>2.3\0.1:6</v>
      </c>
      <c r="W15" s="1" t="s">
        <v>1978</v>
      </c>
      <c r="X15" s="3">
        <v>0</v>
      </c>
      <c r="Y15" s="7"/>
      <c r="Z15" s="206" t="s">
        <v>1198</v>
      </c>
      <c r="AA15" s="206"/>
      <c r="AB15" s="7"/>
      <c r="AC15" s="7"/>
      <c r="AD15" s="7"/>
      <c r="AE15" s="7"/>
      <c r="AF15" s="7"/>
      <c r="AG15" s="3" t="s">
        <v>768</v>
      </c>
      <c r="AH15" s="3"/>
      <c r="AI15" s="3">
        <v>7</v>
      </c>
      <c r="AJ15" s="12"/>
      <c r="AK15" s="12"/>
      <c r="AM15" s="3"/>
    </row>
    <row r="16" spans="1:51" x14ac:dyDescent="0.3">
      <c r="A16" s="5" t="str">
        <f t="shared" si="3"/>
        <v>BBD130</v>
      </c>
      <c r="B16" s="1" t="s">
        <v>1905</v>
      </c>
      <c r="C16" s="2" t="str">
        <f t="shared" si="0"/>
        <v>DIO1</v>
      </c>
      <c r="D16" s="2">
        <v>130</v>
      </c>
      <c r="E16" s="3">
        <v>2</v>
      </c>
      <c r="F16" s="3">
        <f t="shared" si="1"/>
        <v>3</v>
      </c>
      <c r="G16" s="3">
        <v>0</v>
      </c>
      <c r="H16" s="60">
        <f t="shared" si="5"/>
        <v>1</v>
      </c>
      <c r="I16" s="54">
        <f t="shared" si="4"/>
        <v>7</v>
      </c>
      <c r="J16" s="61"/>
      <c r="K16" s="30"/>
      <c r="L16" s="1" t="s">
        <v>21</v>
      </c>
      <c r="M16" s="2">
        <v>4</v>
      </c>
      <c r="N16" s="1" t="s">
        <v>1979</v>
      </c>
      <c r="O16" s="12" t="s">
        <v>336</v>
      </c>
      <c r="P16" s="12"/>
      <c r="Q16" s="1" t="s">
        <v>1002</v>
      </c>
      <c r="R16" s="12" t="s">
        <v>18</v>
      </c>
      <c r="S16" s="13" t="s">
        <v>661</v>
      </c>
      <c r="T16" s="1" t="s">
        <v>1979</v>
      </c>
      <c r="V16" s="1" t="str">
        <f t="shared" si="2"/>
        <v>2.3\0.1:7</v>
      </c>
      <c r="W16" s="1" t="s">
        <v>1978</v>
      </c>
      <c r="X16" s="3">
        <v>0</v>
      </c>
      <c r="Y16" s="7"/>
      <c r="Z16" s="206" t="s">
        <v>1198</v>
      </c>
      <c r="AA16" s="206"/>
      <c r="AB16" s="7"/>
      <c r="AC16" s="7"/>
      <c r="AD16" s="7"/>
      <c r="AE16" s="7"/>
      <c r="AF16" s="7"/>
      <c r="AG16" s="3" t="s">
        <v>768</v>
      </c>
      <c r="AH16" s="3"/>
      <c r="AI16" s="3">
        <v>8</v>
      </c>
      <c r="AJ16" s="12"/>
      <c r="AK16" s="12"/>
      <c r="AM16" s="3"/>
    </row>
    <row r="17" spans="1:39" x14ac:dyDescent="0.3">
      <c r="A17" s="5" t="str">
        <f t="shared" si="3"/>
        <v>BBD130</v>
      </c>
      <c r="B17" s="1" t="s">
        <v>1905</v>
      </c>
      <c r="C17" s="2" t="str">
        <f t="shared" si="0"/>
        <v>DIO1</v>
      </c>
      <c r="D17" s="2">
        <v>130</v>
      </c>
      <c r="E17" s="3">
        <v>2</v>
      </c>
      <c r="F17" s="3">
        <f t="shared" si="1"/>
        <v>3</v>
      </c>
      <c r="G17" s="3">
        <v>0</v>
      </c>
      <c r="H17" s="60">
        <f t="shared" si="5"/>
        <v>1</v>
      </c>
      <c r="I17" s="54">
        <f t="shared" si="4"/>
        <v>8</v>
      </c>
      <c r="J17" s="61"/>
      <c r="K17" s="30"/>
      <c r="L17" s="1" t="s">
        <v>21</v>
      </c>
      <c r="M17" s="2">
        <v>4</v>
      </c>
      <c r="N17" s="1" t="s">
        <v>1979</v>
      </c>
      <c r="O17" s="12" t="s">
        <v>334</v>
      </c>
      <c r="P17" s="12"/>
      <c r="Q17" s="1" t="s">
        <v>1002</v>
      </c>
      <c r="R17" s="12" t="s">
        <v>18</v>
      </c>
      <c r="S17" s="13" t="s">
        <v>1003</v>
      </c>
      <c r="T17" s="1" t="s">
        <v>1979</v>
      </c>
      <c r="V17" s="1" t="str">
        <f t="shared" si="2"/>
        <v>2.3\0.1:8</v>
      </c>
      <c r="W17" s="1" t="s">
        <v>1978</v>
      </c>
      <c r="X17" s="3">
        <v>0</v>
      </c>
      <c r="Y17" s="7"/>
      <c r="Z17" s="206" t="s">
        <v>1198</v>
      </c>
      <c r="AA17" s="206"/>
      <c r="AB17" s="7"/>
      <c r="AC17" s="7"/>
      <c r="AD17" s="7"/>
      <c r="AE17" s="7"/>
      <c r="AF17" s="7"/>
      <c r="AG17" s="3" t="s">
        <v>768</v>
      </c>
      <c r="AH17" s="3"/>
      <c r="AI17" s="3">
        <v>9</v>
      </c>
      <c r="AJ17" s="12"/>
      <c r="AK17" s="12"/>
      <c r="AM17" s="3"/>
    </row>
    <row r="18" spans="1:39" x14ac:dyDescent="0.3">
      <c r="A18" s="5" t="str">
        <f t="shared" si="3"/>
        <v>BBD130</v>
      </c>
      <c r="B18" s="1" t="s">
        <v>1905</v>
      </c>
      <c r="C18" s="2" t="str">
        <f t="shared" si="0"/>
        <v>DIO1</v>
      </c>
      <c r="D18" s="2">
        <v>130</v>
      </c>
      <c r="E18" s="3">
        <v>2</v>
      </c>
      <c r="F18" s="3">
        <f t="shared" si="1"/>
        <v>3</v>
      </c>
      <c r="G18" s="3">
        <v>0</v>
      </c>
      <c r="H18" s="60">
        <f t="shared" si="5"/>
        <v>1</v>
      </c>
      <c r="I18" s="54">
        <f t="shared" si="4"/>
        <v>9</v>
      </c>
      <c r="J18" s="61"/>
      <c r="K18" s="30"/>
      <c r="L18" s="1" t="s">
        <v>21</v>
      </c>
      <c r="M18" s="2">
        <v>4</v>
      </c>
      <c r="N18" s="1" t="s">
        <v>1979</v>
      </c>
      <c r="O18" s="12" t="s">
        <v>332</v>
      </c>
      <c r="P18" s="12"/>
      <c r="Q18" s="1" t="s">
        <v>1002</v>
      </c>
      <c r="R18" s="12" t="s">
        <v>18</v>
      </c>
      <c r="S18" s="13" t="s">
        <v>1202</v>
      </c>
      <c r="T18" s="1" t="s">
        <v>1979</v>
      </c>
      <c r="V18" s="1" t="str">
        <f t="shared" si="2"/>
        <v>2.3\0.1:9</v>
      </c>
      <c r="W18" s="1" t="s">
        <v>1978</v>
      </c>
      <c r="X18" s="3">
        <v>0</v>
      </c>
      <c r="Y18" s="7"/>
      <c r="Z18" s="206" t="s">
        <v>1198</v>
      </c>
      <c r="AA18" s="206"/>
      <c r="AB18" s="7"/>
      <c r="AC18" s="7"/>
      <c r="AD18" s="7"/>
      <c r="AE18" s="7"/>
      <c r="AF18" s="7"/>
      <c r="AG18" s="3" t="s">
        <v>768</v>
      </c>
      <c r="AH18" s="3"/>
      <c r="AI18" s="3">
        <v>10</v>
      </c>
      <c r="AJ18" s="12"/>
      <c r="AK18" s="12"/>
      <c r="AM18" s="3"/>
    </row>
    <row r="19" spans="1:39" x14ac:dyDescent="0.3">
      <c r="A19" s="5" t="str">
        <f t="shared" si="3"/>
        <v>BBD130</v>
      </c>
      <c r="B19" s="1" t="s">
        <v>1905</v>
      </c>
      <c r="C19" s="2" t="str">
        <f t="shared" si="0"/>
        <v>DIO1</v>
      </c>
      <c r="D19" s="2">
        <v>130</v>
      </c>
      <c r="E19" s="3">
        <v>2</v>
      </c>
      <c r="F19" s="3">
        <f t="shared" si="1"/>
        <v>3</v>
      </c>
      <c r="G19" s="3">
        <v>0</v>
      </c>
      <c r="H19" s="60">
        <f t="shared" si="5"/>
        <v>1</v>
      </c>
      <c r="I19" s="54">
        <f t="shared" si="4"/>
        <v>10</v>
      </c>
      <c r="J19" s="61"/>
      <c r="K19" s="30"/>
      <c r="L19" s="1" t="s">
        <v>21</v>
      </c>
      <c r="M19" s="2">
        <v>4</v>
      </c>
      <c r="N19" s="1" t="s">
        <v>1979</v>
      </c>
      <c r="O19" s="12" t="s">
        <v>330</v>
      </c>
      <c r="P19" s="12"/>
      <c r="Q19" s="1" t="s">
        <v>1002</v>
      </c>
      <c r="R19" s="12" t="s">
        <v>18</v>
      </c>
      <c r="S19" s="13" t="s">
        <v>1201</v>
      </c>
      <c r="T19" s="1" t="s">
        <v>1979</v>
      </c>
      <c r="V19" s="1" t="str">
        <f t="shared" si="2"/>
        <v>2.3\0.1:10</v>
      </c>
      <c r="W19" s="1" t="s">
        <v>1978</v>
      </c>
      <c r="X19" s="3">
        <v>0</v>
      </c>
      <c r="Y19" s="7"/>
      <c r="Z19" s="206" t="s">
        <v>1198</v>
      </c>
      <c r="AA19" s="206"/>
      <c r="AB19" s="7"/>
      <c r="AC19" s="7"/>
      <c r="AD19" s="7"/>
      <c r="AE19" s="7"/>
      <c r="AF19" s="7"/>
      <c r="AG19" s="3" t="s">
        <v>768</v>
      </c>
      <c r="AH19" s="3"/>
      <c r="AI19" s="3">
        <v>11</v>
      </c>
      <c r="AJ19" s="12"/>
      <c r="AK19" s="12"/>
      <c r="AM19" s="3"/>
    </row>
    <row r="20" spans="1:39" x14ac:dyDescent="0.3">
      <c r="A20" s="5" t="str">
        <f t="shared" si="3"/>
        <v>BBD130</v>
      </c>
      <c r="B20" s="1" t="s">
        <v>1905</v>
      </c>
      <c r="C20" s="2" t="str">
        <f t="shared" si="0"/>
        <v>DIO1</v>
      </c>
      <c r="D20" s="2">
        <v>130</v>
      </c>
      <c r="E20" s="3">
        <v>2</v>
      </c>
      <c r="F20" s="3">
        <f t="shared" si="1"/>
        <v>3</v>
      </c>
      <c r="G20" s="3">
        <v>0</v>
      </c>
      <c r="H20" s="60">
        <f t="shared" si="5"/>
        <v>1</v>
      </c>
      <c r="I20" s="54">
        <f t="shared" si="4"/>
        <v>11</v>
      </c>
      <c r="J20" s="61"/>
      <c r="K20" s="30"/>
      <c r="L20" s="1" t="s">
        <v>21</v>
      </c>
      <c r="M20" s="2">
        <v>4</v>
      </c>
      <c r="N20" s="1" t="s">
        <v>1979</v>
      </c>
      <c r="O20" s="12" t="s">
        <v>328</v>
      </c>
      <c r="P20" s="12"/>
      <c r="Q20" s="241" t="s">
        <v>1002</v>
      </c>
      <c r="R20" s="12" t="s">
        <v>18</v>
      </c>
      <c r="S20" s="13" t="s">
        <v>1200</v>
      </c>
      <c r="T20" s="1" t="s">
        <v>1979</v>
      </c>
      <c r="V20" s="1" t="str">
        <f t="shared" si="2"/>
        <v>2.3\0.1:11</v>
      </c>
      <c r="W20" s="1" t="s">
        <v>1978</v>
      </c>
      <c r="X20" s="3">
        <v>0</v>
      </c>
      <c r="Y20" s="7"/>
      <c r="Z20" s="206" t="s">
        <v>1198</v>
      </c>
      <c r="AA20" s="206"/>
      <c r="AB20" s="7"/>
      <c r="AC20" s="7"/>
      <c r="AD20" s="7"/>
      <c r="AE20" s="7"/>
      <c r="AF20" s="7"/>
      <c r="AG20" s="3" t="s">
        <v>768</v>
      </c>
      <c r="AH20" s="3"/>
      <c r="AI20" s="3">
        <v>12</v>
      </c>
      <c r="AJ20" s="12"/>
      <c r="AK20" s="12"/>
      <c r="AM20" s="3"/>
    </row>
    <row r="21" spans="1:39" x14ac:dyDescent="0.3">
      <c r="A21" s="5" t="str">
        <f t="shared" si="3"/>
        <v>BBD130</v>
      </c>
      <c r="B21" s="1" t="s">
        <v>1905</v>
      </c>
      <c r="C21" s="2" t="str">
        <f t="shared" si="0"/>
        <v>DIO1</v>
      </c>
      <c r="D21" s="2">
        <v>130</v>
      </c>
      <c r="E21" s="3">
        <v>2</v>
      </c>
      <c r="F21" s="3">
        <f t="shared" si="1"/>
        <v>3</v>
      </c>
      <c r="G21" s="3">
        <v>0</v>
      </c>
      <c r="H21" s="60">
        <f t="shared" si="5"/>
        <v>1</v>
      </c>
      <c r="I21" s="54">
        <f t="shared" si="4"/>
        <v>12</v>
      </c>
      <c r="J21" s="61"/>
      <c r="K21" s="30"/>
      <c r="L21" s="1" t="s">
        <v>21</v>
      </c>
      <c r="M21" s="2"/>
      <c r="O21" s="12"/>
      <c r="P21" s="12"/>
      <c r="Q21" s="1" t="s">
        <v>302</v>
      </c>
      <c r="R21" s="12" t="s">
        <v>302</v>
      </c>
      <c r="V21" s="1" t="str">
        <f t="shared" si="2"/>
        <v>2.3\0.1:12</v>
      </c>
      <c r="Y21" s="7"/>
      <c r="Z21" s="206" t="s">
        <v>1062</v>
      </c>
      <c r="AA21" s="206"/>
      <c r="AB21" s="7"/>
      <c r="AC21" s="7"/>
      <c r="AD21" s="7"/>
      <c r="AE21" s="7"/>
      <c r="AF21" s="7"/>
      <c r="AG21" s="3" t="s">
        <v>768</v>
      </c>
      <c r="AH21" s="3"/>
      <c r="AI21" s="3">
        <v>13</v>
      </c>
      <c r="AJ21" s="12"/>
      <c r="AK21" s="12"/>
      <c r="AM21" s="3"/>
    </row>
    <row r="22" spans="1:39" x14ac:dyDescent="0.3">
      <c r="A22" s="5" t="str">
        <f t="shared" si="3"/>
        <v>BBD130</v>
      </c>
      <c r="B22" s="1" t="s">
        <v>1905</v>
      </c>
      <c r="C22" s="2" t="str">
        <f t="shared" si="0"/>
        <v>DIO1</v>
      </c>
      <c r="D22" s="2">
        <v>130</v>
      </c>
      <c r="E22" s="3">
        <v>2</v>
      </c>
      <c r="F22" s="3">
        <f t="shared" si="1"/>
        <v>3</v>
      </c>
      <c r="G22" s="3">
        <v>0</v>
      </c>
      <c r="H22" s="60">
        <f t="shared" si="5"/>
        <v>1</v>
      </c>
      <c r="I22" s="54">
        <f t="shared" si="4"/>
        <v>13</v>
      </c>
      <c r="J22" s="61"/>
      <c r="K22" s="30"/>
      <c r="L22" s="1" t="s">
        <v>21</v>
      </c>
      <c r="M22" s="2"/>
      <c r="O22" s="12"/>
      <c r="P22" s="12"/>
      <c r="Q22" s="1" t="s">
        <v>302</v>
      </c>
      <c r="R22" s="12" t="s">
        <v>302</v>
      </c>
      <c r="V22" s="1" t="str">
        <f t="shared" si="2"/>
        <v>2.3\0.1:13</v>
      </c>
      <c r="Y22" s="7"/>
      <c r="Z22" s="206" t="s">
        <v>1062</v>
      </c>
      <c r="AA22" s="206"/>
      <c r="AB22" s="7"/>
      <c r="AC22" s="7"/>
      <c r="AD22" s="7"/>
      <c r="AE22" s="7"/>
      <c r="AF22" s="7"/>
      <c r="AG22" s="3" t="s">
        <v>768</v>
      </c>
      <c r="AH22" s="3"/>
      <c r="AI22" s="3">
        <v>14</v>
      </c>
      <c r="AJ22" s="12"/>
      <c r="AK22" s="12"/>
      <c r="AM22" s="3"/>
    </row>
    <row r="23" spans="1:39" x14ac:dyDescent="0.3">
      <c r="A23" s="5" t="str">
        <f t="shared" si="3"/>
        <v>BBD130</v>
      </c>
      <c r="B23" s="1" t="s">
        <v>1905</v>
      </c>
      <c r="C23" s="2" t="str">
        <f t="shared" si="0"/>
        <v>DIO1</v>
      </c>
      <c r="D23" s="2">
        <v>130</v>
      </c>
      <c r="E23" s="3">
        <v>2</v>
      </c>
      <c r="F23" s="3">
        <f t="shared" si="1"/>
        <v>3</v>
      </c>
      <c r="G23" s="3">
        <v>0</v>
      </c>
      <c r="H23" s="60">
        <f t="shared" si="5"/>
        <v>1</v>
      </c>
      <c r="I23" s="54">
        <f t="shared" si="4"/>
        <v>14</v>
      </c>
      <c r="J23" s="61"/>
      <c r="K23" s="30"/>
      <c r="L23" s="1" t="s">
        <v>21</v>
      </c>
      <c r="M23" s="2"/>
      <c r="O23" s="12"/>
      <c r="P23" s="12"/>
      <c r="Q23" s="1" t="s">
        <v>302</v>
      </c>
      <c r="R23" s="12" t="s">
        <v>302</v>
      </c>
      <c r="V23" s="1" t="str">
        <f t="shared" si="2"/>
        <v>2.3\0.1:14</v>
      </c>
      <c r="Y23" s="7"/>
      <c r="Z23" s="206" t="s">
        <v>1062</v>
      </c>
      <c r="AA23" s="206"/>
      <c r="AB23" s="7"/>
      <c r="AC23" s="7"/>
      <c r="AD23" s="7"/>
      <c r="AE23" s="7"/>
      <c r="AF23" s="7"/>
      <c r="AG23" s="3" t="s">
        <v>768</v>
      </c>
      <c r="AH23" s="3"/>
      <c r="AI23" s="3">
        <v>15</v>
      </c>
      <c r="AJ23" s="12"/>
      <c r="AK23" s="12"/>
      <c r="AM23" s="3"/>
    </row>
    <row r="24" spans="1:39" x14ac:dyDescent="0.3">
      <c r="A24" s="5" t="str">
        <f t="shared" si="3"/>
        <v>BBD130</v>
      </c>
      <c r="B24" s="1" t="s">
        <v>1905</v>
      </c>
      <c r="C24" s="2" t="str">
        <f t="shared" si="0"/>
        <v>DIO1</v>
      </c>
      <c r="D24" s="2">
        <v>130</v>
      </c>
      <c r="E24" s="3">
        <v>2</v>
      </c>
      <c r="F24" s="3">
        <f t="shared" si="1"/>
        <v>3</v>
      </c>
      <c r="G24" s="3">
        <v>0</v>
      </c>
      <c r="H24" s="60">
        <f t="shared" ref="H24:H40" si="6">H20</f>
        <v>1</v>
      </c>
      <c r="I24" s="54">
        <f t="shared" si="4"/>
        <v>15</v>
      </c>
      <c r="J24" s="61"/>
      <c r="K24" s="30"/>
      <c r="L24" s="1" t="s">
        <v>21</v>
      </c>
      <c r="M24" s="2"/>
      <c r="O24" s="12"/>
      <c r="P24" s="12"/>
      <c r="Q24" s="1" t="s">
        <v>302</v>
      </c>
      <c r="R24" s="12" t="s">
        <v>302</v>
      </c>
      <c r="V24" s="1" t="str">
        <f t="shared" si="2"/>
        <v>2.3\0.1:15</v>
      </c>
      <c r="Y24" s="7"/>
      <c r="Z24" s="206" t="s">
        <v>1062</v>
      </c>
      <c r="AA24" s="206"/>
      <c r="AB24" s="7"/>
      <c r="AC24" s="7"/>
      <c r="AD24" s="7"/>
      <c r="AE24" s="7"/>
      <c r="AF24" s="7"/>
      <c r="AG24" s="3" t="s">
        <v>768</v>
      </c>
      <c r="AH24" s="3"/>
      <c r="AI24" s="3">
        <v>16</v>
      </c>
      <c r="AJ24" s="12"/>
      <c r="AK24" s="12"/>
      <c r="AM24" s="3"/>
    </row>
    <row r="25" spans="1:39" x14ac:dyDescent="0.3">
      <c r="A25" s="5" t="str">
        <f t="shared" si="3"/>
        <v>BBD130</v>
      </c>
      <c r="B25" s="1" t="s">
        <v>1905</v>
      </c>
      <c r="C25" s="2" t="str">
        <f t="shared" si="0"/>
        <v>DIO1</v>
      </c>
      <c r="D25" s="2">
        <v>130</v>
      </c>
      <c r="E25" s="3">
        <v>2</v>
      </c>
      <c r="F25" s="3">
        <f t="shared" si="1"/>
        <v>3</v>
      </c>
      <c r="G25" s="3">
        <v>0</v>
      </c>
      <c r="H25" s="60">
        <f t="shared" si="6"/>
        <v>1</v>
      </c>
      <c r="I25" s="54">
        <f t="shared" si="4"/>
        <v>16</v>
      </c>
      <c r="J25" s="61"/>
      <c r="K25" s="2"/>
      <c r="L25" s="1" t="s">
        <v>21</v>
      </c>
      <c r="M25" s="2">
        <v>4</v>
      </c>
      <c r="N25" s="1" t="s">
        <v>1977</v>
      </c>
      <c r="O25" s="41" t="s">
        <v>994</v>
      </c>
      <c r="P25" s="41" t="s">
        <v>1910</v>
      </c>
      <c r="Q25" s="41" t="s">
        <v>1976</v>
      </c>
      <c r="R25" s="41" t="s">
        <v>18</v>
      </c>
      <c r="S25" s="13"/>
      <c r="T25" s="1" t="s">
        <v>1907</v>
      </c>
      <c r="V25" s="1" t="str">
        <f t="shared" si="2"/>
        <v>2.3\0.1:16</v>
      </c>
      <c r="W25" s="1" t="s">
        <v>1899</v>
      </c>
      <c r="X25" s="3">
        <v>0</v>
      </c>
      <c r="Y25" s="7"/>
      <c r="Z25" s="206" t="s">
        <v>1062</v>
      </c>
      <c r="AA25" s="206"/>
      <c r="AB25" s="7"/>
      <c r="AC25" s="7"/>
      <c r="AD25" s="7"/>
      <c r="AE25" s="7"/>
      <c r="AF25" s="7"/>
      <c r="AG25" s="3" t="s">
        <v>768</v>
      </c>
      <c r="AH25" s="3">
        <v>17</v>
      </c>
      <c r="AI25" s="3">
        <v>18</v>
      </c>
      <c r="AJ25" s="12"/>
      <c r="AK25" s="12"/>
      <c r="AM25" s="3"/>
    </row>
    <row r="26" spans="1:39" x14ac:dyDescent="0.3">
      <c r="A26" s="5" t="str">
        <f t="shared" si="3"/>
        <v>BBD130</v>
      </c>
      <c r="B26" s="1" t="s">
        <v>1905</v>
      </c>
      <c r="C26" s="2" t="str">
        <f t="shared" si="0"/>
        <v>DIO1</v>
      </c>
      <c r="D26" s="2">
        <v>130</v>
      </c>
      <c r="E26" s="3">
        <v>2</v>
      </c>
      <c r="F26" s="3">
        <f t="shared" si="1"/>
        <v>3</v>
      </c>
      <c r="G26" s="3">
        <v>0</v>
      </c>
      <c r="H26" s="60">
        <f t="shared" si="6"/>
        <v>1</v>
      </c>
      <c r="I26" s="54">
        <f t="shared" si="4"/>
        <v>17</v>
      </c>
      <c r="J26" s="61"/>
      <c r="K26" s="30"/>
      <c r="L26" s="1" t="s">
        <v>21</v>
      </c>
      <c r="M26" s="2"/>
      <c r="O26" s="41"/>
      <c r="P26" s="41"/>
      <c r="Q26" s="41" t="s">
        <v>302</v>
      </c>
      <c r="R26" s="41" t="s">
        <v>302</v>
      </c>
      <c r="S26" s="13"/>
      <c r="V26" s="1" t="str">
        <f t="shared" si="2"/>
        <v>2.3\0.1:17</v>
      </c>
      <c r="Y26" s="7"/>
      <c r="Z26" s="206" t="s">
        <v>1062</v>
      </c>
      <c r="AA26" s="206"/>
      <c r="AB26" s="7"/>
      <c r="AC26" s="7"/>
      <c r="AD26" s="7"/>
      <c r="AE26" s="7"/>
      <c r="AF26" s="7"/>
      <c r="AG26" s="3" t="s">
        <v>768</v>
      </c>
      <c r="AH26" s="3">
        <v>19</v>
      </c>
      <c r="AI26" s="3">
        <v>20</v>
      </c>
      <c r="AJ26" s="12"/>
      <c r="AK26" s="12"/>
      <c r="AM26" s="3"/>
    </row>
    <row r="27" spans="1:39" x14ac:dyDescent="0.3">
      <c r="A27" s="5" t="str">
        <f t="shared" si="3"/>
        <v>BBD130</v>
      </c>
      <c r="B27" s="1" t="s">
        <v>1905</v>
      </c>
      <c r="C27" s="2" t="str">
        <f t="shared" si="0"/>
        <v>DIO1</v>
      </c>
      <c r="D27" s="2">
        <v>130</v>
      </c>
      <c r="E27" s="3">
        <v>2</v>
      </c>
      <c r="F27" s="3">
        <f t="shared" si="1"/>
        <v>3</v>
      </c>
      <c r="G27" s="3">
        <v>0</v>
      </c>
      <c r="H27" s="60">
        <f t="shared" si="6"/>
        <v>1</v>
      </c>
      <c r="I27" s="54">
        <f t="shared" si="4"/>
        <v>18</v>
      </c>
      <c r="J27" s="61"/>
      <c r="K27" s="30"/>
      <c r="L27" s="1" t="s">
        <v>21</v>
      </c>
      <c r="M27" s="2">
        <v>4</v>
      </c>
      <c r="N27" s="1" t="s">
        <v>1904</v>
      </c>
      <c r="O27" s="220" t="s">
        <v>61</v>
      </c>
      <c r="P27" s="220" t="s">
        <v>1451</v>
      </c>
      <c r="Q27" s="221" t="s">
        <v>1903</v>
      </c>
      <c r="R27" s="220" t="s">
        <v>18</v>
      </c>
      <c r="S27" s="13" t="s">
        <v>1447</v>
      </c>
      <c r="T27" s="1" t="s">
        <v>1442</v>
      </c>
      <c r="V27" s="1" t="str">
        <f t="shared" si="2"/>
        <v>2.3\0.1:18</v>
      </c>
      <c r="W27" s="1" t="s">
        <v>1899</v>
      </c>
      <c r="X27" s="3">
        <v>0</v>
      </c>
      <c r="Y27" s="7"/>
      <c r="Z27" s="206" t="s">
        <v>1198</v>
      </c>
      <c r="AA27" s="206"/>
      <c r="AB27" s="7"/>
      <c r="AC27" s="7"/>
      <c r="AD27" s="7"/>
      <c r="AE27" s="7"/>
      <c r="AF27" s="7"/>
      <c r="AG27" s="3" t="s">
        <v>768</v>
      </c>
      <c r="AH27" s="3">
        <v>21</v>
      </c>
      <c r="AI27" s="3">
        <v>22</v>
      </c>
      <c r="AJ27" s="12"/>
      <c r="AK27" s="12"/>
      <c r="AM27" s="3"/>
    </row>
    <row r="28" spans="1:39" x14ac:dyDescent="0.3">
      <c r="A28" s="5" t="str">
        <f t="shared" si="3"/>
        <v>BBD130</v>
      </c>
      <c r="B28" s="1" t="s">
        <v>1905</v>
      </c>
      <c r="C28" s="2" t="str">
        <f t="shared" si="0"/>
        <v>DIO1</v>
      </c>
      <c r="D28" s="2">
        <v>130</v>
      </c>
      <c r="E28" s="3">
        <v>2</v>
      </c>
      <c r="F28" s="3">
        <f t="shared" si="1"/>
        <v>3</v>
      </c>
      <c r="G28" s="3">
        <v>0</v>
      </c>
      <c r="H28" s="60">
        <f t="shared" si="6"/>
        <v>1</v>
      </c>
      <c r="I28" s="54">
        <f t="shared" si="4"/>
        <v>19</v>
      </c>
      <c r="J28" s="61"/>
      <c r="K28" s="30"/>
      <c r="L28" s="1" t="s">
        <v>21</v>
      </c>
      <c r="M28" s="2">
        <v>4</v>
      </c>
      <c r="N28" s="1" t="s">
        <v>1902</v>
      </c>
      <c r="O28" s="41" t="s">
        <v>305</v>
      </c>
      <c r="P28" s="41" t="s">
        <v>1451</v>
      </c>
      <c r="Q28" s="41" t="s">
        <v>1901</v>
      </c>
      <c r="R28" s="41" t="s">
        <v>18</v>
      </c>
      <c r="S28" s="13" t="s">
        <v>1604</v>
      </c>
      <c r="T28" s="1" t="s">
        <v>1442</v>
      </c>
      <c r="V28" s="1" t="str">
        <f t="shared" si="2"/>
        <v>2.3\0.1:19</v>
      </c>
      <c r="W28" s="1" t="s">
        <v>1899</v>
      </c>
      <c r="X28" s="3">
        <v>0</v>
      </c>
      <c r="Y28" s="7"/>
      <c r="Z28" s="206" t="s">
        <v>1198</v>
      </c>
      <c r="AA28" s="206"/>
      <c r="AB28" s="7"/>
      <c r="AC28" s="7"/>
      <c r="AD28" s="7"/>
      <c r="AE28" s="7"/>
      <c r="AF28" s="7"/>
      <c r="AG28" s="3" t="s">
        <v>768</v>
      </c>
      <c r="AH28" s="3">
        <v>23</v>
      </c>
      <c r="AI28" s="3">
        <v>24</v>
      </c>
      <c r="AJ28" s="12"/>
      <c r="AK28" s="12"/>
      <c r="AM28" s="3"/>
    </row>
    <row r="29" spans="1:39" x14ac:dyDescent="0.3">
      <c r="A29" s="5" t="str">
        <f t="shared" si="3"/>
        <v>BBD130</v>
      </c>
      <c r="B29" s="1" t="s">
        <v>1905</v>
      </c>
      <c r="C29" s="2" t="str">
        <f t="shared" si="0"/>
        <v>DIO1</v>
      </c>
      <c r="D29" s="2">
        <v>130</v>
      </c>
      <c r="E29" s="3">
        <v>2</v>
      </c>
      <c r="F29" s="3">
        <f t="shared" si="1"/>
        <v>3</v>
      </c>
      <c r="G29" s="3">
        <v>0</v>
      </c>
      <c r="H29" s="60">
        <f t="shared" si="6"/>
        <v>1</v>
      </c>
      <c r="I29" s="54">
        <f t="shared" si="4"/>
        <v>20</v>
      </c>
      <c r="J29" s="61"/>
      <c r="K29" s="30"/>
      <c r="L29" s="1" t="s">
        <v>21</v>
      </c>
      <c r="M29" s="2"/>
      <c r="O29" s="41"/>
      <c r="P29" s="41"/>
      <c r="Q29" s="41" t="s">
        <v>302</v>
      </c>
      <c r="R29" s="41" t="s">
        <v>302</v>
      </c>
      <c r="V29" s="1" t="str">
        <f t="shared" si="2"/>
        <v>2.3\0.1:20</v>
      </c>
      <c r="Y29" s="7"/>
      <c r="Z29" s="206" t="s">
        <v>1062</v>
      </c>
      <c r="AA29" s="206"/>
      <c r="AB29" s="7"/>
      <c r="AC29" s="7"/>
      <c r="AD29" s="7"/>
      <c r="AE29" s="7"/>
      <c r="AF29" s="7"/>
      <c r="AG29" s="3" t="s">
        <v>768</v>
      </c>
      <c r="AH29" s="3">
        <v>25</v>
      </c>
      <c r="AI29" s="3">
        <v>26</v>
      </c>
      <c r="AJ29" s="12"/>
      <c r="AK29" s="12"/>
      <c r="AM29" s="3"/>
    </row>
    <row r="30" spans="1:39" x14ac:dyDescent="0.3">
      <c r="A30" s="5" t="str">
        <f t="shared" si="3"/>
        <v>BBD130</v>
      </c>
      <c r="B30" s="1" t="s">
        <v>1905</v>
      </c>
      <c r="C30" s="2" t="str">
        <f t="shared" si="0"/>
        <v>DIO1</v>
      </c>
      <c r="D30" s="2">
        <v>130</v>
      </c>
      <c r="E30" s="3">
        <v>2</v>
      </c>
      <c r="F30" s="3">
        <f t="shared" si="1"/>
        <v>3</v>
      </c>
      <c r="G30" s="3">
        <v>0</v>
      </c>
      <c r="H30" s="60">
        <f t="shared" si="6"/>
        <v>1</v>
      </c>
      <c r="I30" s="54">
        <f t="shared" si="4"/>
        <v>21</v>
      </c>
      <c r="J30" s="61"/>
      <c r="K30" s="30"/>
      <c r="L30" s="1" t="s">
        <v>21</v>
      </c>
      <c r="M30" s="2"/>
      <c r="O30" s="220"/>
      <c r="P30" s="220"/>
      <c r="Q30" s="221" t="s">
        <v>302</v>
      </c>
      <c r="R30" s="220" t="s">
        <v>302</v>
      </c>
      <c r="S30" s="220"/>
      <c r="V30" s="1" t="str">
        <f t="shared" si="2"/>
        <v>2.3\0.1:21</v>
      </c>
      <c r="Y30" s="7"/>
      <c r="Z30" s="206" t="s">
        <v>1062</v>
      </c>
      <c r="AA30" s="206"/>
      <c r="AB30" s="7"/>
      <c r="AC30" s="7"/>
      <c r="AD30" s="7"/>
      <c r="AE30" s="7"/>
      <c r="AF30" s="7"/>
      <c r="AG30" s="3" t="s">
        <v>768</v>
      </c>
      <c r="AH30" s="3">
        <v>27</v>
      </c>
      <c r="AI30" s="3">
        <v>28</v>
      </c>
      <c r="AJ30" s="12"/>
      <c r="AK30" s="12"/>
      <c r="AM30" s="3"/>
    </row>
    <row r="31" spans="1:39" x14ac:dyDescent="0.3">
      <c r="A31" s="5" t="str">
        <f t="shared" si="3"/>
        <v>BBD130</v>
      </c>
      <c r="B31" s="1" t="s">
        <v>1905</v>
      </c>
      <c r="C31" s="2" t="str">
        <f t="shared" si="0"/>
        <v>DIO1</v>
      </c>
      <c r="D31" s="2">
        <v>130</v>
      </c>
      <c r="E31" s="3">
        <v>2</v>
      </c>
      <c r="F31" s="3">
        <f t="shared" si="1"/>
        <v>3</v>
      </c>
      <c r="G31" s="3">
        <v>0</v>
      </c>
      <c r="H31" s="60">
        <f t="shared" si="6"/>
        <v>1</v>
      </c>
      <c r="I31" s="54">
        <f t="shared" si="4"/>
        <v>22</v>
      </c>
      <c r="J31" s="61"/>
      <c r="K31" s="30"/>
      <c r="L31" s="1" t="s">
        <v>21</v>
      </c>
      <c r="M31" s="2"/>
      <c r="O31" s="41"/>
      <c r="P31" s="41"/>
      <c r="Q31" s="41" t="s">
        <v>302</v>
      </c>
      <c r="R31" s="41" t="s">
        <v>302</v>
      </c>
      <c r="V31" s="1" t="str">
        <f t="shared" si="2"/>
        <v>2.3\0.1:22</v>
      </c>
      <c r="Y31" s="7"/>
      <c r="Z31" s="206" t="s">
        <v>1062</v>
      </c>
      <c r="AA31" s="206"/>
      <c r="AB31" s="7"/>
      <c r="AC31" s="7"/>
      <c r="AD31" s="7"/>
      <c r="AE31" s="7"/>
      <c r="AF31" s="7"/>
      <c r="AG31" s="3" t="s">
        <v>768</v>
      </c>
      <c r="AH31" s="3">
        <v>29</v>
      </c>
      <c r="AI31" s="3">
        <v>30</v>
      </c>
      <c r="AJ31" s="12"/>
      <c r="AK31" s="12"/>
      <c r="AM31" s="3"/>
    </row>
    <row r="32" spans="1:39" x14ac:dyDescent="0.3">
      <c r="A32" s="5" t="str">
        <f t="shared" si="3"/>
        <v>BBD130</v>
      </c>
      <c r="B32" s="1" t="s">
        <v>1905</v>
      </c>
      <c r="C32" s="2" t="str">
        <f t="shared" si="0"/>
        <v>DIO1</v>
      </c>
      <c r="D32" s="2">
        <v>130</v>
      </c>
      <c r="E32" s="3">
        <v>2</v>
      </c>
      <c r="F32" s="3">
        <f t="shared" si="1"/>
        <v>3</v>
      </c>
      <c r="G32" s="3">
        <v>0</v>
      </c>
      <c r="H32" s="60">
        <f t="shared" si="6"/>
        <v>1</v>
      </c>
      <c r="I32" s="54">
        <f t="shared" si="4"/>
        <v>23</v>
      </c>
      <c r="J32" s="61"/>
      <c r="K32" s="30"/>
      <c r="L32" s="1" t="s">
        <v>21</v>
      </c>
      <c r="M32" s="2"/>
      <c r="N32" s="1" t="s">
        <v>1935</v>
      </c>
      <c r="O32" s="41"/>
      <c r="P32" s="41" t="s">
        <v>1975</v>
      </c>
      <c r="Q32" s="41" t="s">
        <v>302</v>
      </c>
      <c r="R32" s="41" t="s">
        <v>302</v>
      </c>
      <c r="V32" s="1" t="str">
        <f t="shared" si="2"/>
        <v>2.3\0.1:23</v>
      </c>
      <c r="Y32" s="7"/>
      <c r="Z32" s="206" t="s">
        <v>1062</v>
      </c>
      <c r="AA32" s="206"/>
      <c r="AB32" s="7"/>
      <c r="AC32" s="7"/>
      <c r="AD32" s="7"/>
      <c r="AE32" s="7"/>
      <c r="AF32" s="7"/>
      <c r="AG32" s="3" t="s">
        <v>768</v>
      </c>
      <c r="AH32" s="3">
        <v>31</v>
      </c>
      <c r="AI32" s="3">
        <v>32</v>
      </c>
      <c r="AJ32" s="12"/>
      <c r="AK32" s="12"/>
      <c r="AM32" s="3"/>
    </row>
    <row r="33" spans="1:39" x14ac:dyDescent="0.3">
      <c r="A33" s="5" t="str">
        <f t="shared" si="3"/>
        <v>BBD130</v>
      </c>
      <c r="B33" s="1" t="s">
        <v>1905</v>
      </c>
      <c r="C33" s="2" t="str">
        <f t="shared" si="0"/>
        <v>DIO1</v>
      </c>
      <c r="D33" s="2">
        <v>130</v>
      </c>
      <c r="E33" s="3">
        <v>2</v>
      </c>
      <c r="F33" s="3">
        <f t="shared" si="1"/>
        <v>3</v>
      </c>
      <c r="G33" s="3">
        <v>0</v>
      </c>
      <c r="H33" s="60">
        <f t="shared" si="6"/>
        <v>1</v>
      </c>
      <c r="I33" s="54">
        <f t="shared" si="4"/>
        <v>24</v>
      </c>
      <c r="J33" s="61"/>
      <c r="K33" s="30"/>
      <c r="L33" s="1" t="s">
        <v>21</v>
      </c>
      <c r="M33" s="2">
        <v>4</v>
      </c>
      <c r="N33" s="1" t="s">
        <v>594</v>
      </c>
      <c r="O33" s="220" t="s">
        <v>1974</v>
      </c>
      <c r="P33" s="220" t="s">
        <v>1973</v>
      </c>
      <c r="Q33" s="221" t="s">
        <v>1511</v>
      </c>
      <c r="R33" s="220" t="s">
        <v>18</v>
      </c>
      <c r="S33" s="220"/>
      <c r="T33" s="1" t="s">
        <v>594</v>
      </c>
      <c r="V33" s="1" t="str">
        <f t="shared" si="2"/>
        <v>2.3\0.1:24</v>
      </c>
      <c r="W33" s="13" t="s">
        <v>1899</v>
      </c>
      <c r="X33" s="3">
        <v>0</v>
      </c>
      <c r="Y33" s="7"/>
      <c r="Z33" s="206" t="s">
        <v>1062</v>
      </c>
      <c r="AA33" s="206"/>
      <c r="AB33" s="7"/>
      <c r="AC33" s="7"/>
      <c r="AD33" s="7"/>
      <c r="AE33" s="7"/>
      <c r="AF33" s="7"/>
      <c r="AG33" s="3" t="s">
        <v>768</v>
      </c>
      <c r="AH33" s="3">
        <v>33</v>
      </c>
      <c r="AI33" s="3">
        <v>34</v>
      </c>
      <c r="AJ33" s="12"/>
      <c r="AK33" s="12"/>
      <c r="AM33" s="3"/>
    </row>
    <row r="34" spans="1:39" x14ac:dyDescent="0.3">
      <c r="A34" s="5" t="str">
        <f t="shared" si="3"/>
        <v>BBD130</v>
      </c>
      <c r="B34" s="1" t="s">
        <v>1905</v>
      </c>
      <c r="C34" s="2" t="str">
        <f t="shared" si="0"/>
        <v>DIO1</v>
      </c>
      <c r="D34" s="2">
        <v>130</v>
      </c>
      <c r="E34" s="3">
        <v>2</v>
      </c>
      <c r="F34" s="3">
        <f t="shared" si="1"/>
        <v>3</v>
      </c>
      <c r="G34" s="3">
        <v>0</v>
      </c>
      <c r="H34" s="60">
        <f t="shared" si="6"/>
        <v>1</v>
      </c>
      <c r="I34" s="54">
        <f t="shared" si="4"/>
        <v>25</v>
      </c>
      <c r="J34" s="61"/>
      <c r="K34" s="30"/>
      <c r="L34" s="1" t="s">
        <v>21</v>
      </c>
      <c r="M34" s="2">
        <v>4</v>
      </c>
      <c r="N34" s="1" t="s">
        <v>1972</v>
      </c>
      <c r="O34" s="41" t="s">
        <v>448</v>
      </c>
      <c r="P34" s="41" t="s">
        <v>1958</v>
      </c>
      <c r="Q34" s="41" t="s">
        <v>1526</v>
      </c>
      <c r="R34" s="41" t="s">
        <v>855</v>
      </c>
      <c r="S34" s="13" t="s">
        <v>1971</v>
      </c>
      <c r="T34" s="1" t="s">
        <v>1935</v>
      </c>
      <c r="V34" s="1" t="str">
        <f t="shared" si="2"/>
        <v>2.3\0.1:25</v>
      </c>
      <c r="W34" s="13" t="s">
        <v>1899</v>
      </c>
      <c r="X34" s="3">
        <v>0</v>
      </c>
      <c r="Y34" s="7"/>
      <c r="Z34" s="206" t="s">
        <v>1062</v>
      </c>
      <c r="AA34" s="206"/>
      <c r="AB34" s="7"/>
      <c r="AC34" s="7"/>
      <c r="AD34" s="7"/>
      <c r="AE34" s="7"/>
      <c r="AF34" s="7"/>
      <c r="AG34" s="3" t="s">
        <v>768</v>
      </c>
      <c r="AH34" s="3">
        <v>35</v>
      </c>
      <c r="AI34" s="3">
        <v>36</v>
      </c>
      <c r="AJ34" s="12"/>
      <c r="AK34" s="12"/>
      <c r="AM34" s="3"/>
    </row>
    <row r="35" spans="1:39" x14ac:dyDescent="0.3">
      <c r="A35" s="5" t="str">
        <f t="shared" si="3"/>
        <v>BBD130</v>
      </c>
      <c r="B35" s="1" t="s">
        <v>1905</v>
      </c>
      <c r="C35" s="2" t="str">
        <f t="shared" si="0"/>
        <v>DIO1</v>
      </c>
      <c r="D35" s="2">
        <v>130</v>
      </c>
      <c r="E35" s="3">
        <v>2</v>
      </c>
      <c r="F35" s="3">
        <f t="shared" si="1"/>
        <v>3</v>
      </c>
      <c r="G35" s="3">
        <v>0</v>
      </c>
      <c r="H35" s="60">
        <f t="shared" si="6"/>
        <v>1</v>
      </c>
      <c r="I35" s="54">
        <f t="shared" si="4"/>
        <v>26</v>
      </c>
      <c r="J35" s="61"/>
      <c r="K35" s="30"/>
      <c r="L35" s="1" t="s">
        <v>21</v>
      </c>
      <c r="M35" s="2">
        <v>4</v>
      </c>
      <c r="N35" s="1" t="s">
        <v>1970</v>
      </c>
      <c r="O35" s="41" t="s">
        <v>435</v>
      </c>
      <c r="P35" s="41" t="s">
        <v>1958</v>
      </c>
      <c r="Q35" s="41" t="s">
        <v>1526</v>
      </c>
      <c r="R35" s="41" t="s">
        <v>862</v>
      </c>
      <c r="S35" s="13" t="s">
        <v>1969</v>
      </c>
      <c r="T35" s="1" t="s">
        <v>1935</v>
      </c>
      <c r="V35" s="1" t="str">
        <f t="shared" si="2"/>
        <v>2.3\0.1:26</v>
      </c>
      <c r="W35" s="13" t="s">
        <v>1899</v>
      </c>
      <c r="X35" s="3">
        <v>0</v>
      </c>
      <c r="Y35" s="7"/>
      <c r="Z35" s="206" t="s">
        <v>1062</v>
      </c>
      <c r="AA35" s="206"/>
      <c r="AB35" s="7"/>
      <c r="AC35" s="7"/>
      <c r="AD35" s="7"/>
      <c r="AE35" s="7"/>
      <c r="AF35" s="7"/>
      <c r="AG35" s="3" t="s">
        <v>768</v>
      </c>
      <c r="AH35" s="3">
        <v>37</v>
      </c>
      <c r="AI35" s="3">
        <v>38</v>
      </c>
      <c r="AJ35" s="12"/>
      <c r="AK35" s="12"/>
      <c r="AM35" s="3"/>
    </row>
    <row r="36" spans="1:39" x14ac:dyDescent="0.3">
      <c r="A36" s="5" t="str">
        <f t="shared" si="3"/>
        <v>BBD130</v>
      </c>
      <c r="B36" s="1" t="s">
        <v>1905</v>
      </c>
      <c r="C36" s="2" t="str">
        <f t="shared" si="0"/>
        <v>DIO1</v>
      </c>
      <c r="D36" s="2">
        <v>130</v>
      </c>
      <c r="E36" s="3">
        <v>2</v>
      </c>
      <c r="F36" s="3">
        <f t="shared" si="1"/>
        <v>3</v>
      </c>
      <c r="G36" s="3">
        <v>0</v>
      </c>
      <c r="H36" s="60">
        <f t="shared" si="6"/>
        <v>1</v>
      </c>
      <c r="I36" s="54">
        <f t="shared" si="4"/>
        <v>27</v>
      </c>
      <c r="J36" s="61"/>
      <c r="K36" s="30"/>
      <c r="L36" s="1" t="s">
        <v>21</v>
      </c>
      <c r="M36" s="2">
        <v>4</v>
      </c>
      <c r="N36" s="1" t="s">
        <v>1968</v>
      </c>
      <c r="O36" s="220" t="s">
        <v>422</v>
      </c>
      <c r="P36" s="220" t="s">
        <v>1958</v>
      </c>
      <c r="Q36" s="221" t="s">
        <v>1524</v>
      </c>
      <c r="R36" s="220" t="s">
        <v>18</v>
      </c>
      <c r="S36" s="13" t="s">
        <v>1967</v>
      </c>
      <c r="T36" s="1" t="s">
        <v>1935</v>
      </c>
      <c r="V36" s="1" t="str">
        <f t="shared" si="2"/>
        <v>2.3\0.1:27</v>
      </c>
      <c r="W36" s="13" t="s">
        <v>1899</v>
      </c>
      <c r="X36" s="3">
        <v>0</v>
      </c>
      <c r="Y36" s="7"/>
      <c r="Z36" s="206" t="s">
        <v>1062</v>
      </c>
      <c r="AA36" s="206"/>
      <c r="AB36" s="7"/>
      <c r="AC36" s="7"/>
      <c r="AD36" s="7"/>
      <c r="AE36" s="7"/>
      <c r="AF36" s="7"/>
      <c r="AG36" s="3" t="s">
        <v>768</v>
      </c>
      <c r="AH36" s="3">
        <v>39</v>
      </c>
      <c r="AI36" s="3">
        <v>40</v>
      </c>
      <c r="AJ36" s="12"/>
      <c r="AK36" s="12"/>
      <c r="AM36" s="3"/>
    </row>
    <row r="37" spans="1:39" x14ac:dyDescent="0.3">
      <c r="A37" s="5" t="str">
        <f t="shared" si="3"/>
        <v>BBD130</v>
      </c>
      <c r="B37" s="1" t="s">
        <v>1905</v>
      </c>
      <c r="C37" s="2" t="str">
        <f t="shared" si="0"/>
        <v>DIO1</v>
      </c>
      <c r="D37" s="2">
        <v>130</v>
      </c>
      <c r="E37" s="3">
        <v>2</v>
      </c>
      <c r="F37" s="3">
        <f t="shared" si="1"/>
        <v>3</v>
      </c>
      <c r="G37" s="3">
        <v>0</v>
      </c>
      <c r="H37" s="60">
        <f t="shared" si="6"/>
        <v>1</v>
      </c>
      <c r="I37" s="54">
        <f t="shared" si="4"/>
        <v>28</v>
      </c>
      <c r="J37" s="61"/>
      <c r="K37" s="30"/>
      <c r="L37" s="1" t="s">
        <v>21</v>
      </c>
      <c r="M37" s="2">
        <v>4</v>
      </c>
      <c r="N37" s="1" t="s">
        <v>1966</v>
      </c>
      <c r="O37" s="41" t="s">
        <v>644</v>
      </c>
      <c r="P37" s="41" t="s">
        <v>1958</v>
      </c>
      <c r="Q37" s="41" t="s">
        <v>1965</v>
      </c>
      <c r="R37" s="41" t="s">
        <v>302</v>
      </c>
      <c r="S37" s="13" t="s">
        <v>1964</v>
      </c>
      <c r="T37" s="1" t="s">
        <v>1935</v>
      </c>
      <c r="V37" s="1" t="str">
        <f t="shared" si="2"/>
        <v>2.3\0.1:28</v>
      </c>
      <c r="W37" s="13" t="s">
        <v>1899</v>
      </c>
      <c r="X37" s="3">
        <v>0</v>
      </c>
      <c r="Y37" s="7"/>
      <c r="Z37" s="206" t="s">
        <v>1062</v>
      </c>
      <c r="AA37" s="206"/>
      <c r="AB37" s="7"/>
      <c r="AC37" s="7"/>
      <c r="AD37" s="7"/>
      <c r="AE37" s="7"/>
      <c r="AF37" s="7"/>
      <c r="AG37" s="3" t="s">
        <v>768</v>
      </c>
      <c r="AH37" s="3">
        <v>41</v>
      </c>
      <c r="AI37" s="3">
        <v>42</v>
      </c>
      <c r="AJ37" s="12"/>
      <c r="AK37" s="12"/>
      <c r="AM37" s="3"/>
    </row>
    <row r="38" spans="1:39" x14ac:dyDescent="0.3">
      <c r="A38" s="5" t="str">
        <f t="shared" si="3"/>
        <v>BBD130</v>
      </c>
      <c r="B38" s="1" t="s">
        <v>1905</v>
      </c>
      <c r="C38" s="2" t="str">
        <f t="shared" ref="C38:C69" si="7">C37</f>
        <v>DIO1</v>
      </c>
      <c r="D38" s="2">
        <v>130</v>
      </c>
      <c r="E38" s="3">
        <v>2</v>
      </c>
      <c r="F38" s="3">
        <f t="shared" ref="F38:F69" si="8">F37</f>
        <v>3</v>
      </c>
      <c r="G38" s="3">
        <v>0</v>
      </c>
      <c r="H38" s="60">
        <f t="shared" si="6"/>
        <v>1</v>
      </c>
      <c r="I38" s="54">
        <f t="shared" si="4"/>
        <v>29</v>
      </c>
      <c r="J38" s="61"/>
      <c r="K38" s="30"/>
      <c r="L38" s="1" t="s">
        <v>21</v>
      </c>
      <c r="M38" s="2">
        <v>4</v>
      </c>
      <c r="N38" s="1" t="s">
        <v>1963</v>
      </c>
      <c r="O38" s="41" t="s">
        <v>642</v>
      </c>
      <c r="P38" s="41" t="s">
        <v>1958</v>
      </c>
      <c r="Q38" s="41" t="s">
        <v>1519</v>
      </c>
      <c r="R38" s="41" t="s">
        <v>855</v>
      </c>
      <c r="S38" s="13" t="s">
        <v>1962</v>
      </c>
      <c r="T38" s="1" t="s">
        <v>1935</v>
      </c>
      <c r="V38" s="1" t="str">
        <f t="shared" si="2"/>
        <v>2.3\0.1:29</v>
      </c>
      <c r="W38" s="13" t="s">
        <v>1899</v>
      </c>
      <c r="X38" s="3">
        <v>0</v>
      </c>
      <c r="Y38" s="7"/>
      <c r="Z38" s="206" t="s">
        <v>1062</v>
      </c>
      <c r="AA38" s="206"/>
      <c r="AB38" s="7"/>
      <c r="AC38" s="7"/>
      <c r="AD38" s="7"/>
      <c r="AE38" s="7"/>
      <c r="AF38" s="7"/>
      <c r="AG38" s="3" t="s">
        <v>768</v>
      </c>
      <c r="AH38" s="3">
        <v>43</v>
      </c>
      <c r="AI38" s="3">
        <v>44</v>
      </c>
      <c r="AJ38" s="12"/>
      <c r="AK38" s="12"/>
      <c r="AM38" s="3"/>
    </row>
    <row r="39" spans="1:39" x14ac:dyDescent="0.3">
      <c r="A39" s="5" t="str">
        <f t="shared" si="3"/>
        <v>BBD130</v>
      </c>
      <c r="B39" s="1" t="s">
        <v>1905</v>
      </c>
      <c r="C39" s="2" t="str">
        <f t="shared" si="7"/>
        <v>DIO1</v>
      </c>
      <c r="D39" s="2">
        <v>130</v>
      </c>
      <c r="E39" s="3">
        <v>2</v>
      </c>
      <c r="F39" s="3">
        <f t="shared" si="8"/>
        <v>3</v>
      </c>
      <c r="G39" s="3">
        <v>0</v>
      </c>
      <c r="H39" s="60">
        <f t="shared" si="6"/>
        <v>1</v>
      </c>
      <c r="I39" s="54">
        <f t="shared" si="4"/>
        <v>30</v>
      </c>
      <c r="J39" s="61"/>
      <c r="K39" s="30"/>
      <c r="L39" s="1" t="s">
        <v>21</v>
      </c>
      <c r="M39" s="2">
        <v>4</v>
      </c>
      <c r="N39" s="1" t="s">
        <v>1961</v>
      </c>
      <c r="O39" s="220" t="s">
        <v>640</v>
      </c>
      <c r="P39" s="220" t="s">
        <v>1958</v>
      </c>
      <c r="Q39" s="221" t="s">
        <v>1519</v>
      </c>
      <c r="R39" s="220" t="s">
        <v>1518</v>
      </c>
      <c r="S39" s="13" t="s">
        <v>1960</v>
      </c>
      <c r="T39" s="1" t="s">
        <v>1935</v>
      </c>
      <c r="V39" s="1" t="str">
        <f t="shared" si="2"/>
        <v>2.3\0.1:30</v>
      </c>
      <c r="W39" s="13" t="s">
        <v>1899</v>
      </c>
      <c r="X39" s="3">
        <v>0</v>
      </c>
      <c r="Y39" s="7"/>
      <c r="Z39" s="206" t="s">
        <v>1062</v>
      </c>
      <c r="AA39" s="206"/>
      <c r="AB39" s="7"/>
      <c r="AC39" s="7"/>
      <c r="AD39" s="7"/>
      <c r="AE39" s="7"/>
      <c r="AF39" s="7"/>
      <c r="AG39" s="3" t="s">
        <v>768</v>
      </c>
      <c r="AH39" s="3">
        <v>45</v>
      </c>
      <c r="AI39" s="3">
        <v>46</v>
      </c>
      <c r="AJ39" s="12"/>
      <c r="AK39" s="12"/>
      <c r="AM39" s="3"/>
    </row>
    <row r="40" spans="1:39" ht="13.5" thickBot="1" x14ac:dyDescent="0.35">
      <c r="A40" s="5" t="str">
        <f t="shared" si="3"/>
        <v>BBD130</v>
      </c>
      <c r="B40" s="1" t="s">
        <v>1905</v>
      </c>
      <c r="C40" s="2" t="str">
        <f t="shared" si="7"/>
        <v>DIO1</v>
      </c>
      <c r="D40" s="2">
        <v>130</v>
      </c>
      <c r="E40" s="3">
        <v>2</v>
      </c>
      <c r="F40" s="3">
        <f t="shared" si="8"/>
        <v>3</v>
      </c>
      <c r="G40" s="3">
        <v>0</v>
      </c>
      <c r="H40" s="60">
        <f t="shared" si="6"/>
        <v>1</v>
      </c>
      <c r="I40" s="59">
        <f t="shared" si="4"/>
        <v>31</v>
      </c>
      <c r="J40" s="58"/>
      <c r="K40" s="30"/>
      <c r="L40" s="1" t="s">
        <v>21</v>
      </c>
      <c r="M40" s="2">
        <v>4</v>
      </c>
      <c r="N40" s="1" t="s">
        <v>1959</v>
      </c>
      <c r="O40" s="1" t="s">
        <v>637</v>
      </c>
      <c r="P40" s="1" t="s">
        <v>1958</v>
      </c>
      <c r="Q40" s="1" t="s">
        <v>1957</v>
      </c>
      <c r="R40" s="1" t="s">
        <v>46</v>
      </c>
      <c r="S40" s="13" t="s">
        <v>1956</v>
      </c>
      <c r="T40" s="1" t="s">
        <v>1935</v>
      </c>
      <c r="V40" s="1" t="str">
        <f t="shared" si="2"/>
        <v>2.3\0.1:31</v>
      </c>
      <c r="W40" s="13" t="s">
        <v>1899</v>
      </c>
      <c r="X40" s="3">
        <v>0</v>
      </c>
      <c r="Y40" s="7"/>
      <c r="Z40" s="206" t="s">
        <v>1062</v>
      </c>
      <c r="AA40" s="206"/>
      <c r="AB40" s="7"/>
      <c r="AC40" s="7"/>
      <c r="AD40" s="7"/>
      <c r="AE40" s="7"/>
      <c r="AF40" s="7"/>
      <c r="AG40" s="3" t="s">
        <v>768</v>
      </c>
      <c r="AH40" s="3">
        <v>47</v>
      </c>
      <c r="AI40" s="3">
        <v>48</v>
      </c>
      <c r="AJ40" s="12"/>
      <c r="AK40" s="12"/>
      <c r="AM40" s="3"/>
    </row>
    <row r="41" spans="1:39" x14ac:dyDescent="0.3">
      <c r="A41" s="76" t="s">
        <v>1471</v>
      </c>
      <c r="B41" s="1" t="s">
        <v>1905</v>
      </c>
      <c r="C41" s="2" t="str">
        <f t="shared" si="7"/>
        <v>DIO1</v>
      </c>
      <c r="D41" s="2">
        <v>130</v>
      </c>
      <c r="E41" s="3">
        <v>2</v>
      </c>
      <c r="F41" s="3">
        <f t="shared" si="8"/>
        <v>3</v>
      </c>
      <c r="G41" s="3">
        <v>0</v>
      </c>
      <c r="H41" s="57">
        <v>2</v>
      </c>
      <c r="I41" s="56">
        <v>0</v>
      </c>
      <c r="J41" s="79" t="s">
        <v>549</v>
      </c>
      <c r="K41" s="2" t="s">
        <v>548</v>
      </c>
      <c r="L41" s="30" t="s">
        <v>42</v>
      </c>
      <c r="M41" s="2">
        <v>4</v>
      </c>
      <c r="N41" s="1" t="s">
        <v>1955</v>
      </c>
      <c r="O41" s="1" t="s">
        <v>1134</v>
      </c>
      <c r="P41" s="1" t="s">
        <v>1910</v>
      </c>
      <c r="Q41" s="1" t="s">
        <v>1954</v>
      </c>
      <c r="T41" s="1" t="s">
        <v>1907</v>
      </c>
      <c r="V41" s="1" t="str">
        <f t="shared" ref="V41:V72" si="9">+CONCATENATE(E41,".",F41,"\",G41,".",H41,":",I41)</f>
        <v>2.3\0.2:0</v>
      </c>
      <c r="W41" s="13" t="s">
        <v>1906</v>
      </c>
      <c r="X41" s="3">
        <v>0</v>
      </c>
      <c r="Z41" s="206" t="s">
        <v>1062</v>
      </c>
      <c r="AG41" s="3" t="s">
        <v>588</v>
      </c>
      <c r="AH41" s="3">
        <v>1</v>
      </c>
      <c r="AI41" s="3">
        <v>2</v>
      </c>
      <c r="AM41" s="3"/>
    </row>
    <row r="42" spans="1:39" x14ac:dyDescent="0.3">
      <c r="A42" s="5" t="str">
        <f t="shared" ref="A42:A56" si="10">A41</f>
        <v>BBD130</v>
      </c>
      <c r="B42" s="1" t="s">
        <v>1905</v>
      </c>
      <c r="C42" s="2" t="str">
        <f t="shared" si="7"/>
        <v>DIO1</v>
      </c>
      <c r="D42" s="2">
        <v>130</v>
      </c>
      <c r="E42" s="3">
        <v>2</v>
      </c>
      <c r="F42" s="3">
        <f t="shared" si="8"/>
        <v>3</v>
      </c>
      <c r="G42" s="3">
        <v>0</v>
      </c>
      <c r="H42" s="60">
        <f>H41</f>
        <v>2</v>
      </c>
      <c r="I42" s="54">
        <f t="shared" ref="I42:I56" si="11">+I41+1</f>
        <v>1</v>
      </c>
      <c r="J42" s="78"/>
      <c r="K42" s="30"/>
      <c r="L42" s="30" t="s">
        <v>42</v>
      </c>
      <c r="M42" s="2">
        <v>4</v>
      </c>
      <c r="N42" s="1" t="s">
        <v>1953</v>
      </c>
      <c r="O42" s="1" t="s">
        <v>1126</v>
      </c>
      <c r="P42" s="1" t="s">
        <v>1910</v>
      </c>
      <c r="Q42" s="1" t="s">
        <v>1952</v>
      </c>
      <c r="T42" s="1" t="s">
        <v>1907</v>
      </c>
      <c r="V42" s="1" t="str">
        <f t="shared" si="9"/>
        <v>2.3\0.2:1</v>
      </c>
      <c r="W42" s="13" t="s">
        <v>1906</v>
      </c>
      <c r="X42" s="3">
        <v>0</v>
      </c>
      <c r="Z42" s="206" t="s">
        <v>1062</v>
      </c>
      <c r="AG42" s="3" t="s">
        <v>588</v>
      </c>
      <c r="AH42" s="3">
        <v>3</v>
      </c>
      <c r="AI42" s="3">
        <v>4</v>
      </c>
      <c r="AM42" s="3"/>
    </row>
    <row r="43" spans="1:39" x14ac:dyDescent="0.3">
      <c r="A43" s="5" t="str">
        <f t="shared" si="10"/>
        <v>BBD130</v>
      </c>
      <c r="B43" s="1" t="s">
        <v>1905</v>
      </c>
      <c r="C43" s="2" t="str">
        <f t="shared" si="7"/>
        <v>DIO1</v>
      </c>
      <c r="D43" s="2">
        <v>130</v>
      </c>
      <c r="E43" s="3">
        <v>2</v>
      </c>
      <c r="F43" s="3">
        <f t="shared" si="8"/>
        <v>3</v>
      </c>
      <c r="G43" s="3">
        <v>0</v>
      </c>
      <c r="H43" s="55">
        <f t="shared" ref="H43:H56" si="12">+H42</f>
        <v>2</v>
      </c>
      <c r="I43" s="54">
        <f t="shared" si="11"/>
        <v>2</v>
      </c>
      <c r="J43" s="78"/>
      <c r="K43" s="27"/>
      <c r="L43" s="30" t="s">
        <v>42</v>
      </c>
      <c r="M43" s="2">
        <v>4</v>
      </c>
      <c r="N43" s="1" t="s">
        <v>1951</v>
      </c>
      <c r="O43" s="1" t="s">
        <v>1670</v>
      </c>
      <c r="P43" s="1" t="s">
        <v>1910</v>
      </c>
      <c r="Q43" s="1" t="s">
        <v>1950</v>
      </c>
      <c r="T43" s="1" t="s">
        <v>1907</v>
      </c>
      <c r="V43" s="1" t="str">
        <f t="shared" si="9"/>
        <v>2.3\0.2:2</v>
      </c>
      <c r="W43" s="13" t="s">
        <v>1906</v>
      </c>
      <c r="X43" s="3">
        <v>0</v>
      </c>
      <c r="Z43" s="206" t="s">
        <v>1062</v>
      </c>
      <c r="AG43" s="3" t="s">
        <v>588</v>
      </c>
      <c r="AH43" s="3">
        <v>5</v>
      </c>
      <c r="AI43" s="3">
        <v>6</v>
      </c>
      <c r="AM43" s="3"/>
    </row>
    <row r="44" spans="1:39" x14ac:dyDescent="0.3">
      <c r="A44" s="5" t="str">
        <f t="shared" si="10"/>
        <v>BBD130</v>
      </c>
      <c r="B44" s="1" t="s">
        <v>1905</v>
      </c>
      <c r="C44" s="2" t="str">
        <f t="shared" si="7"/>
        <v>DIO1</v>
      </c>
      <c r="D44" s="2">
        <v>130</v>
      </c>
      <c r="E44" s="3">
        <v>2</v>
      </c>
      <c r="F44" s="3">
        <f t="shared" si="8"/>
        <v>3</v>
      </c>
      <c r="G44" s="3">
        <v>0</v>
      </c>
      <c r="H44" s="55">
        <f t="shared" si="12"/>
        <v>2</v>
      </c>
      <c r="I44" s="54">
        <f t="shared" si="11"/>
        <v>3</v>
      </c>
      <c r="J44" s="78"/>
      <c r="K44" s="27"/>
      <c r="L44" s="30" t="s">
        <v>42</v>
      </c>
      <c r="M44" s="2">
        <v>4</v>
      </c>
      <c r="N44" s="1" t="s">
        <v>1949</v>
      </c>
      <c r="O44" s="1" t="s">
        <v>1397</v>
      </c>
      <c r="P44" s="1" t="s">
        <v>1910</v>
      </c>
      <c r="Q44" s="1" t="s">
        <v>1948</v>
      </c>
      <c r="T44" s="1" t="s">
        <v>1907</v>
      </c>
      <c r="V44" s="1" t="str">
        <f t="shared" si="9"/>
        <v>2.3\0.2:3</v>
      </c>
      <c r="W44" s="13" t="s">
        <v>1906</v>
      </c>
      <c r="X44" s="3">
        <v>0</v>
      </c>
      <c r="Z44" s="206" t="s">
        <v>1062</v>
      </c>
      <c r="AG44" s="3" t="s">
        <v>588</v>
      </c>
      <c r="AH44" s="3">
        <v>7</v>
      </c>
      <c r="AI44" s="3">
        <v>8</v>
      </c>
      <c r="AM44" s="3"/>
    </row>
    <row r="45" spans="1:39" x14ac:dyDescent="0.3">
      <c r="A45" s="5" t="str">
        <f t="shared" si="10"/>
        <v>BBD130</v>
      </c>
      <c r="B45" s="1" t="s">
        <v>1905</v>
      </c>
      <c r="C45" s="2" t="str">
        <f t="shared" si="7"/>
        <v>DIO1</v>
      </c>
      <c r="D45" s="2">
        <v>130</v>
      </c>
      <c r="E45" s="3">
        <v>2</v>
      </c>
      <c r="F45" s="3">
        <f t="shared" si="8"/>
        <v>3</v>
      </c>
      <c r="G45" s="3">
        <v>0</v>
      </c>
      <c r="H45" s="55">
        <f t="shared" si="12"/>
        <v>2</v>
      </c>
      <c r="I45" s="54">
        <f t="shared" si="11"/>
        <v>4</v>
      </c>
      <c r="J45" s="78"/>
      <c r="K45" s="27"/>
      <c r="L45" s="30" t="s">
        <v>42</v>
      </c>
      <c r="M45" s="2">
        <v>4</v>
      </c>
      <c r="N45" s="1" t="s">
        <v>1947</v>
      </c>
      <c r="O45" s="1" t="s">
        <v>1394</v>
      </c>
      <c r="P45" s="1" t="s">
        <v>1910</v>
      </c>
      <c r="Q45" s="1" t="s">
        <v>1946</v>
      </c>
      <c r="T45" s="1" t="s">
        <v>1907</v>
      </c>
      <c r="V45" s="1" t="str">
        <f t="shared" si="9"/>
        <v>2.3\0.2:4</v>
      </c>
      <c r="W45" s="13" t="s">
        <v>1906</v>
      </c>
      <c r="X45" s="3">
        <v>0</v>
      </c>
      <c r="Z45" s="206" t="s">
        <v>1062</v>
      </c>
      <c r="AG45" s="3" t="s">
        <v>588</v>
      </c>
      <c r="AH45" s="3">
        <v>9</v>
      </c>
      <c r="AI45" s="3">
        <v>10</v>
      </c>
      <c r="AM45" s="3"/>
    </row>
    <row r="46" spans="1:39" x14ac:dyDescent="0.3">
      <c r="A46" s="5" t="str">
        <f t="shared" si="10"/>
        <v>BBD130</v>
      </c>
      <c r="B46" s="1" t="s">
        <v>1905</v>
      </c>
      <c r="C46" s="2" t="str">
        <f t="shared" si="7"/>
        <v>DIO1</v>
      </c>
      <c r="D46" s="2">
        <v>130</v>
      </c>
      <c r="E46" s="3">
        <v>2</v>
      </c>
      <c r="F46" s="3">
        <f t="shared" si="8"/>
        <v>3</v>
      </c>
      <c r="G46" s="3">
        <v>0</v>
      </c>
      <c r="H46" s="55">
        <f t="shared" si="12"/>
        <v>2</v>
      </c>
      <c r="I46" s="54">
        <f t="shared" si="11"/>
        <v>5</v>
      </c>
      <c r="J46" s="78"/>
      <c r="K46" s="27"/>
      <c r="L46" s="30" t="s">
        <v>42</v>
      </c>
      <c r="M46" s="2">
        <v>4</v>
      </c>
      <c r="N46" s="1" t="s">
        <v>1945</v>
      </c>
      <c r="O46" s="1" t="s">
        <v>1391</v>
      </c>
      <c r="P46" s="1" t="s">
        <v>1910</v>
      </c>
      <c r="Q46" s="1" t="s">
        <v>1944</v>
      </c>
      <c r="T46" s="1" t="s">
        <v>1907</v>
      </c>
      <c r="V46" s="1" t="str">
        <f t="shared" si="9"/>
        <v>2.3\0.2:5</v>
      </c>
      <c r="W46" s="13" t="s">
        <v>1906</v>
      </c>
      <c r="X46" s="3">
        <v>0</v>
      </c>
      <c r="Z46" s="206" t="s">
        <v>1062</v>
      </c>
      <c r="AG46" s="3" t="s">
        <v>588</v>
      </c>
      <c r="AH46" s="3">
        <v>11</v>
      </c>
      <c r="AI46" s="3">
        <v>12</v>
      </c>
      <c r="AM46" s="3"/>
    </row>
    <row r="47" spans="1:39" x14ac:dyDescent="0.3">
      <c r="A47" s="5" t="str">
        <f t="shared" si="10"/>
        <v>BBD130</v>
      </c>
      <c r="B47" s="1" t="s">
        <v>1905</v>
      </c>
      <c r="C47" s="2" t="str">
        <f t="shared" si="7"/>
        <v>DIO1</v>
      </c>
      <c r="D47" s="2">
        <v>130</v>
      </c>
      <c r="E47" s="3">
        <v>2</v>
      </c>
      <c r="F47" s="3">
        <f t="shared" si="8"/>
        <v>3</v>
      </c>
      <c r="G47" s="3">
        <v>0</v>
      </c>
      <c r="H47" s="55">
        <f t="shared" si="12"/>
        <v>2</v>
      </c>
      <c r="I47" s="54">
        <f t="shared" si="11"/>
        <v>6</v>
      </c>
      <c r="J47" s="78"/>
      <c r="K47" s="27"/>
      <c r="L47" s="30" t="s">
        <v>42</v>
      </c>
      <c r="M47" s="2"/>
      <c r="Q47" s="1" t="s">
        <v>302</v>
      </c>
      <c r="V47" s="1" t="str">
        <f t="shared" si="9"/>
        <v>2.3\0.2:6</v>
      </c>
      <c r="Z47" s="206" t="s">
        <v>1062</v>
      </c>
      <c r="AG47" s="3" t="s">
        <v>588</v>
      </c>
      <c r="AH47" s="3">
        <v>13</v>
      </c>
      <c r="AI47" s="3">
        <v>14</v>
      </c>
      <c r="AM47" s="3"/>
    </row>
    <row r="48" spans="1:39" x14ac:dyDescent="0.3">
      <c r="A48" s="5" t="str">
        <f t="shared" si="10"/>
        <v>BBD130</v>
      </c>
      <c r="B48" s="1" t="s">
        <v>1905</v>
      </c>
      <c r="C48" s="2" t="str">
        <f t="shared" si="7"/>
        <v>DIO1</v>
      </c>
      <c r="D48" s="2">
        <v>130</v>
      </c>
      <c r="E48" s="3">
        <v>2</v>
      </c>
      <c r="F48" s="3">
        <f t="shared" si="8"/>
        <v>3</v>
      </c>
      <c r="G48" s="3">
        <v>0</v>
      </c>
      <c r="H48" s="55">
        <f t="shared" si="12"/>
        <v>2</v>
      </c>
      <c r="I48" s="54">
        <f t="shared" si="11"/>
        <v>7</v>
      </c>
      <c r="J48" s="78"/>
      <c r="K48" s="27"/>
      <c r="L48" s="30" t="s">
        <v>42</v>
      </c>
      <c r="M48" s="2"/>
      <c r="Q48" s="1" t="s">
        <v>302</v>
      </c>
      <c r="V48" s="1" t="str">
        <f t="shared" si="9"/>
        <v>2.3\0.2:7</v>
      </c>
      <c r="Z48" s="206" t="s">
        <v>1062</v>
      </c>
      <c r="AG48" s="3" t="s">
        <v>588</v>
      </c>
      <c r="AH48" s="3">
        <v>15</v>
      </c>
      <c r="AI48" s="3">
        <v>16</v>
      </c>
      <c r="AM48" s="3"/>
    </row>
    <row r="49" spans="1:39" x14ac:dyDescent="0.3">
      <c r="A49" s="5" t="str">
        <f t="shared" si="10"/>
        <v>BBD130</v>
      </c>
      <c r="B49" s="1" t="s">
        <v>1905</v>
      </c>
      <c r="C49" s="2" t="str">
        <f t="shared" si="7"/>
        <v>DIO1</v>
      </c>
      <c r="D49" s="2">
        <v>130</v>
      </c>
      <c r="E49" s="3">
        <v>2</v>
      </c>
      <c r="F49" s="3">
        <f t="shared" si="8"/>
        <v>3</v>
      </c>
      <c r="G49" s="3">
        <v>0</v>
      </c>
      <c r="H49" s="55">
        <f t="shared" si="12"/>
        <v>2</v>
      </c>
      <c r="I49" s="54">
        <f t="shared" si="11"/>
        <v>8</v>
      </c>
      <c r="J49" s="78"/>
      <c r="K49" s="27"/>
      <c r="L49" s="30" t="s">
        <v>42</v>
      </c>
      <c r="M49" s="2"/>
      <c r="Q49" s="1" t="s">
        <v>302</v>
      </c>
      <c r="V49" s="1" t="str">
        <f t="shared" si="9"/>
        <v>2.3\0.2:8</v>
      </c>
      <c r="Y49" s="7"/>
      <c r="Z49" s="206" t="s">
        <v>1062</v>
      </c>
      <c r="AA49" s="206"/>
      <c r="AG49" s="3" t="s">
        <v>588</v>
      </c>
      <c r="AH49" s="3">
        <v>17</v>
      </c>
      <c r="AI49" s="3">
        <v>18</v>
      </c>
      <c r="AM49" s="3"/>
    </row>
    <row r="50" spans="1:39" x14ac:dyDescent="0.3">
      <c r="A50" s="5" t="str">
        <f t="shared" si="10"/>
        <v>BBD130</v>
      </c>
      <c r="B50" s="1" t="s">
        <v>1905</v>
      </c>
      <c r="C50" s="2" t="str">
        <f t="shared" si="7"/>
        <v>DIO1</v>
      </c>
      <c r="D50" s="2">
        <v>130</v>
      </c>
      <c r="E50" s="3">
        <v>2</v>
      </c>
      <c r="F50" s="3">
        <f t="shared" si="8"/>
        <v>3</v>
      </c>
      <c r="G50" s="3">
        <v>0</v>
      </c>
      <c r="H50" s="55">
        <f t="shared" si="12"/>
        <v>2</v>
      </c>
      <c r="I50" s="54">
        <f t="shared" si="11"/>
        <v>9</v>
      </c>
      <c r="J50" s="78"/>
      <c r="K50" s="27"/>
      <c r="L50" s="30" t="s">
        <v>42</v>
      </c>
      <c r="M50" s="2"/>
      <c r="Q50" s="1" t="s">
        <v>302</v>
      </c>
      <c r="V50" s="1" t="str">
        <f t="shared" si="9"/>
        <v>2.3\0.2:9</v>
      </c>
      <c r="Y50" s="7"/>
      <c r="Z50" s="206" t="s">
        <v>1062</v>
      </c>
      <c r="AA50" s="206"/>
      <c r="AG50" s="3" t="s">
        <v>588</v>
      </c>
      <c r="AH50" s="3">
        <v>19</v>
      </c>
      <c r="AI50" s="3">
        <v>20</v>
      </c>
      <c r="AM50" s="3"/>
    </row>
    <row r="51" spans="1:39" x14ac:dyDescent="0.3">
      <c r="A51" s="5" t="str">
        <f t="shared" si="10"/>
        <v>BBD130</v>
      </c>
      <c r="B51" s="1" t="s">
        <v>1905</v>
      </c>
      <c r="C51" s="2" t="str">
        <f t="shared" si="7"/>
        <v>DIO1</v>
      </c>
      <c r="D51" s="2">
        <v>130</v>
      </c>
      <c r="E51" s="3">
        <v>2</v>
      </c>
      <c r="F51" s="3">
        <f t="shared" si="8"/>
        <v>3</v>
      </c>
      <c r="G51" s="3">
        <v>0</v>
      </c>
      <c r="H51" s="55">
        <f t="shared" si="12"/>
        <v>2</v>
      </c>
      <c r="I51" s="54">
        <f t="shared" si="11"/>
        <v>10</v>
      </c>
      <c r="J51" s="78"/>
      <c r="K51" s="27"/>
      <c r="L51" s="30" t="s">
        <v>42</v>
      </c>
      <c r="M51" s="2"/>
      <c r="Q51" s="1" t="s">
        <v>302</v>
      </c>
      <c r="R51" s="24"/>
      <c r="S51" s="24"/>
      <c r="V51" s="1" t="str">
        <f t="shared" si="9"/>
        <v>2.3\0.2:10</v>
      </c>
      <c r="Z51" s="206" t="s">
        <v>1062</v>
      </c>
      <c r="AG51" s="3" t="s">
        <v>588</v>
      </c>
      <c r="AH51" s="3">
        <v>21</v>
      </c>
      <c r="AI51" s="3">
        <v>22</v>
      </c>
      <c r="AM51" s="3"/>
    </row>
    <row r="52" spans="1:39" x14ac:dyDescent="0.3">
      <c r="A52" s="5" t="str">
        <f t="shared" si="10"/>
        <v>BBD130</v>
      </c>
      <c r="B52" s="1" t="s">
        <v>1905</v>
      </c>
      <c r="C52" s="2" t="str">
        <f t="shared" si="7"/>
        <v>DIO1</v>
      </c>
      <c r="D52" s="2">
        <v>130</v>
      </c>
      <c r="E52" s="3">
        <v>2</v>
      </c>
      <c r="F52" s="3">
        <f t="shared" si="8"/>
        <v>3</v>
      </c>
      <c r="G52" s="3">
        <v>0</v>
      </c>
      <c r="H52" s="55">
        <f t="shared" si="12"/>
        <v>2</v>
      </c>
      <c r="I52" s="54">
        <f t="shared" si="11"/>
        <v>11</v>
      </c>
      <c r="J52" s="78"/>
      <c r="K52" s="27"/>
      <c r="L52" s="30" t="s">
        <v>42</v>
      </c>
      <c r="M52" s="2"/>
      <c r="Q52" s="1" t="s">
        <v>302</v>
      </c>
      <c r="R52" s="24"/>
      <c r="S52" s="24"/>
      <c r="V52" s="1" t="str">
        <f t="shared" si="9"/>
        <v>2.3\0.2:11</v>
      </c>
      <c r="Z52" s="206" t="s">
        <v>1062</v>
      </c>
      <c r="AG52" s="3" t="s">
        <v>588</v>
      </c>
      <c r="AH52" s="3">
        <v>23</v>
      </c>
      <c r="AI52" s="3">
        <v>24</v>
      </c>
      <c r="AM52" s="3"/>
    </row>
    <row r="53" spans="1:39" x14ac:dyDescent="0.3">
      <c r="A53" s="5" t="str">
        <f t="shared" si="10"/>
        <v>BBD130</v>
      </c>
      <c r="B53" s="1" t="s">
        <v>1905</v>
      </c>
      <c r="C53" s="2" t="str">
        <f t="shared" si="7"/>
        <v>DIO1</v>
      </c>
      <c r="D53" s="2">
        <v>130</v>
      </c>
      <c r="E53" s="3">
        <v>2</v>
      </c>
      <c r="F53" s="3">
        <f t="shared" si="8"/>
        <v>3</v>
      </c>
      <c r="G53" s="3">
        <v>0</v>
      </c>
      <c r="H53" s="55">
        <f t="shared" si="12"/>
        <v>2</v>
      </c>
      <c r="I53" s="54">
        <f t="shared" si="11"/>
        <v>12</v>
      </c>
      <c r="J53" s="78"/>
      <c r="K53" s="27"/>
      <c r="L53" s="30" t="s">
        <v>42</v>
      </c>
      <c r="M53" s="2"/>
      <c r="Q53" s="1" t="s">
        <v>302</v>
      </c>
      <c r="R53" s="24"/>
      <c r="S53" s="24"/>
      <c r="V53" s="1" t="str">
        <f t="shared" si="9"/>
        <v>2.3\0.2:12</v>
      </c>
      <c r="Z53" s="206" t="s">
        <v>1062</v>
      </c>
      <c r="AG53" s="3" t="s">
        <v>588</v>
      </c>
      <c r="AH53" s="3">
        <v>25</v>
      </c>
      <c r="AI53" s="3">
        <v>26</v>
      </c>
      <c r="AM53" s="3"/>
    </row>
    <row r="54" spans="1:39" x14ac:dyDescent="0.3">
      <c r="A54" s="5" t="str">
        <f t="shared" si="10"/>
        <v>BBD130</v>
      </c>
      <c r="B54" s="1" t="s">
        <v>1905</v>
      </c>
      <c r="C54" s="2" t="str">
        <f t="shared" si="7"/>
        <v>DIO1</v>
      </c>
      <c r="D54" s="2">
        <v>130</v>
      </c>
      <c r="E54" s="3">
        <v>2</v>
      </c>
      <c r="F54" s="3">
        <f t="shared" si="8"/>
        <v>3</v>
      </c>
      <c r="G54" s="3">
        <v>0</v>
      </c>
      <c r="H54" s="55">
        <f t="shared" si="12"/>
        <v>2</v>
      </c>
      <c r="I54" s="54">
        <f t="shared" si="11"/>
        <v>13</v>
      </c>
      <c r="J54" s="78"/>
      <c r="K54" s="27"/>
      <c r="L54" s="30" t="s">
        <v>42</v>
      </c>
      <c r="M54" s="2"/>
      <c r="Q54" s="1" t="s">
        <v>302</v>
      </c>
      <c r="R54" s="24"/>
      <c r="S54" s="24"/>
      <c r="V54" s="1" t="str">
        <f t="shared" si="9"/>
        <v>2.3\0.2:13</v>
      </c>
      <c r="Z54" s="206" t="s">
        <v>1062</v>
      </c>
      <c r="AG54" s="3" t="s">
        <v>588</v>
      </c>
      <c r="AH54" s="3">
        <v>27</v>
      </c>
      <c r="AI54" s="3">
        <v>28</v>
      </c>
      <c r="AM54" s="3"/>
    </row>
    <row r="55" spans="1:39" x14ac:dyDescent="0.3">
      <c r="A55" s="5" t="str">
        <f t="shared" si="10"/>
        <v>BBD130</v>
      </c>
      <c r="B55" s="1" t="s">
        <v>1905</v>
      </c>
      <c r="C55" s="2" t="str">
        <f t="shared" si="7"/>
        <v>DIO1</v>
      </c>
      <c r="D55" s="2">
        <v>130</v>
      </c>
      <c r="E55" s="3">
        <v>2</v>
      </c>
      <c r="F55" s="3">
        <f t="shared" si="8"/>
        <v>3</v>
      </c>
      <c r="G55" s="3">
        <v>0</v>
      </c>
      <c r="H55" s="55">
        <f t="shared" si="12"/>
        <v>2</v>
      </c>
      <c r="I55" s="54">
        <f t="shared" si="11"/>
        <v>14</v>
      </c>
      <c r="J55" s="78"/>
      <c r="K55" s="27"/>
      <c r="L55" s="30" t="s">
        <v>42</v>
      </c>
      <c r="M55" s="2"/>
      <c r="Q55" s="1" t="s">
        <v>302</v>
      </c>
      <c r="V55" s="1" t="str">
        <f t="shared" si="9"/>
        <v>2.3\0.2:14</v>
      </c>
      <c r="Z55" s="206" t="s">
        <v>1062</v>
      </c>
      <c r="AG55" s="3" t="s">
        <v>588</v>
      </c>
      <c r="AH55" s="3">
        <v>29</v>
      </c>
      <c r="AI55" s="3">
        <v>30</v>
      </c>
      <c r="AM55" s="3"/>
    </row>
    <row r="56" spans="1:39" ht="13.5" thickBot="1" x14ac:dyDescent="0.35">
      <c r="A56" s="5" t="str">
        <f t="shared" si="10"/>
        <v>BBD130</v>
      </c>
      <c r="B56" s="1" t="s">
        <v>1905</v>
      </c>
      <c r="C56" s="2" t="str">
        <f t="shared" si="7"/>
        <v>DIO1</v>
      </c>
      <c r="D56" s="2">
        <v>130</v>
      </c>
      <c r="E56" s="3">
        <v>2</v>
      </c>
      <c r="F56" s="3">
        <f t="shared" si="8"/>
        <v>3</v>
      </c>
      <c r="G56" s="3">
        <v>0</v>
      </c>
      <c r="H56" s="55">
        <f t="shared" si="12"/>
        <v>2</v>
      </c>
      <c r="I56" s="59">
        <f t="shared" si="11"/>
        <v>15</v>
      </c>
      <c r="J56" s="77"/>
      <c r="K56" s="27"/>
      <c r="L56" s="30" t="s">
        <v>42</v>
      </c>
      <c r="M56" s="2">
        <v>4</v>
      </c>
      <c r="N56" s="1" t="s">
        <v>1943</v>
      </c>
      <c r="O56" s="1" t="s">
        <v>1942</v>
      </c>
      <c r="P56" s="1" t="s">
        <v>1910</v>
      </c>
      <c r="Q56" s="1" t="s">
        <v>1941</v>
      </c>
      <c r="T56" s="1" t="s">
        <v>1907</v>
      </c>
      <c r="V56" s="1" t="str">
        <f t="shared" si="9"/>
        <v>2.3\0.2:15</v>
      </c>
      <c r="W56" s="13" t="s">
        <v>1906</v>
      </c>
      <c r="X56" s="3">
        <v>0</v>
      </c>
      <c r="Z56" s="206" t="s">
        <v>1062</v>
      </c>
      <c r="AG56" s="3" t="s">
        <v>588</v>
      </c>
      <c r="AH56" s="3">
        <v>31</v>
      </c>
      <c r="AI56" s="3">
        <v>32</v>
      </c>
      <c r="AM56" s="3"/>
    </row>
    <row r="57" spans="1:39" x14ac:dyDescent="0.3">
      <c r="A57" s="76" t="s">
        <v>1471</v>
      </c>
      <c r="B57" s="1" t="s">
        <v>1905</v>
      </c>
      <c r="C57" s="2" t="str">
        <f t="shared" si="7"/>
        <v>DIO1</v>
      </c>
      <c r="D57" s="2">
        <v>130</v>
      </c>
      <c r="E57" s="3">
        <v>2</v>
      </c>
      <c r="F57" s="3">
        <f t="shared" si="8"/>
        <v>3</v>
      </c>
      <c r="G57" s="3">
        <v>0</v>
      </c>
      <c r="H57" s="62">
        <v>3</v>
      </c>
      <c r="I57" s="56">
        <v>0</v>
      </c>
      <c r="J57" s="79" t="s">
        <v>549</v>
      </c>
      <c r="K57" s="2" t="s">
        <v>548</v>
      </c>
      <c r="L57" s="30" t="s">
        <v>42</v>
      </c>
      <c r="M57" s="2">
        <v>4</v>
      </c>
      <c r="N57" s="1" t="s">
        <v>1907</v>
      </c>
      <c r="O57" s="1" t="s">
        <v>52</v>
      </c>
      <c r="P57" s="1" t="s">
        <v>1910</v>
      </c>
      <c r="Q57" s="1" t="s">
        <v>1939</v>
      </c>
      <c r="R57" s="1" t="s">
        <v>1940</v>
      </c>
      <c r="T57" s="1" t="s">
        <v>1907</v>
      </c>
      <c r="V57" s="1" t="str">
        <f t="shared" si="9"/>
        <v>2.3\0.3:0</v>
      </c>
      <c r="W57" s="2" t="s">
        <v>1899</v>
      </c>
      <c r="X57" s="3">
        <v>0</v>
      </c>
      <c r="Z57" s="206" t="s">
        <v>1062</v>
      </c>
      <c r="AG57" s="3" t="s">
        <v>570</v>
      </c>
      <c r="AH57" s="3">
        <v>1</v>
      </c>
      <c r="AI57" s="3">
        <v>2</v>
      </c>
      <c r="AM57" s="3"/>
    </row>
    <row r="58" spans="1:39" x14ac:dyDescent="0.3">
      <c r="A58" s="5" t="str">
        <f t="shared" ref="A58:A72" si="13">A57</f>
        <v>BBD130</v>
      </c>
      <c r="B58" s="1" t="s">
        <v>1905</v>
      </c>
      <c r="C58" s="2" t="str">
        <f t="shared" si="7"/>
        <v>DIO1</v>
      </c>
      <c r="D58" s="2">
        <v>130</v>
      </c>
      <c r="E58" s="3">
        <v>2</v>
      </c>
      <c r="F58" s="3">
        <f t="shared" si="8"/>
        <v>3</v>
      </c>
      <c r="G58" s="3">
        <v>0</v>
      </c>
      <c r="H58" s="60">
        <f>H57</f>
        <v>3</v>
      </c>
      <c r="I58" s="54">
        <f t="shared" ref="I58:I72" si="14">+I57+1</f>
        <v>1</v>
      </c>
      <c r="J58" s="78"/>
      <c r="K58" s="30"/>
      <c r="L58" s="30" t="s">
        <v>42</v>
      </c>
      <c r="M58" s="2">
        <v>4</v>
      </c>
      <c r="N58" s="1" t="s">
        <v>1907</v>
      </c>
      <c r="O58" s="1" t="s">
        <v>82</v>
      </c>
      <c r="P58" s="1" t="s">
        <v>1910</v>
      </c>
      <c r="Q58" s="1" t="s">
        <v>1939</v>
      </c>
      <c r="R58" s="1" t="s">
        <v>1938</v>
      </c>
      <c r="T58" s="1" t="s">
        <v>1907</v>
      </c>
      <c r="V58" s="1" t="str">
        <f t="shared" si="9"/>
        <v>2.3\0.3:1</v>
      </c>
      <c r="W58" s="2" t="s">
        <v>1899</v>
      </c>
      <c r="X58" s="3">
        <v>0</v>
      </c>
      <c r="Z58" s="206" t="s">
        <v>1062</v>
      </c>
      <c r="AG58" s="3" t="s">
        <v>570</v>
      </c>
      <c r="AH58" s="3">
        <v>3</v>
      </c>
      <c r="AI58" s="3">
        <v>4</v>
      </c>
      <c r="AM58" s="3"/>
    </row>
    <row r="59" spans="1:39" x14ac:dyDescent="0.3">
      <c r="A59" s="5" t="str">
        <f t="shared" si="13"/>
        <v>BBD130</v>
      </c>
      <c r="B59" s="1" t="s">
        <v>1905</v>
      </c>
      <c r="C59" s="2" t="str">
        <f t="shared" si="7"/>
        <v>DIO1</v>
      </c>
      <c r="D59" s="2">
        <v>130</v>
      </c>
      <c r="E59" s="3">
        <v>2</v>
      </c>
      <c r="F59" s="3">
        <f t="shared" si="8"/>
        <v>3</v>
      </c>
      <c r="G59" s="3">
        <v>0</v>
      </c>
      <c r="H59" s="55">
        <f t="shared" ref="H59:H72" si="15">+H58</f>
        <v>3</v>
      </c>
      <c r="I59" s="54">
        <f t="shared" si="14"/>
        <v>2</v>
      </c>
      <c r="J59" s="78"/>
      <c r="K59" s="27"/>
      <c r="L59" s="30" t="s">
        <v>42</v>
      </c>
      <c r="M59" s="252">
        <v>4</v>
      </c>
      <c r="N59" s="24"/>
      <c r="O59" s="24"/>
      <c r="P59" s="24"/>
      <c r="Q59" s="24"/>
      <c r="R59" s="24"/>
      <c r="S59" s="24"/>
      <c r="T59" s="24"/>
      <c r="V59" s="1" t="str">
        <f t="shared" si="9"/>
        <v>2.3\0.3:2</v>
      </c>
      <c r="W59" s="24" t="s">
        <v>1937</v>
      </c>
      <c r="Z59" s="206" t="s">
        <v>1062</v>
      </c>
      <c r="AG59" s="3" t="s">
        <v>570</v>
      </c>
      <c r="AH59" s="3">
        <v>5</v>
      </c>
      <c r="AI59" s="3">
        <v>6</v>
      </c>
      <c r="AM59" s="3"/>
    </row>
    <row r="60" spans="1:39" x14ac:dyDescent="0.3">
      <c r="A60" s="5" t="str">
        <f t="shared" si="13"/>
        <v>BBD130</v>
      </c>
      <c r="B60" s="1" t="s">
        <v>1905</v>
      </c>
      <c r="C60" s="2" t="str">
        <f t="shared" si="7"/>
        <v>DIO1</v>
      </c>
      <c r="D60" s="2">
        <v>130</v>
      </c>
      <c r="E60" s="3">
        <v>2</v>
      </c>
      <c r="F60" s="3">
        <f t="shared" si="8"/>
        <v>3</v>
      </c>
      <c r="G60" s="3">
        <v>0</v>
      </c>
      <c r="H60" s="55">
        <f t="shared" si="15"/>
        <v>3</v>
      </c>
      <c r="I60" s="54">
        <f t="shared" si="14"/>
        <v>3</v>
      </c>
      <c r="J60" s="78"/>
      <c r="K60" s="27"/>
      <c r="L60" s="30" t="s">
        <v>42</v>
      </c>
      <c r="M60" s="40">
        <v>4</v>
      </c>
      <c r="N60" s="1" t="s">
        <v>1935</v>
      </c>
      <c r="O60" s="13" t="s">
        <v>52</v>
      </c>
      <c r="P60" s="13" t="s">
        <v>1910</v>
      </c>
      <c r="Q60" s="13" t="s">
        <v>1936</v>
      </c>
      <c r="R60" s="13" t="s">
        <v>1505</v>
      </c>
      <c r="S60" s="13"/>
      <c r="T60" s="13" t="s">
        <v>1935</v>
      </c>
      <c r="V60" s="1" t="str">
        <f t="shared" si="9"/>
        <v>2.3\0.3:3</v>
      </c>
      <c r="W60" s="13" t="s">
        <v>1906</v>
      </c>
      <c r="X60" s="3">
        <v>0</v>
      </c>
      <c r="Z60" s="206" t="s">
        <v>1062</v>
      </c>
      <c r="AG60" s="3" t="s">
        <v>570</v>
      </c>
      <c r="AH60" s="3">
        <v>7</v>
      </c>
      <c r="AI60" s="3">
        <v>8</v>
      </c>
      <c r="AM60" s="3"/>
    </row>
    <row r="61" spans="1:39" x14ac:dyDescent="0.3">
      <c r="A61" s="5" t="str">
        <f t="shared" si="13"/>
        <v>BBD130</v>
      </c>
      <c r="B61" s="1" t="s">
        <v>1905</v>
      </c>
      <c r="C61" s="2" t="str">
        <f t="shared" si="7"/>
        <v>DIO1</v>
      </c>
      <c r="D61" s="2">
        <v>130</v>
      </c>
      <c r="E61" s="3">
        <v>2</v>
      </c>
      <c r="F61" s="3">
        <f t="shared" si="8"/>
        <v>3</v>
      </c>
      <c r="G61" s="3">
        <v>0</v>
      </c>
      <c r="H61" s="55">
        <f t="shared" si="15"/>
        <v>3</v>
      </c>
      <c r="I61" s="54">
        <f t="shared" si="14"/>
        <v>4</v>
      </c>
      <c r="J61" s="78"/>
      <c r="K61" s="27"/>
      <c r="L61" s="30" t="s">
        <v>42</v>
      </c>
      <c r="M61" s="40">
        <v>4</v>
      </c>
      <c r="N61" s="1" t="s">
        <v>1935</v>
      </c>
      <c r="O61" s="13" t="s">
        <v>82</v>
      </c>
      <c r="P61" s="13" t="s">
        <v>1910</v>
      </c>
      <c r="Q61" s="13" t="s">
        <v>1936</v>
      </c>
      <c r="R61" s="13" t="s">
        <v>1502</v>
      </c>
      <c r="S61" s="13"/>
      <c r="T61" s="13" t="s">
        <v>1935</v>
      </c>
      <c r="V61" s="1" t="str">
        <f t="shared" si="9"/>
        <v>2.3\0.3:4</v>
      </c>
      <c r="W61" s="13" t="s">
        <v>1906</v>
      </c>
      <c r="X61" s="3">
        <v>0</v>
      </c>
      <c r="Z61" s="206" t="s">
        <v>1062</v>
      </c>
      <c r="AG61" s="3" t="s">
        <v>570</v>
      </c>
      <c r="AH61" s="3">
        <v>9</v>
      </c>
      <c r="AI61" s="3">
        <v>10</v>
      </c>
      <c r="AM61" s="3"/>
    </row>
    <row r="62" spans="1:39" x14ac:dyDescent="0.3">
      <c r="A62" s="5" t="str">
        <f t="shared" si="13"/>
        <v>BBD130</v>
      </c>
      <c r="B62" s="1" t="s">
        <v>1905</v>
      </c>
      <c r="C62" s="2" t="str">
        <f t="shared" si="7"/>
        <v>DIO1</v>
      </c>
      <c r="D62" s="2">
        <v>130</v>
      </c>
      <c r="E62" s="3">
        <v>2</v>
      </c>
      <c r="F62" s="3">
        <f t="shared" si="8"/>
        <v>3</v>
      </c>
      <c r="G62" s="3">
        <v>0</v>
      </c>
      <c r="H62" s="55">
        <f t="shared" si="15"/>
        <v>3</v>
      </c>
      <c r="I62" s="54">
        <f t="shared" si="14"/>
        <v>5</v>
      </c>
      <c r="J62" s="78"/>
      <c r="K62" s="27"/>
      <c r="L62" s="30" t="s">
        <v>42</v>
      </c>
      <c r="M62" s="2"/>
      <c r="Q62" s="1" t="s">
        <v>302</v>
      </c>
      <c r="R62" s="1" t="s">
        <v>302</v>
      </c>
      <c r="V62" s="1" t="str">
        <f t="shared" si="9"/>
        <v>2.3\0.3:5</v>
      </c>
      <c r="Z62" s="206" t="s">
        <v>1062</v>
      </c>
      <c r="AG62" s="3" t="s">
        <v>570</v>
      </c>
      <c r="AH62" s="3">
        <v>11</v>
      </c>
      <c r="AI62" s="3">
        <v>12</v>
      </c>
      <c r="AM62" s="3"/>
    </row>
    <row r="63" spans="1:39" x14ac:dyDescent="0.3">
      <c r="A63" s="5" t="str">
        <f t="shared" si="13"/>
        <v>BBD130</v>
      </c>
      <c r="B63" s="1" t="s">
        <v>1905</v>
      </c>
      <c r="C63" s="2" t="str">
        <f t="shared" si="7"/>
        <v>DIO1</v>
      </c>
      <c r="D63" s="2">
        <v>130</v>
      </c>
      <c r="E63" s="3">
        <v>2</v>
      </c>
      <c r="F63" s="3">
        <f t="shared" si="8"/>
        <v>3</v>
      </c>
      <c r="G63" s="3">
        <v>0</v>
      </c>
      <c r="H63" s="55">
        <f t="shared" si="15"/>
        <v>3</v>
      </c>
      <c r="I63" s="54">
        <f t="shared" si="14"/>
        <v>6</v>
      </c>
      <c r="J63" s="78"/>
      <c r="K63" s="27"/>
      <c r="L63" s="30" t="s">
        <v>42</v>
      </c>
      <c r="M63" s="2">
        <v>4</v>
      </c>
      <c r="N63" s="1" t="s">
        <v>391</v>
      </c>
      <c r="O63" s="1" t="s">
        <v>52</v>
      </c>
      <c r="P63" s="1" t="s">
        <v>1910</v>
      </c>
      <c r="Q63" s="1" t="s">
        <v>1934</v>
      </c>
      <c r="R63" s="1" t="s">
        <v>1794</v>
      </c>
      <c r="T63" s="1" t="s">
        <v>391</v>
      </c>
      <c r="V63" s="1" t="str">
        <f t="shared" si="9"/>
        <v>2.3\0.3:6</v>
      </c>
      <c r="W63" s="13" t="s">
        <v>1906</v>
      </c>
      <c r="X63" s="3">
        <v>0</v>
      </c>
      <c r="Z63" s="206" t="s">
        <v>1062</v>
      </c>
      <c r="AG63" s="3" t="s">
        <v>570</v>
      </c>
      <c r="AH63" s="3">
        <v>13</v>
      </c>
      <c r="AI63" s="3">
        <v>14</v>
      </c>
      <c r="AM63" s="3"/>
    </row>
    <row r="64" spans="1:39" x14ac:dyDescent="0.3">
      <c r="A64" s="5" t="str">
        <f t="shared" si="13"/>
        <v>BBD130</v>
      </c>
      <c r="B64" s="1" t="s">
        <v>1905</v>
      </c>
      <c r="C64" s="2" t="str">
        <f t="shared" si="7"/>
        <v>DIO1</v>
      </c>
      <c r="D64" s="2">
        <v>130</v>
      </c>
      <c r="E64" s="3">
        <v>2</v>
      </c>
      <c r="F64" s="3">
        <f t="shared" si="8"/>
        <v>3</v>
      </c>
      <c r="G64" s="3">
        <v>0</v>
      </c>
      <c r="H64" s="55">
        <f t="shared" si="15"/>
        <v>3</v>
      </c>
      <c r="I64" s="54">
        <f t="shared" si="14"/>
        <v>7</v>
      </c>
      <c r="J64" s="78"/>
      <c r="K64" s="27"/>
      <c r="L64" s="30" t="s">
        <v>42</v>
      </c>
      <c r="M64" s="2"/>
      <c r="Q64" s="1" t="s">
        <v>302</v>
      </c>
      <c r="R64" s="1" t="s">
        <v>302</v>
      </c>
      <c r="V64" s="1" t="str">
        <f t="shared" si="9"/>
        <v>2.3\0.3:7</v>
      </c>
      <c r="Z64" s="206" t="s">
        <v>1062</v>
      </c>
      <c r="AG64" s="3" t="s">
        <v>570</v>
      </c>
      <c r="AH64" s="3">
        <v>15</v>
      </c>
      <c r="AI64" s="3">
        <v>16</v>
      </c>
      <c r="AM64" s="3"/>
    </row>
    <row r="65" spans="1:39" x14ac:dyDescent="0.3">
      <c r="A65" s="5" t="str">
        <f t="shared" si="13"/>
        <v>BBD130</v>
      </c>
      <c r="B65" s="1" t="s">
        <v>1905</v>
      </c>
      <c r="C65" s="2" t="str">
        <f t="shared" si="7"/>
        <v>DIO1</v>
      </c>
      <c r="D65" s="2">
        <v>130</v>
      </c>
      <c r="E65" s="3">
        <v>2</v>
      </c>
      <c r="F65" s="3">
        <f t="shared" si="8"/>
        <v>3</v>
      </c>
      <c r="G65" s="3">
        <v>0</v>
      </c>
      <c r="H65" s="55">
        <f t="shared" si="15"/>
        <v>3</v>
      </c>
      <c r="I65" s="54">
        <f t="shared" si="14"/>
        <v>8</v>
      </c>
      <c r="J65" s="78"/>
      <c r="K65" s="27"/>
      <c r="L65" s="30" t="s">
        <v>42</v>
      </c>
      <c r="M65" s="2"/>
      <c r="Q65" s="1" t="s">
        <v>302</v>
      </c>
      <c r="R65" s="1" t="s">
        <v>302</v>
      </c>
      <c r="V65" s="1" t="str">
        <f t="shared" si="9"/>
        <v>2.3\0.3:8</v>
      </c>
      <c r="Y65" s="7"/>
      <c r="Z65" s="206" t="s">
        <v>1062</v>
      </c>
      <c r="AA65" s="206"/>
      <c r="AG65" s="3" t="s">
        <v>570</v>
      </c>
      <c r="AH65" s="3">
        <v>17</v>
      </c>
      <c r="AI65" s="3">
        <v>18</v>
      </c>
      <c r="AM65" s="3"/>
    </row>
    <row r="66" spans="1:39" x14ac:dyDescent="0.3">
      <c r="A66" s="5" t="str">
        <f t="shared" si="13"/>
        <v>BBD130</v>
      </c>
      <c r="B66" s="1" t="s">
        <v>1905</v>
      </c>
      <c r="C66" s="2" t="str">
        <f t="shared" si="7"/>
        <v>DIO1</v>
      </c>
      <c r="D66" s="2">
        <v>130</v>
      </c>
      <c r="E66" s="3">
        <v>2</v>
      </c>
      <c r="F66" s="3">
        <f t="shared" si="8"/>
        <v>3</v>
      </c>
      <c r="G66" s="3">
        <v>0</v>
      </c>
      <c r="H66" s="55">
        <f t="shared" si="15"/>
        <v>3</v>
      </c>
      <c r="I66" s="54">
        <f t="shared" si="14"/>
        <v>9</v>
      </c>
      <c r="J66" s="78"/>
      <c r="K66" s="27"/>
      <c r="L66" s="30" t="s">
        <v>42</v>
      </c>
      <c r="M66" s="2"/>
      <c r="Q66" s="1" t="s">
        <v>302</v>
      </c>
      <c r="R66" s="1" t="s">
        <v>302</v>
      </c>
      <c r="V66" s="1" t="str">
        <f t="shared" si="9"/>
        <v>2.3\0.3:9</v>
      </c>
      <c r="Y66" s="7"/>
      <c r="Z66" s="206" t="s">
        <v>1062</v>
      </c>
      <c r="AA66" s="206"/>
      <c r="AG66" s="3" t="s">
        <v>570</v>
      </c>
      <c r="AH66" s="3">
        <v>19</v>
      </c>
      <c r="AI66" s="3">
        <v>20</v>
      </c>
      <c r="AM66" s="3"/>
    </row>
    <row r="67" spans="1:39" x14ac:dyDescent="0.3">
      <c r="A67" s="5" t="str">
        <f t="shared" si="13"/>
        <v>BBD130</v>
      </c>
      <c r="B67" s="1" t="s">
        <v>1905</v>
      </c>
      <c r="C67" s="2" t="str">
        <f t="shared" si="7"/>
        <v>DIO1</v>
      </c>
      <c r="D67" s="2">
        <v>130</v>
      </c>
      <c r="E67" s="3">
        <v>2</v>
      </c>
      <c r="F67" s="3">
        <f t="shared" si="8"/>
        <v>3</v>
      </c>
      <c r="G67" s="3">
        <v>0</v>
      </c>
      <c r="H67" s="55">
        <f t="shared" si="15"/>
        <v>3</v>
      </c>
      <c r="I67" s="54">
        <f t="shared" si="14"/>
        <v>10</v>
      </c>
      <c r="J67" s="78"/>
      <c r="K67" s="27"/>
      <c r="L67" s="30" t="s">
        <v>42</v>
      </c>
      <c r="M67" s="2">
        <v>4</v>
      </c>
      <c r="N67" s="1" t="s">
        <v>1933</v>
      </c>
      <c r="O67" s="1" t="s">
        <v>1117</v>
      </c>
      <c r="P67" s="1" t="s">
        <v>1910</v>
      </c>
      <c r="Q67" s="1" t="s">
        <v>1932</v>
      </c>
      <c r="R67" s="24" t="s">
        <v>302</v>
      </c>
      <c r="S67" s="24"/>
      <c r="T67" s="1" t="s">
        <v>1907</v>
      </c>
      <c r="V67" s="1" t="str">
        <f t="shared" si="9"/>
        <v>2.3\0.3:10</v>
      </c>
      <c r="W67" s="13" t="s">
        <v>1906</v>
      </c>
      <c r="X67" s="3">
        <v>0</v>
      </c>
      <c r="Z67" s="206" t="s">
        <v>1062</v>
      </c>
      <c r="AG67" s="3" t="s">
        <v>570</v>
      </c>
      <c r="AH67" s="3">
        <v>21</v>
      </c>
      <c r="AI67" s="3">
        <v>22</v>
      </c>
      <c r="AM67" s="3"/>
    </row>
    <row r="68" spans="1:39" x14ac:dyDescent="0.3">
      <c r="A68" s="5" t="str">
        <f t="shared" si="13"/>
        <v>BBD130</v>
      </c>
      <c r="B68" s="1" t="s">
        <v>1905</v>
      </c>
      <c r="C68" s="2" t="str">
        <f t="shared" si="7"/>
        <v>DIO1</v>
      </c>
      <c r="D68" s="2">
        <v>130</v>
      </c>
      <c r="E68" s="3">
        <v>2</v>
      </c>
      <c r="F68" s="3">
        <f t="shared" si="8"/>
        <v>3</v>
      </c>
      <c r="G68" s="3">
        <v>0</v>
      </c>
      <c r="H68" s="55">
        <f t="shared" si="15"/>
        <v>3</v>
      </c>
      <c r="I68" s="54">
        <f t="shared" si="14"/>
        <v>11</v>
      </c>
      <c r="J68" s="78"/>
      <c r="K68" s="27"/>
      <c r="L68" s="30" t="s">
        <v>42</v>
      </c>
      <c r="M68" s="2">
        <v>4</v>
      </c>
      <c r="N68" s="1" t="s">
        <v>1931</v>
      </c>
      <c r="O68" s="1" t="s">
        <v>1120</v>
      </c>
      <c r="P68" s="1" t="s">
        <v>1910</v>
      </c>
      <c r="Q68" s="1" t="s">
        <v>1930</v>
      </c>
      <c r="R68" s="24" t="s">
        <v>302</v>
      </c>
      <c r="S68" s="24"/>
      <c r="T68" s="1" t="s">
        <v>1907</v>
      </c>
      <c r="V68" s="1" t="str">
        <f t="shared" si="9"/>
        <v>2.3\0.3:11</v>
      </c>
      <c r="W68" s="13" t="s">
        <v>1906</v>
      </c>
      <c r="X68" s="3">
        <v>0</v>
      </c>
      <c r="Z68" s="206" t="s">
        <v>1062</v>
      </c>
      <c r="AG68" s="3" t="s">
        <v>570</v>
      </c>
      <c r="AH68" s="3">
        <v>23</v>
      </c>
      <c r="AI68" s="3">
        <v>24</v>
      </c>
      <c r="AM68" s="3"/>
    </row>
    <row r="69" spans="1:39" x14ac:dyDescent="0.3">
      <c r="A69" s="5" t="str">
        <f t="shared" si="13"/>
        <v>BBD130</v>
      </c>
      <c r="B69" s="1" t="s">
        <v>1905</v>
      </c>
      <c r="C69" s="2" t="str">
        <f t="shared" si="7"/>
        <v>DIO1</v>
      </c>
      <c r="D69" s="2">
        <v>130</v>
      </c>
      <c r="E69" s="3">
        <v>2</v>
      </c>
      <c r="F69" s="3">
        <f t="shared" si="8"/>
        <v>3</v>
      </c>
      <c r="G69" s="3">
        <v>0</v>
      </c>
      <c r="H69" s="55">
        <f t="shared" si="15"/>
        <v>3</v>
      </c>
      <c r="I69" s="54">
        <f t="shared" si="14"/>
        <v>12</v>
      </c>
      <c r="J69" s="78"/>
      <c r="K69" s="27"/>
      <c r="L69" s="30" t="s">
        <v>42</v>
      </c>
      <c r="M69" s="2">
        <v>4</v>
      </c>
      <c r="N69" s="1" t="s">
        <v>1929</v>
      </c>
      <c r="O69" s="1" t="s">
        <v>1123</v>
      </c>
      <c r="P69" s="1" t="s">
        <v>1910</v>
      </c>
      <c r="Q69" s="1" t="s">
        <v>1928</v>
      </c>
      <c r="R69" s="24" t="s">
        <v>302</v>
      </c>
      <c r="S69" s="24"/>
      <c r="T69" s="1" t="s">
        <v>1907</v>
      </c>
      <c r="V69" s="1" t="str">
        <f t="shared" si="9"/>
        <v>2.3\0.3:12</v>
      </c>
      <c r="W69" s="13" t="s">
        <v>1906</v>
      </c>
      <c r="X69" s="3">
        <v>0</v>
      </c>
      <c r="Z69" s="206" t="s">
        <v>1062</v>
      </c>
      <c r="AG69" s="3" t="s">
        <v>570</v>
      </c>
      <c r="AH69" s="3">
        <v>25</v>
      </c>
      <c r="AI69" s="3">
        <v>26</v>
      </c>
      <c r="AM69" s="3"/>
    </row>
    <row r="70" spans="1:39" x14ac:dyDescent="0.3">
      <c r="A70" s="5" t="str">
        <f t="shared" si="13"/>
        <v>BBD130</v>
      </c>
      <c r="B70" s="1" t="s">
        <v>1905</v>
      </c>
      <c r="C70" s="2" t="str">
        <f t="shared" ref="C70:C101" si="16">C69</f>
        <v>DIO1</v>
      </c>
      <c r="D70" s="2">
        <v>130</v>
      </c>
      <c r="E70" s="3">
        <v>2</v>
      </c>
      <c r="F70" s="3">
        <f t="shared" ref="F70:F101" si="17">F69</f>
        <v>3</v>
      </c>
      <c r="G70" s="3">
        <v>0</v>
      </c>
      <c r="H70" s="55">
        <f t="shared" si="15"/>
        <v>3</v>
      </c>
      <c r="I70" s="54">
        <f t="shared" si="14"/>
        <v>13</v>
      </c>
      <c r="J70" s="78"/>
      <c r="K70" s="27"/>
      <c r="L70" s="30" t="s">
        <v>42</v>
      </c>
      <c r="M70" s="2">
        <v>4</v>
      </c>
      <c r="N70" s="1" t="s">
        <v>1927</v>
      </c>
      <c r="O70" s="1" t="s">
        <v>1926</v>
      </c>
      <c r="P70" s="1" t="s">
        <v>1910</v>
      </c>
      <c r="Q70" s="1" t="s">
        <v>1925</v>
      </c>
      <c r="R70" s="24" t="s">
        <v>302</v>
      </c>
      <c r="S70" s="24"/>
      <c r="T70" s="1" t="s">
        <v>1907</v>
      </c>
      <c r="V70" s="1" t="str">
        <f t="shared" si="9"/>
        <v>2.3\0.3:13</v>
      </c>
      <c r="W70" s="13" t="s">
        <v>1906</v>
      </c>
      <c r="X70" s="3">
        <v>0</v>
      </c>
      <c r="Z70" s="206" t="s">
        <v>1062</v>
      </c>
      <c r="AG70" s="3" t="s">
        <v>570</v>
      </c>
      <c r="AH70" s="3">
        <v>27</v>
      </c>
      <c r="AI70" s="3">
        <v>28</v>
      </c>
      <c r="AM70" s="3"/>
    </row>
    <row r="71" spans="1:39" x14ac:dyDescent="0.3">
      <c r="A71" s="5" t="str">
        <f t="shared" si="13"/>
        <v>BBD130</v>
      </c>
      <c r="B71" s="1" t="s">
        <v>1905</v>
      </c>
      <c r="C71" s="2" t="str">
        <f t="shared" si="16"/>
        <v>DIO1</v>
      </c>
      <c r="D71" s="2">
        <v>130</v>
      </c>
      <c r="E71" s="3">
        <v>2</v>
      </c>
      <c r="F71" s="3">
        <f t="shared" si="17"/>
        <v>3</v>
      </c>
      <c r="G71" s="3">
        <v>0</v>
      </c>
      <c r="H71" s="55">
        <f t="shared" si="15"/>
        <v>3</v>
      </c>
      <c r="I71" s="54">
        <f t="shared" si="14"/>
        <v>14</v>
      </c>
      <c r="J71" s="78"/>
      <c r="K71" s="27"/>
      <c r="L71" s="30" t="s">
        <v>42</v>
      </c>
      <c r="M71" s="2">
        <v>4</v>
      </c>
      <c r="N71" s="1" t="s">
        <v>1924</v>
      </c>
      <c r="O71" s="1" t="s">
        <v>1923</v>
      </c>
      <c r="P71" s="1" t="s">
        <v>1910</v>
      </c>
      <c r="Q71" s="1" t="s">
        <v>1922</v>
      </c>
      <c r="R71" s="1" t="s">
        <v>302</v>
      </c>
      <c r="T71" s="1" t="s">
        <v>1907</v>
      </c>
      <c r="V71" s="1" t="str">
        <f t="shared" si="9"/>
        <v>2.3\0.3:14</v>
      </c>
      <c r="W71" s="13" t="s">
        <v>1906</v>
      </c>
      <c r="X71" s="3">
        <v>0</v>
      </c>
      <c r="Z71" s="206" t="s">
        <v>1062</v>
      </c>
      <c r="AG71" s="3" t="s">
        <v>570</v>
      </c>
      <c r="AH71" s="3">
        <v>29</v>
      </c>
      <c r="AI71" s="3">
        <v>30</v>
      </c>
      <c r="AM71" s="3"/>
    </row>
    <row r="72" spans="1:39" ht="13.5" thickBot="1" x14ac:dyDescent="0.35">
      <c r="A72" s="5" t="str">
        <f t="shared" si="13"/>
        <v>BBD130</v>
      </c>
      <c r="B72" s="1" t="s">
        <v>1905</v>
      </c>
      <c r="C72" s="2" t="str">
        <f t="shared" si="16"/>
        <v>DIO1</v>
      </c>
      <c r="D72" s="2">
        <v>130</v>
      </c>
      <c r="E72" s="3">
        <v>2</v>
      </c>
      <c r="F72" s="3">
        <f t="shared" si="17"/>
        <v>3</v>
      </c>
      <c r="G72" s="3">
        <v>0</v>
      </c>
      <c r="H72" s="55">
        <f t="shared" si="15"/>
        <v>3</v>
      </c>
      <c r="I72" s="59">
        <f t="shared" si="14"/>
        <v>15</v>
      </c>
      <c r="J72" s="77"/>
      <c r="K72" s="27"/>
      <c r="L72" s="30" t="s">
        <v>42</v>
      </c>
      <c r="M72" s="2">
        <v>4</v>
      </c>
      <c r="N72" s="1" t="s">
        <v>1921</v>
      </c>
      <c r="O72" s="1" t="s">
        <v>1920</v>
      </c>
      <c r="P72" s="1" t="s">
        <v>1910</v>
      </c>
      <c r="Q72" s="1" t="s">
        <v>1919</v>
      </c>
      <c r="R72" s="1" t="s">
        <v>302</v>
      </c>
      <c r="T72" s="1" t="s">
        <v>1907</v>
      </c>
      <c r="V72" s="1" t="str">
        <f t="shared" si="9"/>
        <v>2.3\0.3:15</v>
      </c>
      <c r="W72" s="13" t="s">
        <v>1906</v>
      </c>
      <c r="X72" s="3">
        <v>0</v>
      </c>
      <c r="Z72" s="206" t="s">
        <v>1062</v>
      </c>
      <c r="AG72" s="3" t="s">
        <v>570</v>
      </c>
      <c r="AH72" s="3">
        <v>31</v>
      </c>
      <c r="AI72" s="3">
        <v>32</v>
      </c>
      <c r="AM72" s="3"/>
    </row>
    <row r="73" spans="1:39" x14ac:dyDescent="0.3">
      <c r="A73" s="76" t="s">
        <v>1471</v>
      </c>
      <c r="B73" s="1" t="s">
        <v>1905</v>
      </c>
      <c r="C73" s="2" t="str">
        <f t="shared" si="16"/>
        <v>DIO1</v>
      </c>
      <c r="D73" s="2">
        <v>130</v>
      </c>
      <c r="E73" s="3">
        <v>2</v>
      </c>
      <c r="F73" s="3">
        <f t="shared" si="17"/>
        <v>3</v>
      </c>
      <c r="G73" s="3">
        <v>0</v>
      </c>
      <c r="H73" s="62">
        <v>4</v>
      </c>
      <c r="I73" s="56">
        <v>0</v>
      </c>
      <c r="J73" s="218" t="s">
        <v>879</v>
      </c>
      <c r="K73" s="1" t="s">
        <v>896</v>
      </c>
      <c r="L73" s="30" t="s">
        <v>880</v>
      </c>
      <c r="M73" s="2">
        <v>4</v>
      </c>
      <c r="N73" s="1" t="s">
        <v>1918</v>
      </c>
      <c r="O73" s="1" t="s">
        <v>1113</v>
      </c>
      <c r="P73" s="1" t="s">
        <v>1910</v>
      </c>
      <c r="Q73" s="1" t="s">
        <v>1917</v>
      </c>
      <c r="S73" s="13" t="s">
        <v>869</v>
      </c>
      <c r="T73" s="1" t="s">
        <v>1907</v>
      </c>
      <c r="U73" s="13" t="s">
        <v>868</v>
      </c>
      <c r="V73" s="1" t="str">
        <f t="shared" ref="V73:V108" si="18">+CONCATENATE(E73,".",F73,"\",G73,".",H73,":",I73)</f>
        <v>2.3\0.4:0</v>
      </c>
      <c r="W73" s="13" t="s">
        <v>1906</v>
      </c>
      <c r="X73" s="3">
        <v>0</v>
      </c>
      <c r="Z73" s="206" t="s">
        <v>1062</v>
      </c>
      <c r="AB73" s="13">
        <v>0</v>
      </c>
      <c r="AC73" s="13">
        <v>100</v>
      </c>
      <c r="AD73" s="13">
        <v>0</v>
      </c>
      <c r="AE73" s="13">
        <v>100</v>
      </c>
      <c r="AF73" s="13" t="s">
        <v>865</v>
      </c>
      <c r="AG73" s="3" t="s">
        <v>588</v>
      </c>
      <c r="AH73" s="3">
        <v>33</v>
      </c>
      <c r="AI73" s="3">
        <v>34</v>
      </c>
      <c r="AJ73" s="12"/>
      <c r="AK73" s="12"/>
      <c r="AM73" s="3"/>
    </row>
    <row r="74" spans="1:39" x14ac:dyDescent="0.3">
      <c r="A74" s="5" t="str">
        <f t="shared" ref="A74:A80" si="19">A73</f>
        <v>BBD130</v>
      </c>
      <c r="B74" s="1" t="s">
        <v>1905</v>
      </c>
      <c r="C74" s="2" t="str">
        <f t="shared" si="16"/>
        <v>DIO1</v>
      </c>
      <c r="D74" s="2">
        <v>130</v>
      </c>
      <c r="E74" s="3">
        <v>2</v>
      </c>
      <c r="F74" s="3">
        <f t="shared" si="17"/>
        <v>3</v>
      </c>
      <c r="G74" s="3">
        <v>0</v>
      </c>
      <c r="H74" s="55">
        <f t="shared" ref="H74:H80" si="20">+H73</f>
        <v>4</v>
      </c>
      <c r="I74" s="54">
        <f t="shared" ref="I74:I80" si="21">+I73+1</f>
        <v>1</v>
      </c>
      <c r="J74" s="217"/>
      <c r="K74" s="2"/>
      <c r="L74" s="30" t="s">
        <v>880</v>
      </c>
      <c r="M74" s="2">
        <v>4</v>
      </c>
      <c r="N74" s="1" t="s">
        <v>1916</v>
      </c>
      <c r="O74" s="1" t="s">
        <v>899</v>
      </c>
      <c r="P74" s="1" t="s">
        <v>1910</v>
      </c>
      <c r="Q74" s="1" t="s">
        <v>1915</v>
      </c>
      <c r="S74" s="13" t="s">
        <v>869</v>
      </c>
      <c r="T74" s="1" t="s">
        <v>1907</v>
      </c>
      <c r="U74" s="13" t="s">
        <v>868</v>
      </c>
      <c r="V74" s="1" t="str">
        <f t="shared" si="18"/>
        <v>2.3\0.4:1</v>
      </c>
      <c r="W74" s="13" t="s">
        <v>1906</v>
      </c>
      <c r="X74" s="3">
        <v>0</v>
      </c>
      <c r="Z74" s="206" t="s">
        <v>1062</v>
      </c>
      <c r="AB74" s="13">
        <v>0</v>
      </c>
      <c r="AC74" s="13">
        <v>100</v>
      </c>
      <c r="AD74" s="13">
        <v>0</v>
      </c>
      <c r="AE74" s="13">
        <v>100</v>
      </c>
      <c r="AF74" s="13" t="s">
        <v>865</v>
      </c>
      <c r="AG74" s="3" t="s">
        <v>588</v>
      </c>
      <c r="AH74" s="3">
        <v>35</v>
      </c>
      <c r="AI74" s="3">
        <v>36</v>
      </c>
      <c r="AJ74" s="12"/>
      <c r="AK74" s="12"/>
      <c r="AM74" s="3"/>
    </row>
    <row r="75" spans="1:39" x14ac:dyDescent="0.3">
      <c r="A75" s="5" t="str">
        <f t="shared" si="19"/>
        <v>BBD130</v>
      </c>
      <c r="B75" s="1" t="s">
        <v>1905</v>
      </c>
      <c r="C75" s="2" t="str">
        <f t="shared" si="16"/>
        <v>DIO1</v>
      </c>
      <c r="D75" s="2">
        <v>130</v>
      </c>
      <c r="E75" s="3">
        <v>2</v>
      </c>
      <c r="F75" s="3">
        <f t="shared" si="17"/>
        <v>3</v>
      </c>
      <c r="G75" s="3">
        <v>0</v>
      </c>
      <c r="H75" s="55">
        <f t="shared" si="20"/>
        <v>4</v>
      </c>
      <c r="I75" s="54">
        <f t="shared" si="21"/>
        <v>2</v>
      </c>
      <c r="J75" s="217"/>
      <c r="K75" s="2"/>
      <c r="L75" s="30" t="s">
        <v>880</v>
      </c>
      <c r="M75" s="2">
        <v>4</v>
      </c>
      <c r="N75" s="1" t="s">
        <v>1914</v>
      </c>
      <c r="O75" s="1" t="s">
        <v>882</v>
      </c>
      <c r="P75" s="1" t="s">
        <v>1910</v>
      </c>
      <c r="Q75" s="1" t="s">
        <v>1913</v>
      </c>
      <c r="S75" s="13" t="s">
        <v>1908</v>
      </c>
      <c r="T75" s="1" t="s">
        <v>1907</v>
      </c>
      <c r="U75" s="13" t="s">
        <v>868</v>
      </c>
      <c r="V75" s="1" t="str">
        <f t="shared" si="18"/>
        <v>2.3\0.4:2</v>
      </c>
      <c r="W75" s="13" t="s">
        <v>1906</v>
      </c>
      <c r="X75" s="3">
        <v>0</v>
      </c>
      <c r="Z75" s="206" t="s">
        <v>1062</v>
      </c>
      <c r="AB75" s="13">
        <v>0</v>
      </c>
      <c r="AC75" s="13">
        <v>14.2</v>
      </c>
      <c r="AD75" s="13">
        <v>0</v>
      </c>
      <c r="AE75" s="13">
        <v>14.2</v>
      </c>
      <c r="AF75" s="13" t="s">
        <v>865</v>
      </c>
      <c r="AG75" s="3" t="s">
        <v>588</v>
      </c>
      <c r="AH75" s="3">
        <v>37</v>
      </c>
      <c r="AI75" s="3">
        <v>38</v>
      </c>
      <c r="AJ75" s="12"/>
      <c r="AK75" s="12"/>
      <c r="AM75" s="3"/>
    </row>
    <row r="76" spans="1:39" x14ac:dyDescent="0.3">
      <c r="A76" s="5" t="str">
        <f t="shared" si="19"/>
        <v>BBD130</v>
      </c>
      <c r="B76" s="1" t="s">
        <v>1905</v>
      </c>
      <c r="C76" s="2" t="str">
        <f t="shared" si="16"/>
        <v>DIO1</v>
      </c>
      <c r="D76" s="2">
        <v>130</v>
      </c>
      <c r="E76" s="3">
        <v>2</v>
      </c>
      <c r="F76" s="3">
        <f t="shared" si="17"/>
        <v>3</v>
      </c>
      <c r="G76" s="3">
        <v>0</v>
      </c>
      <c r="H76" s="55">
        <f t="shared" si="20"/>
        <v>4</v>
      </c>
      <c r="I76" s="54">
        <f t="shared" si="21"/>
        <v>3</v>
      </c>
      <c r="J76" s="217"/>
      <c r="K76" s="2"/>
      <c r="L76" s="30" t="s">
        <v>880</v>
      </c>
      <c r="M76" s="2">
        <v>4</v>
      </c>
      <c r="N76" s="1" t="s">
        <v>1912</v>
      </c>
      <c r="O76" s="1" t="s">
        <v>1911</v>
      </c>
      <c r="P76" s="1" t="s">
        <v>1910</v>
      </c>
      <c r="Q76" s="1" t="s">
        <v>1909</v>
      </c>
      <c r="S76" s="13" t="s">
        <v>1908</v>
      </c>
      <c r="T76" s="1" t="s">
        <v>1907</v>
      </c>
      <c r="U76" s="13" t="s">
        <v>868</v>
      </c>
      <c r="V76" s="1" t="str">
        <f t="shared" si="18"/>
        <v>2.3\0.4:3</v>
      </c>
      <c r="W76" s="13" t="s">
        <v>1906</v>
      </c>
      <c r="X76" s="3">
        <v>0</v>
      </c>
      <c r="Z76" s="206" t="s">
        <v>1062</v>
      </c>
      <c r="AB76" s="13">
        <v>0</v>
      </c>
      <c r="AC76" s="13">
        <v>14.2</v>
      </c>
      <c r="AD76" s="13">
        <v>0</v>
      </c>
      <c r="AE76" s="13">
        <v>14.2</v>
      </c>
      <c r="AF76" s="13" t="s">
        <v>865</v>
      </c>
      <c r="AG76" s="3" t="s">
        <v>588</v>
      </c>
      <c r="AH76" s="3">
        <v>39</v>
      </c>
      <c r="AI76" s="3">
        <v>40</v>
      </c>
      <c r="AJ76" s="12"/>
      <c r="AK76" s="12"/>
      <c r="AM76" s="3"/>
    </row>
    <row r="77" spans="1:39" x14ac:dyDescent="0.3">
      <c r="A77" s="5" t="str">
        <f t="shared" si="19"/>
        <v>BBD130</v>
      </c>
      <c r="B77" s="1" t="s">
        <v>1905</v>
      </c>
      <c r="C77" s="2" t="str">
        <f t="shared" si="16"/>
        <v>DIO1</v>
      </c>
      <c r="D77" s="2">
        <v>130</v>
      </c>
      <c r="E77" s="3">
        <v>2</v>
      </c>
      <c r="F77" s="3">
        <f t="shared" si="17"/>
        <v>3</v>
      </c>
      <c r="G77" s="3">
        <v>0</v>
      </c>
      <c r="H77" s="55">
        <f t="shared" si="20"/>
        <v>4</v>
      </c>
      <c r="I77" s="54">
        <f t="shared" si="21"/>
        <v>4</v>
      </c>
      <c r="J77" s="217"/>
      <c r="K77" s="2"/>
      <c r="L77" s="30" t="s">
        <v>880</v>
      </c>
      <c r="M77" s="2"/>
      <c r="S77" s="13"/>
      <c r="U77" s="13"/>
      <c r="V77" s="1" t="str">
        <f t="shared" si="18"/>
        <v>2.3\0.4:4</v>
      </c>
      <c r="W77" s="13"/>
      <c r="X77" s="3"/>
      <c r="Z77" s="206" t="s">
        <v>1062</v>
      </c>
      <c r="AB77" s="13"/>
      <c r="AC77" s="13"/>
      <c r="AD77" s="13"/>
      <c r="AE77" s="13"/>
      <c r="AF77" s="13"/>
      <c r="AG77" s="3" t="s">
        <v>588</v>
      </c>
      <c r="AH77" s="3">
        <v>41</v>
      </c>
      <c r="AI77" s="3">
        <v>42</v>
      </c>
      <c r="AJ77" s="12"/>
      <c r="AK77" s="12"/>
      <c r="AM77" s="3"/>
    </row>
    <row r="78" spans="1:39" x14ac:dyDescent="0.3">
      <c r="A78" s="5" t="str">
        <f t="shared" si="19"/>
        <v>BBD130</v>
      </c>
      <c r="B78" s="1" t="s">
        <v>1905</v>
      </c>
      <c r="C78" s="2" t="str">
        <f t="shared" si="16"/>
        <v>DIO1</v>
      </c>
      <c r="D78" s="2">
        <v>130</v>
      </c>
      <c r="E78" s="3">
        <v>2</v>
      </c>
      <c r="F78" s="3">
        <f t="shared" si="17"/>
        <v>3</v>
      </c>
      <c r="G78" s="3">
        <v>0</v>
      </c>
      <c r="H78" s="55">
        <f t="shared" si="20"/>
        <v>4</v>
      </c>
      <c r="I78" s="54">
        <f t="shared" si="21"/>
        <v>5</v>
      </c>
      <c r="J78" s="217"/>
      <c r="K78" s="2"/>
      <c r="L78" s="30" t="s">
        <v>880</v>
      </c>
      <c r="M78" s="2"/>
      <c r="N78" s="2"/>
      <c r="R78" s="2"/>
      <c r="V78" s="1" t="str">
        <f t="shared" si="18"/>
        <v>2.3\0.4:5</v>
      </c>
      <c r="Z78" s="206" t="s">
        <v>1062</v>
      </c>
      <c r="AG78" s="3" t="s">
        <v>588</v>
      </c>
      <c r="AH78" s="3">
        <v>43</v>
      </c>
      <c r="AI78" s="3">
        <v>44</v>
      </c>
      <c r="AJ78" s="12"/>
      <c r="AK78" s="12"/>
      <c r="AM78" s="3"/>
    </row>
    <row r="79" spans="1:39" x14ac:dyDescent="0.3">
      <c r="A79" s="5" t="str">
        <f t="shared" si="19"/>
        <v>BBD130</v>
      </c>
      <c r="B79" s="1" t="s">
        <v>1905</v>
      </c>
      <c r="C79" s="2" t="str">
        <f t="shared" si="16"/>
        <v>DIO1</v>
      </c>
      <c r="D79" s="2">
        <v>130</v>
      </c>
      <c r="E79" s="3">
        <v>2</v>
      </c>
      <c r="F79" s="3">
        <f t="shared" si="17"/>
        <v>3</v>
      </c>
      <c r="G79" s="3">
        <v>0</v>
      </c>
      <c r="H79" s="55">
        <f t="shared" si="20"/>
        <v>4</v>
      </c>
      <c r="I79" s="54">
        <f t="shared" si="21"/>
        <v>6</v>
      </c>
      <c r="J79" s="217"/>
      <c r="K79" s="2"/>
      <c r="L79" s="30" t="s">
        <v>880</v>
      </c>
      <c r="M79" s="2"/>
      <c r="N79" s="2"/>
      <c r="V79" s="1" t="str">
        <f t="shared" si="18"/>
        <v>2.3\0.4:6</v>
      </c>
      <c r="Z79" s="206" t="s">
        <v>1062</v>
      </c>
      <c r="AG79" s="3" t="s">
        <v>588</v>
      </c>
      <c r="AH79" s="3">
        <v>45</v>
      </c>
      <c r="AI79" s="3">
        <v>46</v>
      </c>
      <c r="AJ79" s="12"/>
      <c r="AK79" s="12"/>
      <c r="AM79" s="3"/>
    </row>
    <row r="80" spans="1:39" ht="13.5" thickBot="1" x14ac:dyDescent="0.35">
      <c r="A80" s="5" t="str">
        <f t="shared" si="19"/>
        <v>BBD130</v>
      </c>
      <c r="B80" s="1" t="s">
        <v>1905</v>
      </c>
      <c r="C80" s="2" t="str">
        <f t="shared" si="16"/>
        <v>DIO1</v>
      </c>
      <c r="D80" s="2">
        <v>130</v>
      </c>
      <c r="E80" s="3">
        <v>2</v>
      </c>
      <c r="F80" s="3">
        <f t="shared" si="17"/>
        <v>3</v>
      </c>
      <c r="G80" s="3">
        <v>0</v>
      </c>
      <c r="H80" s="55">
        <f t="shared" si="20"/>
        <v>4</v>
      </c>
      <c r="I80" s="59">
        <f t="shared" si="21"/>
        <v>7</v>
      </c>
      <c r="J80" s="216"/>
      <c r="K80" s="2"/>
      <c r="L80" s="30" t="s">
        <v>880</v>
      </c>
      <c r="M80" s="2"/>
      <c r="N80" s="2"/>
      <c r="V80" s="1" t="str">
        <f t="shared" si="18"/>
        <v>2.3\0.4:7</v>
      </c>
      <c r="Z80" s="201" t="s">
        <v>1062</v>
      </c>
      <c r="AG80" s="3" t="s">
        <v>588</v>
      </c>
      <c r="AH80" s="3">
        <v>47</v>
      </c>
      <c r="AI80" s="3">
        <v>48</v>
      </c>
      <c r="AJ80" s="12"/>
      <c r="AK80" s="12"/>
      <c r="AM80" s="3"/>
    </row>
    <row r="81" spans="1:39" x14ac:dyDescent="0.3">
      <c r="A81" s="76" t="s">
        <v>1471</v>
      </c>
      <c r="B81" s="1" t="s">
        <v>1905</v>
      </c>
      <c r="C81" s="2" t="str">
        <f t="shared" si="16"/>
        <v>DIO1</v>
      </c>
      <c r="D81" s="2">
        <v>130</v>
      </c>
      <c r="E81" s="3">
        <v>2</v>
      </c>
      <c r="F81" s="3">
        <f t="shared" si="17"/>
        <v>3</v>
      </c>
      <c r="G81" s="3">
        <v>0</v>
      </c>
      <c r="H81" s="62">
        <v>5</v>
      </c>
      <c r="I81" s="56"/>
      <c r="J81" s="209"/>
      <c r="K81" s="41" t="s">
        <v>300</v>
      </c>
      <c r="M81" s="2"/>
      <c r="N81" s="2"/>
      <c r="R81" s="2"/>
      <c r="V81" s="1" t="str">
        <f t="shared" si="18"/>
        <v>2.3\0.5:</v>
      </c>
      <c r="AM81" s="3"/>
    </row>
    <row r="82" spans="1:39" x14ac:dyDescent="0.3">
      <c r="A82" s="5" t="str">
        <f>A81</f>
        <v>BBD130</v>
      </c>
      <c r="B82" s="1" t="s">
        <v>1905</v>
      </c>
      <c r="C82" s="2" t="str">
        <f t="shared" si="16"/>
        <v>DIO1</v>
      </c>
      <c r="D82" s="2">
        <v>130</v>
      </c>
      <c r="E82" s="3">
        <v>2</v>
      </c>
      <c r="F82" s="3">
        <f t="shared" si="17"/>
        <v>3</v>
      </c>
      <c r="G82" s="3">
        <v>0</v>
      </c>
      <c r="H82" s="55">
        <f>+H81</f>
        <v>5</v>
      </c>
      <c r="I82" s="54"/>
      <c r="J82" s="208"/>
      <c r="K82" s="2"/>
      <c r="M82" s="2"/>
      <c r="N82" s="2"/>
      <c r="R82" s="2"/>
      <c r="V82" s="1" t="str">
        <f t="shared" si="18"/>
        <v>2.3\0.5:</v>
      </c>
      <c r="AM82" s="3"/>
    </row>
    <row r="83" spans="1:39" x14ac:dyDescent="0.3">
      <c r="A83" s="5" t="str">
        <f>A82</f>
        <v>BBD130</v>
      </c>
      <c r="B83" s="1" t="s">
        <v>1905</v>
      </c>
      <c r="C83" s="2" t="str">
        <f t="shared" si="16"/>
        <v>DIO1</v>
      </c>
      <c r="D83" s="2">
        <v>130</v>
      </c>
      <c r="E83" s="3">
        <v>2</v>
      </c>
      <c r="F83" s="3">
        <f t="shared" si="17"/>
        <v>3</v>
      </c>
      <c r="G83" s="3">
        <v>0</v>
      </c>
      <c r="H83" s="55">
        <f>+H82</f>
        <v>5</v>
      </c>
      <c r="I83" s="54"/>
      <c r="J83" s="208"/>
      <c r="K83" s="2"/>
      <c r="M83" s="2"/>
      <c r="N83" s="2"/>
      <c r="O83" s="4"/>
      <c r="P83" s="4"/>
      <c r="Q83" s="4"/>
      <c r="R83" s="4"/>
      <c r="S83" s="4"/>
      <c r="T83" s="4"/>
      <c r="V83" s="1" t="str">
        <f t="shared" si="18"/>
        <v>2.3\0.5:</v>
      </c>
      <c r="AM83" s="3"/>
    </row>
    <row r="84" spans="1:39" ht="13.5" thickBot="1" x14ac:dyDescent="0.35">
      <c r="A84" s="5" t="str">
        <f>A83</f>
        <v>BBD130</v>
      </c>
      <c r="B84" s="1" t="s">
        <v>1905</v>
      </c>
      <c r="C84" s="2" t="str">
        <f t="shared" si="16"/>
        <v>DIO1</v>
      </c>
      <c r="D84" s="2">
        <v>130</v>
      </c>
      <c r="E84" s="3">
        <v>2</v>
      </c>
      <c r="F84" s="3">
        <f t="shared" si="17"/>
        <v>3</v>
      </c>
      <c r="G84" s="3">
        <v>0</v>
      </c>
      <c r="H84" s="55">
        <f>+H83</f>
        <v>5</v>
      </c>
      <c r="I84" s="59"/>
      <c r="J84" s="207"/>
      <c r="K84" s="2"/>
      <c r="M84" s="2"/>
      <c r="N84" s="2"/>
      <c r="O84" s="4"/>
      <c r="P84" s="4"/>
      <c r="Q84" s="4"/>
      <c r="R84" s="4"/>
      <c r="S84" s="4"/>
      <c r="T84" s="4"/>
      <c r="V84" s="1" t="str">
        <f t="shared" si="18"/>
        <v>2.3\0.5:</v>
      </c>
      <c r="AM84" s="3"/>
    </row>
    <row r="85" spans="1:39" x14ac:dyDescent="0.3">
      <c r="A85" s="76" t="s">
        <v>1471</v>
      </c>
      <c r="B85" s="1" t="s">
        <v>1905</v>
      </c>
      <c r="C85" s="2" t="str">
        <f t="shared" si="16"/>
        <v>DIO1</v>
      </c>
      <c r="D85" s="2">
        <v>130</v>
      </c>
      <c r="E85" s="3">
        <v>2</v>
      </c>
      <c r="F85" s="3">
        <f t="shared" si="17"/>
        <v>3</v>
      </c>
      <c r="G85" s="3">
        <v>0</v>
      </c>
      <c r="H85" s="62">
        <v>6</v>
      </c>
      <c r="I85" s="56"/>
      <c r="J85" s="209"/>
      <c r="K85" s="41" t="s">
        <v>300</v>
      </c>
      <c r="M85" s="2"/>
      <c r="N85" s="2"/>
      <c r="R85" s="2"/>
      <c r="V85" s="1" t="str">
        <f t="shared" si="18"/>
        <v>2.3\0.6:</v>
      </c>
      <c r="AM85" s="3"/>
    </row>
    <row r="86" spans="1:39" x14ac:dyDescent="0.3">
      <c r="A86" s="5" t="str">
        <f>A85</f>
        <v>BBD130</v>
      </c>
      <c r="B86" s="1" t="s">
        <v>1905</v>
      </c>
      <c r="C86" s="2" t="str">
        <f t="shared" si="16"/>
        <v>DIO1</v>
      </c>
      <c r="D86" s="2">
        <v>130</v>
      </c>
      <c r="E86" s="3">
        <v>2</v>
      </c>
      <c r="F86" s="3">
        <f t="shared" si="17"/>
        <v>3</v>
      </c>
      <c r="G86" s="3">
        <v>0</v>
      </c>
      <c r="H86" s="55">
        <f>+H85</f>
        <v>6</v>
      </c>
      <c r="I86" s="54"/>
      <c r="J86" s="208"/>
      <c r="K86" s="2"/>
      <c r="M86" s="2"/>
      <c r="N86" s="2"/>
      <c r="R86" s="2"/>
      <c r="V86" s="1" t="str">
        <f t="shared" si="18"/>
        <v>2.3\0.6:</v>
      </c>
      <c r="AM86" s="3"/>
    </row>
    <row r="87" spans="1:39" x14ac:dyDescent="0.3">
      <c r="A87" s="5" t="str">
        <f>A86</f>
        <v>BBD130</v>
      </c>
      <c r="B87" s="1" t="s">
        <v>1905</v>
      </c>
      <c r="C87" s="2" t="str">
        <f t="shared" si="16"/>
        <v>DIO1</v>
      </c>
      <c r="D87" s="2">
        <v>130</v>
      </c>
      <c r="E87" s="3">
        <v>2</v>
      </c>
      <c r="F87" s="3">
        <f t="shared" si="17"/>
        <v>3</v>
      </c>
      <c r="G87" s="3">
        <v>0</v>
      </c>
      <c r="H87" s="55">
        <f>+H86</f>
        <v>6</v>
      </c>
      <c r="I87" s="54"/>
      <c r="J87" s="208"/>
      <c r="K87" s="2"/>
      <c r="M87" s="2"/>
      <c r="N87" s="2"/>
      <c r="R87" s="2"/>
      <c r="V87" s="1" t="str">
        <f t="shared" si="18"/>
        <v>2.3\0.6:</v>
      </c>
      <c r="AM87" s="3"/>
    </row>
    <row r="88" spans="1:39" ht="13.5" thickBot="1" x14ac:dyDescent="0.35">
      <c r="A88" s="5" t="str">
        <f>A87</f>
        <v>BBD130</v>
      </c>
      <c r="B88" s="1" t="s">
        <v>1905</v>
      </c>
      <c r="C88" s="2" t="str">
        <f t="shared" si="16"/>
        <v>DIO1</v>
      </c>
      <c r="D88" s="2">
        <v>130</v>
      </c>
      <c r="E88" s="3">
        <v>2</v>
      </c>
      <c r="F88" s="3">
        <f t="shared" si="17"/>
        <v>3</v>
      </c>
      <c r="G88" s="3">
        <v>0</v>
      </c>
      <c r="H88" s="55">
        <f>+H87</f>
        <v>6</v>
      </c>
      <c r="I88" s="59"/>
      <c r="J88" s="207"/>
      <c r="K88" s="2"/>
      <c r="M88" s="2"/>
      <c r="N88" s="2"/>
      <c r="R88" s="2"/>
      <c r="V88" s="1" t="str">
        <f t="shared" si="18"/>
        <v>2.3\0.6:</v>
      </c>
      <c r="AM88" s="3"/>
    </row>
    <row r="89" spans="1:39" x14ac:dyDescent="0.3">
      <c r="A89" s="76" t="s">
        <v>1471</v>
      </c>
      <c r="B89" s="1" t="s">
        <v>1905</v>
      </c>
      <c r="C89" s="2" t="str">
        <f t="shared" si="16"/>
        <v>DIO1</v>
      </c>
      <c r="D89" s="2">
        <v>130</v>
      </c>
      <c r="E89" s="3">
        <v>2</v>
      </c>
      <c r="F89" s="3">
        <f t="shared" si="17"/>
        <v>3</v>
      </c>
      <c r="G89" s="3">
        <v>0</v>
      </c>
      <c r="H89" s="62">
        <v>7</v>
      </c>
      <c r="I89" s="56"/>
      <c r="J89" s="209"/>
      <c r="K89" s="41" t="s">
        <v>300</v>
      </c>
      <c r="M89" s="2"/>
      <c r="N89" s="2"/>
      <c r="R89" s="2"/>
      <c r="V89" s="1" t="str">
        <f t="shared" si="18"/>
        <v>2.3\0.7:</v>
      </c>
      <c r="AM89" s="3"/>
    </row>
    <row r="90" spans="1:39" x14ac:dyDescent="0.3">
      <c r="A90" s="5" t="str">
        <f>A89</f>
        <v>BBD130</v>
      </c>
      <c r="B90" s="1" t="s">
        <v>1905</v>
      </c>
      <c r="C90" s="2" t="str">
        <f t="shared" si="16"/>
        <v>DIO1</v>
      </c>
      <c r="D90" s="2">
        <v>130</v>
      </c>
      <c r="E90" s="3">
        <v>2</v>
      </c>
      <c r="F90" s="3">
        <f t="shared" si="17"/>
        <v>3</v>
      </c>
      <c r="G90" s="3">
        <v>0</v>
      </c>
      <c r="H90" s="55">
        <f>+H89</f>
        <v>7</v>
      </c>
      <c r="I90" s="54"/>
      <c r="J90" s="208"/>
      <c r="K90" s="2"/>
      <c r="M90" s="2"/>
      <c r="N90" s="2"/>
      <c r="R90" s="2"/>
      <c r="V90" s="1" t="str">
        <f t="shared" si="18"/>
        <v>2.3\0.7:</v>
      </c>
      <c r="AM90" s="3"/>
    </row>
    <row r="91" spans="1:39" x14ac:dyDescent="0.3">
      <c r="A91" s="5" t="str">
        <f>A90</f>
        <v>BBD130</v>
      </c>
      <c r="B91" s="1" t="s">
        <v>1905</v>
      </c>
      <c r="C91" s="2" t="str">
        <f t="shared" si="16"/>
        <v>DIO1</v>
      </c>
      <c r="D91" s="2">
        <v>130</v>
      </c>
      <c r="E91" s="3">
        <v>2</v>
      </c>
      <c r="F91" s="3">
        <f t="shared" si="17"/>
        <v>3</v>
      </c>
      <c r="G91" s="3">
        <v>0</v>
      </c>
      <c r="H91" s="55">
        <f>+H90</f>
        <v>7</v>
      </c>
      <c r="I91" s="54"/>
      <c r="J91" s="208"/>
      <c r="K91" s="2"/>
      <c r="M91" s="2"/>
      <c r="N91" s="2"/>
      <c r="R91" s="2"/>
      <c r="V91" s="1" t="str">
        <f t="shared" si="18"/>
        <v>2.3\0.7:</v>
      </c>
      <c r="AM91" s="3"/>
    </row>
    <row r="92" spans="1:39" ht="13.5" thickBot="1" x14ac:dyDescent="0.35">
      <c r="A92" s="5" t="str">
        <f>A91</f>
        <v>BBD130</v>
      </c>
      <c r="B92" s="1" t="s">
        <v>1905</v>
      </c>
      <c r="C92" s="2" t="str">
        <f t="shared" si="16"/>
        <v>DIO1</v>
      </c>
      <c r="D92" s="2">
        <v>130</v>
      </c>
      <c r="E92" s="3">
        <v>2</v>
      </c>
      <c r="F92" s="3">
        <f t="shared" si="17"/>
        <v>3</v>
      </c>
      <c r="G92" s="3">
        <v>0</v>
      </c>
      <c r="H92" s="55">
        <f>+H91</f>
        <v>7</v>
      </c>
      <c r="I92" s="59"/>
      <c r="J92" s="207"/>
      <c r="K92" s="2"/>
      <c r="M92" s="2"/>
      <c r="N92" s="2"/>
      <c r="R92" s="2"/>
      <c r="V92" s="1" t="str">
        <f t="shared" si="18"/>
        <v>2.3\0.7:</v>
      </c>
      <c r="AM92" s="3"/>
    </row>
    <row r="93" spans="1:39" x14ac:dyDescent="0.3">
      <c r="A93" s="76" t="s">
        <v>1471</v>
      </c>
      <c r="B93" s="1" t="s">
        <v>1905</v>
      </c>
      <c r="C93" s="2" t="str">
        <f t="shared" si="16"/>
        <v>DIO1</v>
      </c>
      <c r="D93" s="2">
        <v>130</v>
      </c>
      <c r="E93" s="3">
        <v>2</v>
      </c>
      <c r="F93" s="3">
        <f t="shared" si="17"/>
        <v>3</v>
      </c>
      <c r="G93" s="3">
        <v>0</v>
      </c>
      <c r="H93" s="57">
        <v>8</v>
      </c>
      <c r="I93" s="56"/>
      <c r="J93" s="209"/>
      <c r="K93" s="41" t="s">
        <v>300</v>
      </c>
      <c r="M93" s="2"/>
      <c r="N93" s="2"/>
      <c r="R93" s="2"/>
      <c r="V93" s="1" t="str">
        <f t="shared" si="18"/>
        <v>2.3\0.8:</v>
      </c>
      <c r="AM93" s="3"/>
    </row>
    <row r="94" spans="1:39" x14ac:dyDescent="0.3">
      <c r="A94" s="5" t="str">
        <f>A93</f>
        <v>BBD130</v>
      </c>
      <c r="B94" s="1" t="s">
        <v>1905</v>
      </c>
      <c r="C94" s="2" t="str">
        <f t="shared" si="16"/>
        <v>DIO1</v>
      </c>
      <c r="D94" s="2">
        <v>130</v>
      </c>
      <c r="E94" s="3">
        <v>2</v>
      </c>
      <c r="F94" s="3">
        <f t="shared" si="17"/>
        <v>3</v>
      </c>
      <c r="G94" s="3">
        <v>0</v>
      </c>
      <c r="H94" s="55">
        <f>+H93</f>
        <v>8</v>
      </c>
      <c r="I94" s="54"/>
      <c r="J94" s="208"/>
      <c r="K94" s="2"/>
      <c r="M94" s="2"/>
      <c r="N94" s="2"/>
      <c r="R94" s="2"/>
      <c r="V94" s="1" t="str">
        <f t="shared" si="18"/>
        <v>2.3\0.8:</v>
      </c>
      <c r="AM94" s="3"/>
    </row>
    <row r="95" spans="1:39" x14ac:dyDescent="0.3">
      <c r="A95" s="5" t="str">
        <f>A94</f>
        <v>BBD130</v>
      </c>
      <c r="B95" s="1" t="s">
        <v>1905</v>
      </c>
      <c r="C95" s="2" t="str">
        <f t="shared" si="16"/>
        <v>DIO1</v>
      </c>
      <c r="D95" s="2">
        <v>130</v>
      </c>
      <c r="E95" s="3">
        <v>2</v>
      </c>
      <c r="F95" s="3">
        <f t="shared" si="17"/>
        <v>3</v>
      </c>
      <c r="G95" s="3">
        <v>0</v>
      </c>
      <c r="H95" s="55">
        <f>+H94</f>
        <v>8</v>
      </c>
      <c r="I95" s="54"/>
      <c r="J95" s="208"/>
      <c r="K95" s="2"/>
      <c r="M95" s="2"/>
      <c r="N95" s="2"/>
      <c r="O95" s="4"/>
      <c r="P95" s="4"/>
      <c r="Q95" s="4"/>
      <c r="R95" s="4"/>
      <c r="S95" s="4"/>
      <c r="T95" s="4"/>
      <c r="V95" s="1" t="str">
        <f t="shared" si="18"/>
        <v>2.3\0.8:</v>
      </c>
      <c r="AM95" s="3"/>
    </row>
    <row r="96" spans="1:39" ht="13.5" thickBot="1" x14ac:dyDescent="0.35">
      <c r="A96" s="5" t="str">
        <f>A95</f>
        <v>BBD130</v>
      </c>
      <c r="B96" s="1" t="s">
        <v>1905</v>
      </c>
      <c r="C96" s="2" t="str">
        <f t="shared" si="16"/>
        <v>DIO1</v>
      </c>
      <c r="D96" s="2">
        <v>130</v>
      </c>
      <c r="E96" s="3">
        <v>2</v>
      </c>
      <c r="F96" s="3">
        <f t="shared" si="17"/>
        <v>3</v>
      </c>
      <c r="G96" s="3">
        <v>0</v>
      </c>
      <c r="H96" s="55">
        <f>+H95</f>
        <v>8</v>
      </c>
      <c r="I96" s="59"/>
      <c r="J96" s="207"/>
      <c r="K96" s="2"/>
      <c r="M96" s="2"/>
      <c r="N96" s="2"/>
      <c r="O96" s="4"/>
      <c r="P96" s="4"/>
      <c r="Q96" s="4"/>
      <c r="R96" s="4"/>
      <c r="S96" s="4"/>
      <c r="T96" s="4"/>
      <c r="V96" s="1" t="str">
        <f t="shared" si="18"/>
        <v>2.3\0.8:</v>
      </c>
      <c r="AM96" s="3"/>
    </row>
    <row r="97" spans="1:39" x14ac:dyDescent="0.3">
      <c r="A97" s="76" t="s">
        <v>1471</v>
      </c>
      <c r="B97" s="1" t="s">
        <v>1905</v>
      </c>
      <c r="C97" s="2" t="str">
        <f t="shared" si="16"/>
        <v>DIO1</v>
      </c>
      <c r="D97" s="2">
        <v>130</v>
      </c>
      <c r="E97" s="3">
        <v>2</v>
      </c>
      <c r="F97" s="3">
        <f t="shared" si="17"/>
        <v>3</v>
      </c>
      <c r="G97" s="3">
        <v>0</v>
      </c>
      <c r="H97" s="62">
        <v>9</v>
      </c>
      <c r="I97" s="56"/>
      <c r="J97" s="209"/>
      <c r="K97" s="41" t="s">
        <v>300</v>
      </c>
      <c r="M97" s="2"/>
      <c r="N97" s="2"/>
      <c r="R97" s="2"/>
      <c r="V97" s="1" t="str">
        <f t="shared" si="18"/>
        <v>2.3\0.9:</v>
      </c>
      <c r="AM97" s="3"/>
    </row>
    <row r="98" spans="1:39" x14ac:dyDescent="0.3">
      <c r="A98" s="5" t="str">
        <f>A97</f>
        <v>BBD130</v>
      </c>
      <c r="B98" s="1" t="s">
        <v>1905</v>
      </c>
      <c r="C98" s="2" t="str">
        <f t="shared" si="16"/>
        <v>DIO1</v>
      </c>
      <c r="D98" s="2">
        <v>130</v>
      </c>
      <c r="E98" s="3">
        <v>2</v>
      </c>
      <c r="F98" s="3">
        <f t="shared" si="17"/>
        <v>3</v>
      </c>
      <c r="G98" s="3">
        <v>0</v>
      </c>
      <c r="H98" s="55">
        <f>+H97</f>
        <v>9</v>
      </c>
      <c r="I98" s="54"/>
      <c r="J98" s="208"/>
      <c r="K98" s="2"/>
      <c r="M98" s="2"/>
      <c r="N98" s="2"/>
      <c r="R98" s="2"/>
      <c r="V98" s="1" t="str">
        <f t="shared" si="18"/>
        <v>2.3\0.9:</v>
      </c>
      <c r="AM98" s="3"/>
    </row>
    <row r="99" spans="1:39" x14ac:dyDescent="0.3">
      <c r="A99" s="5" t="str">
        <f>A98</f>
        <v>BBD130</v>
      </c>
      <c r="B99" s="1" t="s">
        <v>1905</v>
      </c>
      <c r="C99" s="2" t="str">
        <f t="shared" si="16"/>
        <v>DIO1</v>
      </c>
      <c r="D99" s="2">
        <v>130</v>
      </c>
      <c r="E99" s="3">
        <v>2</v>
      </c>
      <c r="F99" s="3">
        <f t="shared" si="17"/>
        <v>3</v>
      </c>
      <c r="G99" s="3">
        <v>0</v>
      </c>
      <c r="H99" s="55">
        <f>+H98</f>
        <v>9</v>
      </c>
      <c r="I99" s="54"/>
      <c r="J99" s="208"/>
      <c r="K99" s="2"/>
      <c r="M99" s="2"/>
      <c r="N99" s="2"/>
      <c r="R99" s="2"/>
      <c r="V99" s="1" t="str">
        <f t="shared" si="18"/>
        <v>2.3\0.9:</v>
      </c>
      <c r="AM99" s="3"/>
    </row>
    <row r="100" spans="1:39" ht="13.5" thickBot="1" x14ac:dyDescent="0.35">
      <c r="A100" s="5" t="str">
        <f>A99</f>
        <v>BBD130</v>
      </c>
      <c r="B100" s="1" t="s">
        <v>1905</v>
      </c>
      <c r="C100" s="2" t="str">
        <f t="shared" si="16"/>
        <v>DIO1</v>
      </c>
      <c r="D100" s="2">
        <v>130</v>
      </c>
      <c r="E100" s="3">
        <v>2</v>
      </c>
      <c r="F100" s="3">
        <f t="shared" si="17"/>
        <v>3</v>
      </c>
      <c r="G100" s="3">
        <v>0</v>
      </c>
      <c r="H100" s="55">
        <f>+H99</f>
        <v>9</v>
      </c>
      <c r="I100" s="59"/>
      <c r="J100" s="207"/>
      <c r="K100" s="2"/>
      <c r="M100" s="2"/>
      <c r="N100" s="2"/>
      <c r="R100" s="2"/>
      <c r="V100" s="1" t="str">
        <f t="shared" si="18"/>
        <v>2.3\0.9:</v>
      </c>
      <c r="AM100" s="3"/>
    </row>
    <row r="101" spans="1:39" x14ac:dyDescent="0.3">
      <c r="A101" s="76" t="s">
        <v>1471</v>
      </c>
      <c r="B101" s="1" t="s">
        <v>1905</v>
      </c>
      <c r="C101" s="2" t="str">
        <f t="shared" si="16"/>
        <v>DIO1</v>
      </c>
      <c r="D101" s="2">
        <v>130</v>
      </c>
      <c r="E101" s="3">
        <v>2</v>
      </c>
      <c r="F101" s="3">
        <f t="shared" si="17"/>
        <v>3</v>
      </c>
      <c r="G101" s="3">
        <v>0</v>
      </c>
      <c r="H101" s="57">
        <f>+H97+1</f>
        <v>10</v>
      </c>
      <c r="I101" s="56"/>
      <c r="J101" s="209"/>
      <c r="K101" s="41" t="s">
        <v>300</v>
      </c>
      <c r="M101" s="2"/>
      <c r="N101" s="2"/>
      <c r="R101" s="2"/>
      <c r="V101" s="1" t="str">
        <f t="shared" si="18"/>
        <v>2.3\0.10:</v>
      </c>
      <c r="AM101" s="3"/>
    </row>
    <row r="102" spans="1:39" x14ac:dyDescent="0.3">
      <c r="A102" s="5" t="str">
        <f>A101</f>
        <v>BBD130</v>
      </c>
      <c r="B102" s="1" t="s">
        <v>1905</v>
      </c>
      <c r="C102" s="2" t="str">
        <f t="shared" ref="C102:C108" si="22">C101</f>
        <v>DIO1</v>
      </c>
      <c r="D102" s="2">
        <v>130</v>
      </c>
      <c r="E102" s="3">
        <v>2</v>
      </c>
      <c r="F102" s="3">
        <f t="shared" ref="F102:F108" si="23">F101</f>
        <v>3</v>
      </c>
      <c r="G102" s="3">
        <v>0</v>
      </c>
      <c r="H102" s="55">
        <f>+H101</f>
        <v>10</v>
      </c>
      <c r="I102" s="54"/>
      <c r="J102" s="208"/>
      <c r="K102" s="2"/>
      <c r="M102" s="2"/>
      <c r="N102" s="2"/>
      <c r="R102" s="2"/>
      <c r="V102" s="1" t="str">
        <f t="shared" si="18"/>
        <v>2.3\0.10:</v>
      </c>
      <c r="AM102" s="3"/>
    </row>
    <row r="103" spans="1:39" x14ac:dyDescent="0.3">
      <c r="A103" s="5" t="str">
        <f>A102</f>
        <v>BBD130</v>
      </c>
      <c r="B103" s="1" t="s">
        <v>1905</v>
      </c>
      <c r="C103" s="2" t="str">
        <f t="shared" si="22"/>
        <v>DIO1</v>
      </c>
      <c r="D103" s="2">
        <v>130</v>
      </c>
      <c r="E103" s="3">
        <v>2</v>
      </c>
      <c r="F103" s="3">
        <f t="shared" si="23"/>
        <v>3</v>
      </c>
      <c r="G103" s="3">
        <v>0</v>
      </c>
      <c r="H103" s="55">
        <f>+H102</f>
        <v>10</v>
      </c>
      <c r="I103" s="54"/>
      <c r="J103" s="208"/>
      <c r="K103" s="2"/>
      <c r="M103" s="2"/>
      <c r="N103" s="2"/>
      <c r="R103" s="2"/>
      <c r="V103" s="1" t="str">
        <f t="shared" si="18"/>
        <v>2.3\0.10:</v>
      </c>
      <c r="AM103" s="3"/>
    </row>
    <row r="104" spans="1:39" ht="13.5" thickBot="1" x14ac:dyDescent="0.35">
      <c r="A104" s="5" t="str">
        <f>A103</f>
        <v>BBD130</v>
      </c>
      <c r="B104" s="1" t="s">
        <v>1905</v>
      </c>
      <c r="C104" s="2" t="str">
        <f t="shared" si="22"/>
        <v>DIO1</v>
      </c>
      <c r="D104" s="2">
        <v>130</v>
      </c>
      <c r="E104" s="3">
        <v>2</v>
      </c>
      <c r="F104" s="3">
        <f t="shared" si="23"/>
        <v>3</v>
      </c>
      <c r="G104" s="3">
        <v>0</v>
      </c>
      <c r="H104" s="55">
        <f>+H103</f>
        <v>10</v>
      </c>
      <c r="I104" s="59"/>
      <c r="J104" s="207"/>
      <c r="K104" s="2"/>
      <c r="M104" s="2"/>
      <c r="N104" s="2"/>
      <c r="R104" s="2"/>
      <c r="V104" s="1" t="str">
        <f t="shared" si="18"/>
        <v>2.3\0.10:</v>
      </c>
      <c r="AM104" s="3"/>
    </row>
    <row r="105" spans="1:39" x14ac:dyDescent="0.3">
      <c r="A105" s="76" t="s">
        <v>1471</v>
      </c>
      <c r="B105" s="1" t="s">
        <v>1905</v>
      </c>
      <c r="C105" s="2" t="str">
        <f t="shared" si="22"/>
        <v>DIO1</v>
      </c>
      <c r="D105" s="2">
        <v>130</v>
      </c>
      <c r="E105" s="3">
        <v>2</v>
      </c>
      <c r="F105" s="3">
        <f t="shared" si="23"/>
        <v>3</v>
      </c>
      <c r="G105" s="3">
        <v>0</v>
      </c>
      <c r="H105" s="57">
        <f>+H101+1</f>
        <v>11</v>
      </c>
      <c r="I105" s="56"/>
      <c r="J105" s="209"/>
      <c r="K105" s="41" t="s">
        <v>300</v>
      </c>
      <c r="M105" s="2"/>
      <c r="N105" s="2"/>
      <c r="R105" s="2"/>
      <c r="V105" s="1" t="str">
        <f t="shared" si="18"/>
        <v>2.3\0.11:</v>
      </c>
      <c r="AM105" s="3"/>
    </row>
    <row r="106" spans="1:39" x14ac:dyDescent="0.3">
      <c r="A106" s="5" t="str">
        <f>A105</f>
        <v>BBD130</v>
      </c>
      <c r="B106" s="1" t="s">
        <v>1905</v>
      </c>
      <c r="C106" s="2" t="str">
        <f t="shared" si="22"/>
        <v>DIO1</v>
      </c>
      <c r="D106" s="2">
        <v>130</v>
      </c>
      <c r="E106" s="3">
        <v>2</v>
      </c>
      <c r="F106" s="3">
        <f t="shared" si="23"/>
        <v>3</v>
      </c>
      <c r="G106" s="3">
        <v>0</v>
      </c>
      <c r="H106" s="55">
        <f>+H105</f>
        <v>11</v>
      </c>
      <c r="I106" s="54"/>
      <c r="J106" s="208"/>
      <c r="K106" s="2"/>
      <c r="M106" s="2"/>
      <c r="N106" s="2"/>
      <c r="R106" s="2"/>
      <c r="V106" s="1" t="str">
        <f t="shared" si="18"/>
        <v>2.3\0.11:</v>
      </c>
      <c r="AM106" s="3"/>
    </row>
    <row r="107" spans="1:39" x14ac:dyDescent="0.3">
      <c r="A107" s="5" t="str">
        <f>A106</f>
        <v>BBD130</v>
      </c>
      <c r="B107" s="1" t="s">
        <v>1905</v>
      </c>
      <c r="C107" s="2" t="str">
        <f t="shared" si="22"/>
        <v>DIO1</v>
      </c>
      <c r="D107" s="2">
        <v>130</v>
      </c>
      <c r="E107" s="3">
        <v>2</v>
      </c>
      <c r="F107" s="3">
        <f t="shared" si="23"/>
        <v>3</v>
      </c>
      <c r="G107" s="3">
        <v>0</v>
      </c>
      <c r="H107" s="55">
        <f>+H106</f>
        <v>11</v>
      </c>
      <c r="I107" s="54"/>
      <c r="J107" s="208"/>
      <c r="K107" s="2"/>
      <c r="M107" s="2"/>
      <c r="N107" s="2"/>
      <c r="R107" s="2"/>
      <c r="V107" s="1" t="str">
        <f t="shared" si="18"/>
        <v>2.3\0.11:</v>
      </c>
    </row>
    <row r="108" spans="1:39" ht="13.5" thickBot="1" x14ac:dyDescent="0.35">
      <c r="A108" s="5" t="str">
        <f>A107</f>
        <v>BBD130</v>
      </c>
      <c r="B108" s="1" t="s">
        <v>1905</v>
      </c>
      <c r="C108" s="2" t="str">
        <f t="shared" si="22"/>
        <v>DIO1</v>
      </c>
      <c r="D108" s="2">
        <v>130</v>
      </c>
      <c r="E108" s="3">
        <v>2</v>
      </c>
      <c r="F108" s="3">
        <f t="shared" si="23"/>
        <v>3</v>
      </c>
      <c r="G108" s="3">
        <v>0</v>
      </c>
      <c r="H108" s="55">
        <f>+H107</f>
        <v>11</v>
      </c>
      <c r="I108" s="59"/>
      <c r="J108" s="207"/>
      <c r="K108" s="2"/>
      <c r="M108" s="2"/>
      <c r="N108" s="2"/>
      <c r="R108" s="2"/>
      <c r="V108" s="1" t="str">
        <f t="shared" si="18"/>
        <v>2.3\0.11:</v>
      </c>
    </row>
    <row r="109" spans="1:39" ht="13.5" thickBot="1" x14ac:dyDescent="0.35">
      <c r="B109" s="1"/>
      <c r="D109" s="2"/>
      <c r="K109" s="27"/>
      <c r="L109" s="30"/>
      <c r="O109" s="2"/>
      <c r="P109" s="2"/>
      <c r="Q109" s="2"/>
    </row>
    <row r="110" spans="1:39" ht="15" thickBot="1" x14ac:dyDescent="0.4">
      <c r="B110" s="1"/>
      <c r="D110" s="2"/>
      <c r="I110" s="74"/>
      <c r="J110" s="73"/>
      <c r="K110" s="42" t="s">
        <v>117</v>
      </c>
      <c r="L110" s="244" t="s">
        <v>1032</v>
      </c>
      <c r="M110" s="40">
        <v>1</v>
      </c>
      <c r="N110" s="40" t="s">
        <v>1904</v>
      </c>
      <c r="O110" s="40" t="s">
        <v>1035</v>
      </c>
      <c r="P110" s="40" t="s">
        <v>1451</v>
      </c>
      <c r="Q110" s="2" t="s">
        <v>1903</v>
      </c>
      <c r="R110" s="259" t="s">
        <v>1751</v>
      </c>
      <c r="S110" s="1" t="s">
        <v>1447</v>
      </c>
      <c r="T110" s="1" t="s">
        <v>1442</v>
      </c>
      <c r="W110" s="1" t="s">
        <v>1899</v>
      </c>
      <c r="X110" s="18">
        <v>0</v>
      </c>
      <c r="AG110" s="202" t="s">
        <v>539</v>
      </c>
      <c r="AH110" s="202">
        <v>1</v>
      </c>
      <c r="AI110" s="202">
        <v>2</v>
      </c>
      <c r="AJ110" s="202">
        <v>3</v>
      </c>
      <c r="AK110" s="202">
        <v>4</v>
      </c>
    </row>
    <row r="111" spans="1:39" ht="15" thickBot="1" x14ac:dyDescent="0.4">
      <c r="B111" s="1"/>
      <c r="D111" s="2"/>
      <c r="I111" s="74"/>
      <c r="J111" s="73"/>
      <c r="K111" s="42" t="s">
        <v>125</v>
      </c>
      <c r="L111" s="244" t="s">
        <v>1032</v>
      </c>
      <c r="M111" s="40">
        <v>1</v>
      </c>
      <c r="N111" s="40" t="s">
        <v>1442</v>
      </c>
      <c r="O111" s="40"/>
      <c r="P111" s="40"/>
      <c r="Q111" s="2" t="s">
        <v>1444</v>
      </c>
      <c r="R111" s="259"/>
      <c r="S111" s="1" t="s">
        <v>1443</v>
      </c>
      <c r="T111" s="1" t="s">
        <v>1442</v>
      </c>
      <c r="W111" s="1" t="s">
        <v>1899</v>
      </c>
      <c r="X111" s="18">
        <v>0</v>
      </c>
      <c r="AG111" s="250"/>
      <c r="AH111" s="250"/>
      <c r="AI111" s="250"/>
      <c r="AJ111" s="250"/>
      <c r="AK111" s="250"/>
    </row>
    <row r="112" spans="1:39" ht="15" thickBot="1" x14ac:dyDescent="0.4">
      <c r="B112" s="1"/>
      <c r="D112" s="2"/>
      <c r="I112" s="74"/>
      <c r="J112" s="73"/>
      <c r="K112" s="42" t="s">
        <v>117</v>
      </c>
      <c r="L112" s="244" t="s">
        <v>1032</v>
      </c>
      <c r="M112" s="40">
        <v>1</v>
      </c>
      <c r="N112" s="40" t="s">
        <v>1902</v>
      </c>
      <c r="O112" s="40" t="s">
        <v>1035</v>
      </c>
      <c r="P112" s="40" t="s">
        <v>1451</v>
      </c>
      <c r="Q112" s="2" t="s">
        <v>1901</v>
      </c>
      <c r="R112" s="259" t="s">
        <v>1751</v>
      </c>
      <c r="S112" s="1" t="s">
        <v>1604</v>
      </c>
      <c r="T112" s="1" t="s">
        <v>1442</v>
      </c>
      <c r="W112" s="1" t="s">
        <v>1899</v>
      </c>
      <c r="X112" s="18">
        <v>0</v>
      </c>
      <c r="AG112" s="202" t="s">
        <v>539</v>
      </c>
      <c r="AH112" s="202">
        <v>5</v>
      </c>
      <c r="AI112" s="202">
        <v>6</v>
      </c>
      <c r="AJ112" s="202">
        <v>7</v>
      </c>
      <c r="AK112" s="202">
        <v>8</v>
      </c>
    </row>
    <row r="113" spans="1:51" ht="15" thickBot="1" x14ac:dyDescent="0.4">
      <c r="B113" s="1"/>
      <c r="D113" s="2"/>
      <c r="I113" s="74"/>
      <c r="J113" s="73"/>
      <c r="K113" s="42" t="s">
        <v>125</v>
      </c>
      <c r="L113" s="244" t="s">
        <v>1032</v>
      </c>
      <c r="M113" s="40">
        <v>1</v>
      </c>
      <c r="N113" s="40" t="s">
        <v>1442</v>
      </c>
      <c r="O113" s="40"/>
      <c r="P113" s="40"/>
      <c r="Q113" s="2" t="s">
        <v>1444</v>
      </c>
      <c r="R113" s="259"/>
      <c r="S113" s="1" t="s">
        <v>1603</v>
      </c>
      <c r="T113" s="1" t="s">
        <v>1442</v>
      </c>
      <c r="W113" s="1" t="s">
        <v>1899</v>
      </c>
      <c r="X113" s="18">
        <v>0</v>
      </c>
      <c r="AG113" s="250"/>
      <c r="AH113" s="250"/>
      <c r="AI113" s="250"/>
      <c r="AJ113" s="250"/>
      <c r="AK113" s="250"/>
    </row>
    <row r="114" spans="1:51" ht="14.5" x14ac:dyDescent="0.35">
      <c r="B114" s="1"/>
      <c r="D114" s="2"/>
      <c r="K114" s="30" t="s">
        <v>843</v>
      </c>
      <c r="L114" s="244"/>
      <c r="M114" s="40">
        <v>1</v>
      </c>
      <c r="N114" s="40" t="s">
        <v>1442</v>
      </c>
      <c r="O114" s="40"/>
      <c r="P114" s="40" t="s">
        <v>1448</v>
      </c>
      <c r="Q114" s="2" t="s">
        <v>1444</v>
      </c>
      <c r="R114" s="1" t="s">
        <v>1900</v>
      </c>
      <c r="T114" s="1" t="s">
        <v>1442</v>
      </c>
      <c r="W114" s="1" t="s">
        <v>1899</v>
      </c>
      <c r="X114" s="18">
        <v>0</v>
      </c>
      <c r="AG114" s="202" t="s">
        <v>539</v>
      </c>
      <c r="AH114" s="202">
        <v>9</v>
      </c>
      <c r="AI114" s="202">
        <v>10</v>
      </c>
      <c r="AJ114" s="202">
        <v>11</v>
      </c>
      <c r="AK114" s="202">
        <v>12</v>
      </c>
    </row>
    <row r="115" spans="1:51" ht="14.5" x14ac:dyDescent="0.35">
      <c r="B115" s="1"/>
      <c r="D115" s="2"/>
      <c r="K115" s="30" t="s">
        <v>843</v>
      </c>
      <c r="L115" s="244"/>
      <c r="M115" s="40">
        <v>1</v>
      </c>
      <c r="N115" s="40" t="s">
        <v>1442</v>
      </c>
      <c r="O115" s="40"/>
      <c r="P115" s="40" t="s">
        <v>1445</v>
      </c>
      <c r="Q115" s="2" t="s">
        <v>1444</v>
      </c>
      <c r="R115" s="1" t="s">
        <v>1900</v>
      </c>
      <c r="T115" s="1" t="s">
        <v>1442</v>
      </c>
      <c r="W115" s="1" t="s">
        <v>1899</v>
      </c>
      <c r="X115" s="18">
        <v>0</v>
      </c>
      <c r="AG115" s="202" t="s">
        <v>539</v>
      </c>
      <c r="AH115" s="202">
        <v>13</v>
      </c>
      <c r="AI115" s="202">
        <v>14</v>
      </c>
      <c r="AJ115" s="202">
        <v>15</v>
      </c>
      <c r="AK115" s="202">
        <v>16</v>
      </c>
    </row>
    <row r="116" spans="1:51" ht="14.5" x14ac:dyDescent="0.35">
      <c r="B116" s="1"/>
      <c r="D116" s="2"/>
      <c r="K116" s="27"/>
      <c r="L116" s="30"/>
      <c r="O116" s="2"/>
      <c r="P116" s="2"/>
      <c r="Q116" s="2"/>
      <c r="AG116" s="202" t="s">
        <v>539</v>
      </c>
      <c r="AH116" s="202">
        <v>17</v>
      </c>
      <c r="AI116" s="202">
        <v>18</v>
      </c>
      <c r="AJ116" s="202">
        <v>19</v>
      </c>
      <c r="AK116" s="202">
        <v>20</v>
      </c>
    </row>
    <row r="117" spans="1:51" ht="14.5" x14ac:dyDescent="0.35">
      <c r="B117" s="1"/>
      <c r="D117" s="2"/>
      <c r="K117" s="27"/>
      <c r="L117" s="30"/>
      <c r="O117" s="2"/>
      <c r="P117" s="2"/>
      <c r="Q117" s="2"/>
      <c r="AG117" s="202" t="s">
        <v>539</v>
      </c>
      <c r="AH117" s="202">
        <v>21</v>
      </c>
      <c r="AI117" s="202">
        <v>22</v>
      </c>
      <c r="AJ117" s="202">
        <v>23</v>
      </c>
      <c r="AK117" s="202">
        <v>24</v>
      </c>
    </row>
    <row r="118" spans="1:51" ht="14.5" x14ac:dyDescent="0.35">
      <c r="B118" s="1"/>
      <c r="D118" s="2"/>
      <c r="K118" s="27"/>
      <c r="L118" s="30"/>
      <c r="O118" s="2"/>
      <c r="P118" s="2"/>
      <c r="Q118" s="2"/>
      <c r="AG118" s="202" t="s">
        <v>539</v>
      </c>
      <c r="AH118" s="202">
        <v>25</v>
      </c>
      <c r="AI118" s="202">
        <v>26</v>
      </c>
      <c r="AJ118" s="202">
        <v>27</v>
      </c>
      <c r="AK118" s="202">
        <v>28</v>
      </c>
    </row>
    <row r="119" spans="1:51" ht="14.5" x14ac:dyDescent="0.35">
      <c r="A119" s="2"/>
      <c r="B119" s="2"/>
      <c r="C119" s="2"/>
      <c r="D119" s="2"/>
      <c r="E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V119" s="2"/>
      <c r="AG119" s="202" t="s">
        <v>539</v>
      </c>
      <c r="AH119" s="202">
        <v>29</v>
      </c>
      <c r="AI119" s="202">
        <v>30</v>
      </c>
      <c r="AJ119" s="202">
        <v>31</v>
      </c>
      <c r="AK119" s="202">
        <v>32</v>
      </c>
    </row>
    <row r="120" spans="1:51" ht="14.5" x14ac:dyDescent="0.35">
      <c r="A120" s="2"/>
      <c r="B120" s="2"/>
      <c r="C120" s="2"/>
      <c r="D120" s="2"/>
      <c r="E120" s="2"/>
      <c r="F120" s="3"/>
      <c r="G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V120" s="2"/>
      <c r="AG120" s="202" t="s">
        <v>539</v>
      </c>
      <c r="AH120" s="202">
        <v>33</v>
      </c>
      <c r="AI120" s="202">
        <v>34</v>
      </c>
      <c r="AJ120" s="202">
        <v>35</v>
      </c>
      <c r="AK120" s="202">
        <v>36</v>
      </c>
    </row>
    <row r="121" spans="1:51" ht="14.5" x14ac:dyDescent="0.35">
      <c r="A121" s="2"/>
      <c r="B121" s="2"/>
      <c r="C121" s="2"/>
      <c r="D121" s="2"/>
      <c r="E121" s="2"/>
      <c r="H121" s="6"/>
      <c r="I121" s="2"/>
      <c r="J121" s="2"/>
      <c r="K121" s="2"/>
      <c r="L121" s="2"/>
      <c r="M121" s="2"/>
      <c r="N121" s="2"/>
      <c r="O121" s="2"/>
      <c r="P121" s="2"/>
      <c r="Q121" s="2"/>
      <c r="R121" s="2"/>
      <c r="V121" s="2"/>
      <c r="AG121" s="202" t="s">
        <v>539</v>
      </c>
      <c r="AH121" s="202">
        <v>37</v>
      </c>
      <c r="AI121" s="202">
        <v>38</v>
      </c>
      <c r="AJ121" s="202">
        <v>39</v>
      </c>
      <c r="AK121" s="202">
        <v>40</v>
      </c>
    </row>
    <row r="122" spans="1:51" ht="14.5" x14ac:dyDescent="0.35">
      <c r="A122" s="2"/>
      <c r="B122" s="2"/>
      <c r="C122" s="2"/>
      <c r="D122" s="2"/>
      <c r="E122" s="2"/>
      <c r="F122" s="4"/>
      <c r="G122" s="4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V122" s="2"/>
      <c r="AG122" s="202" t="s">
        <v>539</v>
      </c>
      <c r="AH122" s="202">
        <v>41</v>
      </c>
      <c r="AI122" s="202">
        <v>42</v>
      </c>
      <c r="AJ122" s="202">
        <v>43</v>
      </c>
      <c r="AK122" s="202">
        <v>44</v>
      </c>
      <c r="AL122" s="1"/>
      <c r="AM122" s="2"/>
    </row>
    <row r="123" spans="1:51" ht="14.5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V123" s="6"/>
      <c r="AG123" s="202" t="s">
        <v>539</v>
      </c>
      <c r="AH123" s="202">
        <v>45</v>
      </c>
      <c r="AI123" s="202">
        <v>46</v>
      </c>
      <c r="AJ123" s="202">
        <v>47</v>
      </c>
      <c r="AK123" s="202">
        <v>48</v>
      </c>
      <c r="AL123" s="1"/>
      <c r="AM123" s="2"/>
    </row>
    <row r="124" spans="1:5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V124" s="6"/>
      <c r="AG124" s="1"/>
      <c r="AH124" s="1"/>
      <c r="AI124" s="1"/>
      <c r="AJ124" s="1"/>
      <c r="AK124" s="1"/>
      <c r="AL124" s="1"/>
      <c r="AM124" s="2"/>
    </row>
    <row r="125" spans="1:51" s="6" customFormat="1" ht="15.5" x14ac:dyDescent="0.35">
      <c r="A125" s="71"/>
      <c r="B125" s="53" t="s">
        <v>1898</v>
      </c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226"/>
      <c r="T125" s="226"/>
      <c r="U125" s="226"/>
      <c r="V125" s="71"/>
      <c r="W125" s="226"/>
      <c r="X125" s="227"/>
      <c r="Y125" s="226"/>
      <c r="Z125" s="225"/>
      <c r="AA125" s="225"/>
      <c r="AB125" s="7"/>
      <c r="AC125" s="7"/>
      <c r="AD125" s="7"/>
      <c r="AE125" s="7"/>
      <c r="AF125" s="7"/>
      <c r="AG125" s="8"/>
      <c r="AH125" s="8"/>
      <c r="AI125" s="8"/>
      <c r="AJ125" s="8"/>
      <c r="AK125" s="8"/>
      <c r="AL125" s="200"/>
      <c r="AM125" s="50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</row>
    <row r="126" spans="1:51" s="6" customFormat="1" ht="15.5" x14ac:dyDescent="0.35">
      <c r="B126" s="258"/>
      <c r="E126" s="51"/>
      <c r="F126" s="50"/>
      <c r="G126" s="50"/>
      <c r="M126" s="1"/>
      <c r="N126" s="1"/>
      <c r="O126" s="1"/>
      <c r="P126" s="1"/>
      <c r="S126" s="1"/>
      <c r="T126" s="1"/>
      <c r="U126" s="1"/>
      <c r="W126" s="1"/>
      <c r="X126" s="18"/>
      <c r="Y126" s="1"/>
      <c r="Z126" s="257"/>
      <c r="AA126" s="25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205"/>
      <c r="AM126" s="256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</row>
    <row r="127" spans="1:51" s="6" customFormat="1" ht="13.5" thickBot="1" x14ac:dyDescent="0.35">
      <c r="E127" s="51"/>
      <c r="F127" s="50"/>
      <c r="G127" s="50"/>
      <c r="S127" s="1"/>
      <c r="T127" s="1"/>
      <c r="U127" s="1"/>
      <c r="W127" s="1"/>
      <c r="X127" s="18"/>
      <c r="Y127" s="7"/>
      <c r="Z127" s="225"/>
      <c r="AA127" s="225"/>
      <c r="AB127" s="7"/>
      <c r="AC127" s="7"/>
      <c r="AD127" s="7"/>
      <c r="AE127" s="7"/>
      <c r="AF127" s="7"/>
      <c r="AG127" s="8"/>
      <c r="AH127" s="8"/>
      <c r="AI127" s="8"/>
      <c r="AJ127" s="8"/>
      <c r="AK127" s="8"/>
      <c r="AL127" s="200"/>
      <c r="AM127" s="50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</row>
    <row r="128" spans="1:51" ht="13.5" thickBot="1" x14ac:dyDescent="0.35">
      <c r="A128" s="31" t="s">
        <v>1897</v>
      </c>
      <c r="B128" s="1" t="s">
        <v>1756</v>
      </c>
      <c r="C128" s="2" t="s">
        <v>459</v>
      </c>
      <c r="D128" s="2">
        <v>130</v>
      </c>
      <c r="E128" s="3">
        <v>2</v>
      </c>
      <c r="F128" s="3">
        <v>4</v>
      </c>
      <c r="G128" s="3">
        <v>0</v>
      </c>
      <c r="H128" s="62"/>
      <c r="I128" s="263"/>
      <c r="J128" s="264"/>
      <c r="K128" s="2"/>
      <c r="L128" s="6"/>
      <c r="M128" s="6"/>
      <c r="N128" s="6"/>
      <c r="O128" s="6"/>
      <c r="P128" s="6"/>
      <c r="Q128" s="6"/>
      <c r="R128" s="6"/>
      <c r="V128" s="6"/>
      <c r="Y128" s="7"/>
      <c r="Z128" s="206"/>
      <c r="AA128" s="206"/>
      <c r="AB128" s="7"/>
      <c r="AC128" s="7"/>
      <c r="AD128" s="7"/>
      <c r="AE128" s="7"/>
      <c r="AF128" s="7"/>
    </row>
    <row r="129" spans="1:39" ht="13.5" thickBot="1" x14ac:dyDescent="0.35">
      <c r="A129" s="76" t="s">
        <v>1471</v>
      </c>
      <c r="B129" s="1" t="s">
        <v>1756</v>
      </c>
      <c r="C129" s="2" t="str">
        <f t="shared" ref="C129:C160" si="24">+C128</f>
        <v>DIO1</v>
      </c>
      <c r="D129" s="2">
        <v>130</v>
      </c>
      <c r="E129" s="3">
        <f t="shared" ref="E129:E160" si="25">+E128</f>
        <v>2</v>
      </c>
      <c r="F129" s="3">
        <f t="shared" ref="F129:F160" si="26">+F128</f>
        <v>4</v>
      </c>
      <c r="G129" s="3">
        <v>0</v>
      </c>
      <c r="H129" s="6"/>
      <c r="I129" s="263" t="s">
        <v>458</v>
      </c>
      <c r="J129" s="265"/>
      <c r="K129" s="1" t="s">
        <v>457</v>
      </c>
      <c r="L129" s="6"/>
      <c r="M129" s="6"/>
      <c r="N129" s="6"/>
      <c r="O129" s="6"/>
      <c r="P129" s="6"/>
      <c r="Q129" s="6"/>
      <c r="R129" s="6"/>
      <c r="V129" s="6"/>
      <c r="Y129" s="7"/>
      <c r="Z129" s="206"/>
      <c r="AA129" s="206"/>
      <c r="AB129" s="7"/>
      <c r="AC129" s="7"/>
      <c r="AD129" s="7"/>
      <c r="AE129" s="7"/>
      <c r="AF129" s="7"/>
    </row>
    <row r="130" spans="1:39" ht="13.5" thickBot="1" x14ac:dyDescent="0.35">
      <c r="A130" s="76" t="s">
        <v>1471</v>
      </c>
      <c r="B130" s="1" t="s">
        <v>1756</v>
      </c>
      <c r="C130" s="2" t="str">
        <f t="shared" si="24"/>
        <v>DIO1</v>
      </c>
      <c r="D130" s="2">
        <v>130</v>
      </c>
      <c r="E130" s="3">
        <f t="shared" si="25"/>
        <v>2</v>
      </c>
      <c r="F130" s="3">
        <f t="shared" si="26"/>
        <v>4</v>
      </c>
      <c r="G130" s="3">
        <v>0</v>
      </c>
      <c r="H130" s="6"/>
      <c r="I130" s="263" t="s">
        <v>456</v>
      </c>
      <c r="J130" s="265"/>
      <c r="K130" s="2" t="s">
        <v>455</v>
      </c>
      <c r="L130" s="6"/>
      <c r="M130" s="70" t="s">
        <v>454</v>
      </c>
      <c r="N130" s="70"/>
      <c r="O130" s="70" t="s">
        <v>453</v>
      </c>
      <c r="P130" s="70"/>
      <c r="Q130" s="70" t="s">
        <v>452</v>
      </c>
      <c r="R130" s="6"/>
      <c r="V130" s="6"/>
      <c r="Y130" s="7"/>
      <c r="Z130" s="206"/>
      <c r="AA130" s="206"/>
      <c r="AB130" s="7"/>
      <c r="AC130" s="7"/>
      <c r="AD130" s="7"/>
      <c r="AE130" s="7"/>
      <c r="AF130" s="7"/>
    </row>
    <row r="131" spans="1:39" ht="13.5" thickBot="1" x14ac:dyDescent="0.35">
      <c r="A131" s="76" t="s">
        <v>1471</v>
      </c>
      <c r="B131" s="1" t="s">
        <v>1756</v>
      </c>
      <c r="C131" s="2" t="str">
        <f t="shared" si="24"/>
        <v>DIO1</v>
      </c>
      <c r="D131" s="2">
        <v>130</v>
      </c>
      <c r="E131" s="3">
        <f t="shared" si="25"/>
        <v>2</v>
      </c>
      <c r="F131" s="3">
        <f t="shared" si="26"/>
        <v>4</v>
      </c>
      <c r="G131" s="3">
        <v>0</v>
      </c>
      <c r="H131" s="27">
        <v>0</v>
      </c>
      <c r="I131" s="263" t="s">
        <v>451</v>
      </c>
      <c r="J131" s="264"/>
      <c r="K131" s="1" t="s">
        <v>450</v>
      </c>
      <c r="L131" s="14" t="s">
        <v>1020</v>
      </c>
      <c r="M131" s="70">
        <f>+COUNTA(L132:L295)</f>
        <v>152</v>
      </c>
      <c r="N131" s="70"/>
      <c r="O131" s="70">
        <f>+COUNTBLANK(O132:O295)</f>
        <v>65</v>
      </c>
      <c r="P131" s="70"/>
      <c r="Q131" s="69">
        <f>+O131/M131</f>
        <v>0.42763157894736842</v>
      </c>
      <c r="Y131" s="7"/>
      <c r="Z131" s="206"/>
      <c r="AA131" s="206"/>
      <c r="AB131" s="7"/>
      <c r="AC131" s="7"/>
      <c r="AD131" s="7"/>
      <c r="AE131" s="7"/>
      <c r="AF131" s="7"/>
    </row>
    <row r="132" spans="1:39" x14ac:dyDescent="0.3">
      <c r="A132" s="76" t="s">
        <v>1471</v>
      </c>
      <c r="B132" s="1" t="s">
        <v>1756</v>
      </c>
      <c r="C132" s="2" t="str">
        <f t="shared" si="24"/>
        <v>DIO1</v>
      </c>
      <c r="D132" s="2">
        <v>130</v>
      </c>
      <c r="E132" s="3">
        <f t="shared" si="25"/>
        <v>2</v>
      </c>
      <c r="F132" s="3">
        <f t="shared" si="26"/>
        <v>4</v>
      </c>
      <c r="G132" s="3">
        <v>0</v>
      </c>
      <c r="H132" s="62">
        <f>+H131+1</f>
        <v>1</v>
      </c>
      <c r="I132" s="56">
        <v>0</v>
      </c>
      <c r="J132" s="61" t="s">
        <v>316</v>
      </c>
      <c r="K132" s="2" t="s">
        <v>315</v>
      </c>
      <c r="L132" s="1" t="s">
        <v>21</v>
      </c>
      <c r="M132" s="2">
        <v>5</v>
      </c>
      <c r="N132" s="1" t="s">
        <v>1893</v>
      </c>
      <c r="O132" s="1" t="s">
        <v>72</v>
      </c>
      <c r="Q132" s="1" t="s">
        <v>950</v>
      </c>
      <c r="R132" s="1" t="s">
        <v>24</v>
      </c>
      <c r="S132" s="12" t="s">
        <v>1219</v>
      </c>
      <c r="T132" s="1" t="s">
        <v>1893</v>
      </c>
      <c r="V132" s="1" t="str">
        <f t="shared" ref="V132:V163" si="27">+CONCATENATE(E132,".",F132,"\",G132,".",H132,":",I132)</f>
        <v>2.4\0.1:0</v>
      </c>
      <c r="W132" s="1" t="s">
        <v>1892</v>
      </c>
      <c r="X132" s="18">
        <v>0</v>
      </c>
      <c r="Z132" s="206" t="s">
        <v>1198</v>
      </c>
      <c r="AA132" s="206"/>
      <c r="AB132" s="7"/>
      <c r="AC132" s="7"/>
      <c r="AD132" s="7"/>
      <c r="AE132" s="7"/>
      <c r="AF132" s="7"/>
      <c r="AG132" s="3" t="s">
        <v>768</v>
      </c>
      <c r="AH132" s="3"/>
      <c r="AI132" s="3">
        <v>1</v>
      </c>
      <c r="AM132" s="3"/>
    </row>
    <row r="133" spans="1:39" x14ac:dyDescent="0.3">
      <c r="A133" s="76" t="s">
        <v>1471</v>
      </c>
      <c r="B133" s="1" t="s">
        <v>1756</v>
      </c>
      <c r="C133" s="2" t="str">
        <f t="shared" si="24"/>
        <v>DIO1</v>
      </c>
      <c r="D133" s="2">
        <v>130</v>
      </c>
      <c r="E133" s="3">
        <f t="shared" si="25"/>
        <v>2</v>
      </c>
      <c r="F133" s="3">
        <f t="shared" si="26"/>
        <v>4</v>
      </c>
      <c r="G133" s="3">
        <v>0</v>
      </c>
      <c r="H133" s="60">
        <f>H132</f>
        <v>1</v>
      </c>
      <c r="I133" s="54">
        <f t="shared" ref="I133:I163" si="28">+I132+1</f>
        <v>1</v>
      </c>
      <c r="J133" s="61"/>
      <c r="L133" s="1" t="s">
        <v>21</v>
      </c>
      <c r="M133" s="2">
        <v>5</v>
      </c>
      <c r="N133" s="1" t="s">
        <v>1893</v>
      </c>
      <c r="O133" s="12" t="s">
        <v>320</v>
      </c>
      <c r="P133" s="12"/>
      <c r="Q133" s="243" t="s">
        <v>1218</v>
      </c>
      <c r="R133" s="12" t="s">
        <v>18</v>
      </c>
      <c r="S133" s="12" t="s">
        <v>1217</v>
      </c>
      <c r="T133" s="1" t="s">
        <v>1893</v>
      </c>
      <c r="V133" s="1" t="str">
        <f t="shared" si="27"/>
        <v>2.4\0.1:1</v>
      </c>
      <c r="W133" s="1" t="s">
        <v>1892</v>
      </c>
      <c r="X133" s="18">
        <v>0</v>
      </c>
      <c r="Z133" s="206" t="s">
        <v>1198</v>
      </c>
      <c r="AA133" s="206"/>
      <c r="AB133" s="7"/>
      <c r="AC133" s="7"/>
      <c r="AD133" s="7"/>
      <c r="AE133" s="7"/>
      <c r="AF133" s="7"/>
      <c r="AG133" s="3" t="s">
        <v>768</v>
      </c>
      <c r="AH133" s="3"/>
      <c r="AI133" s="3">
        <v>2</v>
      </c>
      <c r="AL133" s="242"/>
      <c r="AM133" s="3"/>
    </row>
    <row r="134" spans="1:39" x14ac:dyDescent="0.3">
      <c r="A134" s="5" t="str">
        <f t="shared" ref="A134:A163" si="29">A133</f>
        <v>BBD130</v>
      </c>
      <c r="B134" s="1" t="s">
        <v>1756</v>
      </c>
      <c r="C134" s="2" t="str">
        <f t="shared" si="24"/>
        <v>DIO1</v>
      </c>
      <c r="D134" s="2">
        <v>130</v>
      </c>
      <c r="E134" s="3">
        <f t="shared" si="25"/>
        <v>2</v>
      </c>
      <c r="F134" s="3">
        <f t="shared" si="26"/>
        <v>4</v>
      </c>
      <c r="G134" s="3">
        <v>0</v>
      </c>
      <c r="H134" s="60">
        <f>H132</f>
        <v>1</v>
      </c>
      <c r="I134" s="54">
        <f t="shared" si="28"/>
        <v>2</v>
      </c>
      <c r="J134" s="61"/>
      <c r="K134" s="30"/>
      <c r="L134" s="1" t="s">
        <v>21</v>
      </c>
      <c r="M134" s="2">
        <v>5</v>
      </c>
      <c r="N134" s="1" t="s">
        <v>1893</v>
      </c>
      <c r="O134" s="12" t="s">
        <v>350</v>
      </c>
      <c r="P134" s="12"/>
      <c r="Q134" s="1" t="s">
        <v>1216</v>
      </c>
      <c r="R134" s="12" t="s">
        <v>18</v>
      </c>
      <c r="S134" s="12" t="s">
        <v>1215</v>
      </c>
      <c r="T134" s="1" t="s">
        <v>1893</v>
      </c>
      <c r="V134" s="1" t="str">
        <f t="shared" si="27"/>
        <v>2.4\0.1:2</v>
      </c>
      <c r="W134" s="1" t="s">
        <v>1892</v>
      </c>
      <c r="X134" s="18">
        <v>0</v>
      </c>
      <c r="Z134" s="206" t="s">
        <v>1198</v>
      </c>
      <c r="AA134" s="206"/>
      <c r="AB134" s="7"/>
      <c r="AC134" s="7"/>
      <c r="AD134" s="7"/>
      <c r="AE134" s="7"/>
      <c r="AF134" s="7"/>
      <c r="AG134" s="3" t="s">
        <v>768</v>
      </c>
      <c r="AH134" s="3"/>
      <c r="AI134" s="3">
        <v>3</v>
      </c>
      <c r="AL134" s="242"/>
      <c r="AM134" s="3"/>
    </row>
    <row r="135" spans="1:39" x14ac:dyDescent="0.3">
      <c r="A135" s="5" t="str">
        <f t="shared" si="29"/>
        <v>BBD130</v>
      </c>
      <c r="B135" s="1" t="s">
        <v>1756</v>
      </c>
      <c r="C135" s="2" t="str">
        <f t="shared" si="24"/>
        <v>DIO1</v>
      </c>
      <c r="D135" s="2">
        <v>130</v>
      </c>
      <c r="E135" s="3">
        <f t="shared" si="25"/>
        <v>2</v>
      </c>
      <c r="F135" s="3">
        <f t="shared" si="26"/>
        <v>4</v>
      </c>
      <c r="G135" s="3">
        <v>0</v>
      </c>
      <c r="H135" s="60">
        <f t="shared" ref="H135:H146" si="30">H132</f>
        <v>1</v>
      </c>
      <c r="I135" s="54">
        <f t="shared" si="28"/>
        <v>3</v>
      </c>
      <c r="J135" s="61"/>
      <c r="K135" s="30"/>
      <c r="L135" s="1" t="s">
        <v>21</v>
      </c>
      <c r="M135" s="2">
        <v>5</v>
      </c>
      <c r="N135" s="1" t="s">
        <v>1893</v>
      </c>
      <c r="O135" s="12" t="s">
        <v>348</v>
      </c>
      <c r="P135" s="12"/>
      <c r="Q135" s="1" t="s">
        <v>1214</v>
      </c>
      <c r="R135" s="12" t="s">
        <v>18</v>
      </c>
      <c r="S135" s="12" t="s">
        <v>1213</v>
      </c>
      <c r="T135" s="1" t="s">
        <v>1893</v>
      </c>
      <c r="V135" s="1" t="str">
        <f t="shared" si="27"/>
        <v>2.4\0.1:3</v>
      </c>
      <c r="W135" s="1" t="s">
        <v>1892</v>
      </c>
      <c r="X135" s="18">
        <v>0</v>
      </c>
      <c r="Z135" s="206" t="s">
        <v>1198</v>
      </c>
      <c r="AA135" s="206"/>
      <c r="AB135" s="7"/>
      <c r="AC135" s="7"/>
      <c r="AD135" s="7"/>
      <c r="AE135" s="7"/>
      <c r="AF135" s="7"/>
      <c r="AG135" s="3" t="s">
        <v>768</v>
      </c>
      <c r="AH135" s="3"/>
      <c r="AI135" s="3">
        <v>4</v>
      </c>
      <c r="AL135" s="242"/>
      <c r="AM135" s="3"/>
    </row>
    <row r="136" spans="1:39" x14ac:dyDescent="0.3">
      <c r="A136" s="5" t="str">
        <f t="shared" si="29"/>
        <v>BBD130</v>
      </c>
      <c r="B136" s="1" t="s">
        <v>1756</v>
      </c>
      <c r="C136" s="2" t="str">
        <f t="shared" si="24"/>
        <v>DIO1</v>
      </c>
      <c r="D136" s="2">
        <v>130</v>
      </c>
      <c r="E136" s="3">
        <f t="shared" si="25"/>
        <v>2</v>
      </c>
      <c r="F136" s="3">
        <f t="shared" si="26"/>
        <v>4</v>
      </c>
      <c r="G136" s="3">
        <v>0</v>
      </c>
      <c r="H136" s="60">
        <f t="shared" si="30"/>
        <v>1</v>
      </c>
      <c r="I136" s="54">
        <f t="shared" si="28"/>
        <v>4</v>
      </c>
      <c r="J136" s="61"/>
      <c r="K136" s="30"/>
      <c r="L136" s="1" t="s">
        <v>21</v>
      </c>
      <c r="M136" s="2">
        <v>5</v>
      </c>
      <c r="N136" s="1" t="s">
        <v>1893</v>
      </c>
      <c r="O136" s="12" t="s">
        <v>345</v>
      </c>
      <c r="P136" s="12"/>
      <c r="Q136" s="1" t="s">
        <v>1212</v>
      </c>
      <c r="R136" s="12" t="s">
        <v>18</v>
      </c>
      <c r="S136" s="12" t="s">
        <v>1211</v>
      </c>
      <c r="T136" s="1" t="s">
        <v>1893</v>
      </c>
      <c r="V136" s="1" t="str">
        <f t="shared" si="27"/>
        <v>2.4\0.1:4</v>
      </c>
      <c r="W136" s="1" t="s">
        <v>1892</v>
      </c>
      <c r="X136" s="18">
        <v>0</v>
      </c>
      <c r="Z136" s="206" t="s">
        <v>1198</v>
      </c>
      <c r="AA136" s="206"/>
      <c r="AB136" s="7"/>
      <c r="AC136" s="7"/>
      <c r="AD136" s="7"/>
      <c r="AE136" s="7"/>
      <c r="AF136" s="7"/>
      <c r="AG136" s="3" t="s">
        <v>768</v>
      </c>
      <c r="AH136" s="3"/>
      <c r="AI136" s="3">
        <v>5</v>
      </c>
      <c r="AM136" s="3"/>
    </row>
    <row r="137" spans="1:39" x14ac:dyDescent="0.3">
      <c r="A137" s="5" t="str">
        <f t="shared" si="29"/>
        <v>BBD130</v>
      </c>
      <c r="B137" s="1" t="s">
        <v>1756</v>
      </c>
      <c r="C137" s="2" t="str">
        <f t="shared" si="24"/>
        <v>DIO1</v>
      </c>
      <c r="D137" s="2">
        <v>130</v>
      </c>
      <c r="E137" s="3">
        <f t="shared" si="25"/>
        <v>2</v>
      </c>
      <c r="F137" s="3">
        <f t="shared" si="26"/>
        <v>4</v>
      </c>
      <c r="G137" s="3">
        <v>0</v>
      </c>
      <c r="H137" s="60">
        <f t="shared" si="30"/>
        <v>1</v>
      </c>
      <c r="I137" s="54">
        <f t="shared" si="28"/>
        <v>5</v>
      </c>
      <c r="J137" s="61"/>
      <c r="K137" s="30"/>
      <c r="L137" s="1" t="s">
        <v>21</v>
      </c>
      <c r="M137" s="2">
        <v>5</v>
      </c>
      <c r="N137" s="1" t="s">
        <v>1893</v>
      </c>
      <c r="O137" s="12" t="s">
        <v>342</v>
      </c>
      <c r="P137" s="12"/>
      <c r="Q137" s="1" t="s">
        <v>1896</v>
      </c>
      <c r="R137" s="12" t="s">
        <v>18</v>
      </c>
      <c r="S137" s="12" t="s">
        <v>1008</v>
      </c>
      <c r="T137" s="1" t="s">
        <v>1893</v>
      </c>
      <c r="V137" s="1" t="str">
        <f t="shared" si="27"/>
        <v>2.4\0.1:5</v>
      </c>
      <c r="W137" s="1" t="s">
        <v>1892</v>
      </c>
      <c r="X137" s="18">
        <v>0</v>
      </c>
      <c r="Z137" s="206" t="s">
        <v>1198</v>
      </c>
      <c r="AA137" s="206"/>
      <c r="AB137" s="7"/>
      <c r="AC137" s="7"/>
      <c r="AD137" s="7"/>
      <c r="AE137" s="7"/>
      <c r="AF137" s="7"/>
      <c r="AG137" s="3" t="s">
        <v>768</v>
      </c>
      <c r="AH137" s="3"/>
      <c r="AI137" s="3">
        <v>6</v>
      </c>
      <c r="AM137" s="3"/>
    </row>
    <row r="138" spans="1:39" x14ac:dyDescent="0.3">
      <c r="A138" s="5" t="str">
        <f t="shared" si="29"/>
        <v>BBD130</v>
      </c>
      <c r="B138" s="1" t="s">
        <v>1756</v>
      </c>
      <c r="C138" s="2" t="str">
        <f t="shared" si="24"/>
        <v>DIO1</v>
      </c>
      <c r="D138" s="2">
        <v>130</v>
      </c>
      <c r="E138" s="3">
        <f t="shared" si="25"/>
        <v>2</v>
      </c>
      <c r="F138" s="3">
        <f t="shared" si="26"/>
        <v>4</v>
      </c>
      <c r="G138" s="3">
        <v>0</v>
      </c>
      <c r="H138" s="60">
        <f t="shared" si="30"/>
        <v>1</v>
      </c>
      <c r="I138" s="54">
        <f t="shared" si="28"/>
        <v>6</v>
      </c>
      <c r="J138" s="61"/>
      <c r="K138" s="30"/>
      <c r="L138" s="1" t="s">
        <v>21</v>
      </c>
      <c r="M138" s="2">
        <v>5</v>
      </c>
      <c r="N138" s="1" t="s">
        <v>1893</v>
      </c>
      <c r="O138" s="12" t="s">
        <v>339</v>
      </c>
      <c r="P138" s="12"/>
      <c r="Q138" s="1" t="s">
        <v>1895</v>
      </c>
      <c r="R138" s="12" t="s">
        <v>18</v>
      </c>
      <c r="S138" s="12" t="s">
        <v>1207</v>
      </c>
      <c r="T138" s="1" t="s">
        <v>1893</v>
      </c>
      <c r="V138" s="1" t="str">
        <f t="shared" si="27"/>
        <v>2.4\0.1:6</v>
      </c>
      <c r="W138" s="1" t="s">
        <v>1892</v>
      </c>
      <c r="X138" s="18">
        <v>0</v>
      </c>
      <c r="Z138" s="206" t="s">
        <v>1198</v>
      </c>
      <c r="AA138" s="206"/>
      <c r="AB138" s="7"/>
      <c r="AC138" s="7"/>
      <c r="AD138" s="7"/>
      <c r="AE138" s="7"/>
      <c r="AF138" s="7"/>
      <c r="AG138" s="3" t="s">
        <v>768</v>
      </c>
      <c r="AH138" s="3"/>
      <c r="AI138" s="3">
        <v>7</v>
      </c>
      <c r="AM138" s="3"/>
    </row>
    <row r="139" spans="1:39" x14ac:dyDescent="0.3">
      <c r="A139" s="5" t="str">
        <f t="shared" si="29"/>
        <v>BBD130</v>
      </c>
      <c r="B139" s="1" t="s">
        <v>1756</v>
      </c>
      <c r="C139" s="2" t="str">
        <f t="shared" si="24"/>
        <v>DIO1</v>
      </c>
      <c r="D139" s="2">
        <v>130</v>
      </c>
      <c r="E139" s="3">
        <f t="shared" si="25"/>
        <v>2</v>
      </c>
      <c r="F139" s="3">
        <f t="shared" si="26"/>
        <v>4</v>
      </c>
      <c r="G139" s="3">
        <v>0</v>
      </c>
      <c r="H139" s="60">
        <f t="shared" si="30"/>
        <v>1</v>
      </c>
      <c r="I139" s="54">
        <f t="shared" si="28"/>
        <v>7</v>
      </c>
      <c r="J139" s="61"/>
      <c r="K139" s="30"/>
      <c r="L139" s="1" t="s">
        <v>21</v>
      </c>
      <c r="M139" s="2">
        <v>5</v>
      </c>
      <c r="N139" s="1" t="s">
        <v>1893</v>
      </c>
      <c r="O139" s="12" t="s">
        <v>336</v>
      </c>
      <c r="P139" s="12"/>
      <c r="Q139" s="1" t="s">
        <v>579</v>
      </c>
      <c r="R139" s="12" t="s">
        <v>18</v>
      </c>
      <c r="S139" s="12" t="s">
        <v>661</v>
      </c>
      <c r="T139" s="1" t="s">
        <v>1893</v>
      </c>
      <c r="V139" s="1" t="str">
        <f t="shared" si="27"/>
        <v>2.4\0.1:7</v>
      </c>
      <c r="W139" s="1" t="s">
        <v>1892</v>
      </c>
      <c r="X139" s="18">
        <v>0</v>
      </c>
      <c r="Z139" s="206" t="s">
        <v>1198</v>
      </c>
      <c r="AA139" s="206"/>
      <c r="AB139" s="7"/>
      <c r="AC139" s="7"/>
      <c r="AD139" s="7"/>
      <c r="AE139" s="7"/>
      <c r="AF139" s="7"/>
      <c r="AG139" s="3" t="s">
        <v>768</v>
      </c>
      <c r="AH139" s="3"/>
      <c r="AI139" s="3">
        <v>8</v>
      </c>
      <c r="AM139" s="3"/>
    </row>
    <row r="140" spans="1:39" x14ac:dyDescent="0.3">
      <c r="A140" s="5" t="str">
        <f t="shared" si="29"/>
        <v>BBD130</v>
      </c>
      <c r="B140" s="1" t="s">
        <v>1756</v>
      </c>
      <c r="C140" s="2" t="str">
        <f t="shared" si="24"/>
        <v>DIO1</v>
      </c>
      <c r="D140" s="2">
        <v>130</v>
      </c>
      <c r="E140" s="3">
        <f t="shared" si="25"/>
        <v>2</v>
      </c>
      <c r="F140" s="3">
        <f t="shared" si="26"/>
        <v>4</v>
      </c>
      <c r="G140" s="3">
        <v>0</v>
      </c>
      <c r="H140" s="60">
        <f t="shared" si="30"/>
        <v>1</v>
      </c>
      <c r="I140" s="54">
        <f t="shared" si="28"/>
        <v>8</v>
      </c>
      <c r="J140" s="61"/>
      <c r="K140" s="30"/>
      <c r="L140" s="1" t="s">
        <v>21</v>
      </c>
      <c r="M140" s="2">
        <v>5</v>
      </c>
      <c r="N140" s="1" t="s">
        <v>1893</v>
      </c>
      <c r="O140" s="12" t="s">
        <v>334</v>
      </c>
      <c r="P140" s="12"/>
      <c r="Q140" s="1" t="s">
        <v>1894</v>
      </c>
      <c r="R140" s="12" t="s">
        <v>18</v>
      </c>
      <c r="S140" s="12" t="s">
        <v>1003</v>
      </c>
      <c r="T140" s="1" t="s">
        <v>1893</v>
      </c>
      <c r="V140" s="1" t="str">
        <f t="shared" si="27"/>
        <v>2.4\0.1:8</v>
      </c>
      <c r="W140" s="1" t="s">
        <v>1892</v>
      </c>
      <c r="X140" s="18">
        <v>0</v>
      </c>
      <c r="Z140" s="206" t="s">
        <v>1198</v>
      </c>
      <c r="AA140" s="206"/>
      <c r="AB140" s="7"/>
      <c r="AC140" s="7"/>
      <c r="AD140" s="7"/>
      <c r="AE140" s="7"/>
      <c r="AF140" s="7"/>
      <c r="AG140" s="3" t="s">
        <v>768</v>
      </c>
      <c r="AH140" s="3"/>
      <c r="AI140" s="3">
        <v>9</v>
      </c>
      <c r="AM140" s="3"/>
    </row>
    <row r="141" spans="1:39" x14ac:dyDescent="0.3">
      <c r="A141" s="5" t="str">
        <f t="shared" si="29"/>
        <v>BBD130</v>
      </c>
      <c r="B141" s="1" t="s">
        <v>1756</v>
      </c>
      <c r="C141" s="2" t="str">
        <f t="shared" si="24"/>
        <v>DIO1</v>
      </c>
      <c r="D141" s="2">
        <v>130</v>
      </c>
      <c r="E141" s="3">
        <f t="shared" si="25"/>
        <v>2</v>
      </c>
      <c r="F141" s="3">
        <f t="shared" si="26"/>
        <v>4</v>
      </c>
      <c r="G141" s="3">
        <v>0</v>
      </c>
      <c r="H141" s="60">
        <f t="shared" si="30"/>
        <v>1</v>
      </c>
      <c r="I141" s="54">
        <f t="shared" si="28"/>
        <v>9</v>
      </c>
      <c r="J141" s="61"/>
      <c r="K141" s="30"/>
      <c r="L141" s="1" t="s">
        <v>21</v>
      </c>
      <c r="M141" s="2">
        <v>5</v>
      </c>
      <c r="N141" s="1" t="s">
        <v>1893</v>
      </c>
      <c r="O141" s="12" t="s">
        <v>332</v>
      </c>
      <c r="P141" s="12"/>
      <c r="Q141" s="1" t="s">
        <v>1002</v>
      </c>
      <c r="R141" s="12" t="s">
        <v>18</v>
      </c>
      <c r="S141" s="12" t="s">
        <v>1202</v>
      </c>
      <c r="T141" s="1" t="s">
        <v>1893</v>
      </c>
      <c r="V141" s="1" t="str">
        <f t="shared" si="27"/>
        <v>2.4\0.1:9</v>
      </c>
      <c r="W141" s="1" t="s">
        <v>1892</v>
      </c>
      <c r="X141" s="18">
        <v>0</v>
      </c>
      <c r="Z141" s="206" t="s">
        <v>1198</v>
      </c>
      <c r="AA141" s="206"/>
      <c r="AB141" s="7"/>
      <c r="AC141" s="7"/>
      <c r="AD141" s="7"/>
      <c r="AE141" s="7"/>
      <c r="AF141" s="7"/>
      <c r="AG141" s="3" t="s">
        <v>768</v>
      </c>
      <c r="AH141" s="3"/>
      <c r="AI141" s="3">
        <v>10</v>
      </c>
      <c r="AM141" s="3"/>
    </row>
    <row r="142" spans="1:39" x14ac:dyDescent="0.3">
      <c r="A142" s="5" t="str">
        <f t="shared" si="29"/>
        <v>BBD130</v>
      </c>
      <c r="B142" s="1" t="s">
        <v>1756</v>
      </c>
      <c r="C142" s="2" t="str">
        <f t="shared" si="24"/>
        <v>DIO1</v>
      </c>
      <c r="D142" s="2">
        <v>130</v>
      </c>
      <c r="E142" s="3">
        <f t="shared" si="25"/>
        <v>2</v>
      </c>
      <c r="F142" s="3">
        <f t="shared" si="26"/>
        <v>4</v>
      </c>
      <c r="G142" s="3">
        <v>0</v>
      </c>
      <c r="H142" s="60">
        <f t="shared" si="30"/>
        <v>1</v>
      </c>
      <c r="I142" s="54">
        <f t="shared" si="28"/>
        <v>10</v>
      </c>
      <c r="J142" s="61"/>
      <c r="K142" s="30"/>
      <c r="L142" s="1" t="s">
        <v>21</v>
      </c>
      <c r="M142" s="2">
        <v>5</v>
      </c>
      <c r="N142" s="1" t="s">
        <v>1893</v>
      </c>
      <c r="O142" s="12" t="s">
        <v>330</v>
      </c>
      <c r="P142" s="12"/>
      <c r="Q142" s="1" t="s">
        <v>1002</v>
      </c>
      <c r="R142" s="12" t="s">
        <v>18</v>
      </c>
      <c r="S142" s="12" t="s">
        <v>1201</v>
      </c>
      <c r="T142" s="1" t="s">
        <v>1893</v>
      </c>
      <c r="V142" s="1" t="str">
        <f t="shared" si="27"/>
        <v>2.4\0.1:10</v>
      </c>
      <c r="W142" s="1" t="s">
        <v>1892</v>
      </c>
      <c r="X142" s="18">
        <v>0</v>
      </c>
      <c r="Z142" s="206" t="s">
        <v>1198</v>
      </c>
      <c r="AA142" s="206"/>
      <c r="AB142" s="7"/>
      <c r="AC142" s="7"/>
      <c r="AD142" s="7"/>
      <c r="AE142" s="7"/>
      <c r="AF142" s="7"/>
      <c r="AG142" s="3" t="s">
        <v>768</v>
      </c>
      <c r="AH142" s="3"/>
      <c r="AI142" s="3">
        <v>11</v>
      </c>
      <c r="AM142" s="3"/>
    </row>
    <row r="143" spans="1:39" x14ac:dyDescent="0.3">
      <c r="A143" s="5" t="str">
        <f t="shared" si="29"/>
        <v>BBD130</v>
      </c>
      <c r="B143" s="1" t="s">
        <v>1756</v>
      </c>
      <c r="C143" s="2" t="str">
        <f t="shared" si="24"/>
        <v>DIO1</v>
      </c>
      <c r="D143" s="2">
        <v>130</v>
      </c>
      <c r="E143" s="3">
        <f t="shared" si="25"/>
        <v>2</v>
      </c>
      <c r="F143" s="3">
        <f t="shared" si="26"/>
        <v>4</v>
      </c>
      <c r="G143" s="3">
        <v>0</v>
      </c>
      <c r="H143" s="60">
        <f t="shared" si="30"/>
        <v>1</v>
      </c>
      <c r="I143" s="54">
        <f t="shared" si="28"/>
        <v>11</v>
      </c>
      <c r="J143" s="61"/>
      <c r="K143" s="30"/>
      <c r="L143" s="1" t="s">
        <v>21</v>
      </c>
      <c r="M143" s="2">
        <v>5</v>
      </c>
      <c r="N143" s="1" t="s">
        <v>1893</v>
      </c>
      <c r="O143" s="12" t="s">
        <v>328</v>
      </c>
      <c r="P143" s="12"/>
      <c r="Q143" s="241" t="s">
        <v>1002</v>
      </c>
      <c r="R143" s="12" t="s">
        <v>18</v>
      </c>
      <c r="S143" s="12" t="s">
        <v>1200</v>
      </c>
      <c r="T143" s="1" t="s">
        <v>1893</v>
      </c>
      <c r="V143" s="1" t="str">
        <f t="shared" si="27"/>
        <v>2.4\0.1:11</v>
      </c>
      <c r="W143" s="1" t="s">
        <v>1892</v>
      </c>
      <c r="X143" s="18">
        <v>0</v>
      </c>
      <c r="Z143" s="206" t="s">
        <v>1198</v>
      </c>
      <c r="AA143" s="206"/>
      <c r="AB143" s="7"/>
      <c r="AC143" s="7"/>
      <c r="AD143" s="7"/>
      <c r="AE143" s="7"/>
      <c r="AF143" s="7"/>
      <c r="AG143" s="3" t="s">
        <v>768</v>
      </c>
      <c r="AH143" s="3"/>
      <c r="AI143" s="3">
        <v>12</v>
      </c>
      <c r="AM143" s="3"/>
    </row>
    <row r="144" spans="1:39" x14ac:dyDescent="0.3">
      <c r="A144" s="5" t="str">
        <f t="shared" si="29"/>
        <v>BBD130</v>
      </c>
      <c r="B144" s="1" t="s">
        <v>1756</v>
      </c>
      <c r="C144" s="2" t="str">
        <f t="shared" si="24"/>
        <v>DIO1</v>
      </c>
      <c r="D144" s="2">
        <v>130</v>
      </c>
      <c r="E144" s="3">
        <f t="shared" si="25"/>
        <v>2</v>
      </c>
      <c r="F144" s="3">
        <f t="shared" si="26"/>
        <v>4</v>
      </c>
      <c r="G144" s="3">
        <v>0</v>
      </c>
      <c r="H144" s="60">
        <f t="shared" si="30"/>
        <v>1</v>
      </c>
      <c r="I144" s="54">
        <f t="shared" si="28"/>
        <v>12</v>
      </c>
      <c r="J144" s="61"/>
      <c r="K144" s="30"/>
      <c r="L144" s="1" t="s">
        <v>21</v>
      </c>
      <c r="M144" s="2"/>
      <c r="O144" s="12"/>
      <c r="P144" s="12"/>
      <c r="Q144" s="1" t="s">
        <v>302</v>
      </c>
      <c r="R144" s="12" t="s">
        <v>302</v>
      </c>
      <c r="V144" s="1" t="str">
        <f t="shared" si="27"/>
        <v>2.4\0.1:12</v>
      </c>
      <c r="Z144" s="206" t="s">
        <v>1062</v>
      </c>
      <c r="AA144" s="206"/>
      <c r="AB144" s="7"/>
      <c r="AC144" s="7"/>
      <c r="AD144" s="7"/>
      <c r="AE144" s="7"/>
      <c r="AF144" s="7"/>
      <c r="AG144" s="3" t="s">
        <v>768</v>
      </c>
      <c r="AH144" s="3"/>
      <c r="AI144" s="3">
        <v>13</v>
      </c>
      <c r="AM144" s="3"/>
    </row>
    <row r="145" spans="1:39" x14ac:dyDescent="0.3">
      <c r="A145" s="5" t="str">
        <f t="shared" si="29"/>
        <v>BBD130</v>
      </c>
      <c r="B145" s="1" t="s">
        <v>1756</v>
      </c>
      <c r="C145" s="2" t="str">
        <f t="shared" si="24"/>
        <v>DIO1</v>
      </c>
      <c r="D145" s="2">
        <v>130</v>
      </c>
      <c r="E145" s="3">
        <f t="shared" si="25"/>
        <v>2</v>
      </c>
      <c r="F145" s="3">
        <f t="shared" si="26"/>
        <v>4</v>
      </c>
      <c r="G145" s="3">
        <v>0</v>
      </c>
      <c r="H145" s="60">
        <f t="shared" si="30"/>
        <v>1</v>
      </c>
      <c r="I145" s="54">
        <f t="shared" si="28"/>
        <v>13</v>
      </c>
      <c r="J145" s="61"/>
      <c r="K145" s="30"/>
      <c r="L145" s="1" t="s">
        <v>21</v>
      </c>
      <c r="M145" s="2"/>
      <c r="O145" s="12"/>
      <c r="P145" s="12"/>
      <c r="Q145" s="1" t="s">
        <v>302</v>
      </c>
      <c r="R145" s="12" t="s">
        <v>302</v>
      </c>
      <c r="V145" s="1" t="str">
        <f t="shared" si="27"/>
        <v>2.4\0.1:13</v>
      </c>
      <c r="Z145" s="206" t="s">
        <v>1062</v>
      </c>
      <c r="AA145" s="206"/>
      <c r="AB145" s="7"/>
      <c r="AC145" s="7"/>
      <c r="AD145" s="7"/>
      <c r="AE145" s="7"/>
      <c r="AF145" s="7"/>
      <c r="AG145" s="3" t="s">
        <v>768</v>
      </c>
      <c r="AH145" s="3"/>
      <c r="AI145" s="3">
        <v>14</v>
      </c>
      <c r="AM145" s="3"/>
    </row>
    <row r="146" spans="1:39" x14ac:dyDescent="0.3">
      <c r="A146" s="5" t="str">
        <f t="shared" si="29"/>
        <v>BBD130</v>
      </c>
      <c r="B146" s="1" t="s">
        <v>1756</v>
      </c>
      <c r="C146" s="2" t="str">
        <f t="shared" si="24"/>
        <v>DIO1</v>
      </c>
      <c r="D146" s="2">
        <v>130</v>
      </c>
      <c r="E146" s="3">
        <f t="shared" si="25"/>
        <v>2</v>
      </c>
      <c r="F146" s="3">
        <f t="shared" si="26"/>
        <v>4</v>
      </c>
      <c r="G146" s="3">
        <v>0</v>
      </c>
      <c r="H146" s="60">
        <f t="shared" si="30"/>
        <v>1</v>
      </c>
      <c r="I146" s="54">
        <f t="shared" si="28"/>
        <v>14</v>
      </c>
      <c r="J146" s="61"/>
      <c r="K146" s="30"/>
      <c r="L146" s="1" t="s">
        <v>21</v>
      </c>
      <c r="M146" s="2"/>
      <c r="O146" s="12"/>
      <c r="P146" s="12"/>
      <c r="Q146" s="1" t="s">
        <v>302</v>
      </c>
      <c r="R146" s="12" t="s">
        <v>302</v>
      </c>
      <c r="V146" s="1" t="str">
        <f t="shared" si="27"/>
        <v>2.4\0.1:14</v>
      </c>
      <c r="Z146" s="206" t="s">
        <v>1062</v>
      </c>
      <c r="AA146" s="206"/>
      <c r="AB146" s="7"/>
      <c r="AC146" s="7"/>
      <c r="AD146" s="7"/>
      <c r="AE146" s="7"/>
      <c r="AF146" s="7"/>
      <c r="AG146" s="3" t="s">
        <v>768</v>
      </c>
      <c r="AH146" s="3"/>
      <c r="AI146" s="3">
        <v>15</v>
      </c>
      <c r="AM146" s="3"/>
    </row>
    <row r="147" spans="1:39" x14ac:dyDescent="0.3">
      <c r="A147" s="5" t="str">
        <f t="shared" si="29"/>
        <v>BBD130</v>
      </c>
      <c r="B147" s="1" t="s">
        <v>1756</v>
      </c>
      <c r="C147" s="2" t="str">
        <f t="shared" si="24"/>
        <v>DIO1</v>
      </c>
      <c r="D147" s="2">
        <v>130</v>
      </c>
      <c r="E147" s="3">
        <f t="shared" si="25"/>
        <v>2</v>
      </c>
      <c r="F147" s="3">
        <f t="shared" si="26"/>
        <v>4</v>
      </c>
      <c r="G147" s="3">
        <v>0</v>
      </c>
      <c r="H147" s="60">
        <f t="shared" ref="H147:H163" si="31">H143</f>
        <v>1</v>
      </c>
      <c r="I147" s="54">
        <f t="shared" si="28"/>
        <v>15</v>
      </c>
      <c r="J147" s="61"/>
      <c r="K147" s="30"/>
      <c r="L147" s="1" t="s">
        <v>21</v>
      </c>
      <c r="M147" s="2"/>
      <c r="O147" s="12"/>
      <c r="P147" s="12"/>
      <c r="Q147" s="1" t="s">
        <v>302</v>
      </c>
      <c r="R147" s="12" t="s">
        <v>302</v>
      </c>
      <c r="V147" s="1" t="str">
        <f t="shared" si="27"/>
        <v>2.4\0.1:15</v>
      </c>
      <c r="Z147" s="206" t="s">
        <v>1062</v>
      </c>
      <c r="AA147" s="206"/>
      <c r="AB147" s="7"/>
      <c r="AC147" s="7"/>
      <c r="AD147" s="7"/>
      <c r="AE147" s="7"/>
      <c r="AF147" s="7"/>
      <c r="AG147" s="3" t="s">
        <v>768</v>
      </c>
      <c r="AH147" s="3"/>
      <c r="AI147" s="3">
        <v>16</v>
      </c>
      <c r="AM147" s="3"/>
    </row>
    <row r="148" spans="1:39" x14ac:dyDescent="0.3">
      <c r="A148" s="5" t="str">
        <f t="shared" si="29"/>
        <v>BBD130</v>
      </c>
      <c r="B148" s="1" t="s">
        <v>1756</v>
      </c>
      <c r="C148" s="2" t="str">
        <f t="shared" si="24"/>
        <v>DIO1</v>
      </c>
      <c r="D148" s="2">
        <v>130</v>
      </c>
      <c r="E148" s="3">
        <f t="shared" si="25"/>
        <v>2</v>
      </c>
      <c r="F148" s="3">
        <f t="shared" si="26"/>
        <v>4</v>
      </c>
      <c r="G148" s="3">
        <v>0</v>
      </c>
      <c r="H148" s="60">
        <f t="shared" si="31"/>
        <v>1</v>
      </c>
      <c r="I148" s="54">
        <f t="shared" si="28"/>
        <v>16</v>
      </c>
      <c r="J148" s="61"/>
      <c r="K148" s="2"/>
      <c r="L148" s="1" t="s">
        <v>21</v>
      </c>
      <c r="M148" s="2">
        <v>5</v>
      </c>
      <c r="N148" s="1" t="s">
        <v>1748</v>
      </c>
      <c r="O148" s="41" t="s">
        <v>962</v>
      </c>
      <c r="P148" s="41" t="s">
        <v>1747</v>
      </c>
      <c r="Q148" s="41" t="s">
        <v>963</v>
      </c>
      <c r="R148" s="41" t="s">
        <v>46</v>
      </c>
      <c r="S148" s="13" t="s">
        <v>962</v>
      </c>
      <c r="T148" s="1" t="s">
        <v>526</v>
      </c>
      <c r="V148" s="1" t="str">
        <f t="shared" si="27"/>
        <v>2.4\0.1:16</v>
      </c>
      <c r="W148" s="1" t="s">
        <v>471</v>
      </c>
      <c r="X148" s="3" t="s">
        <v>4</v>
      </c>
      <c r="Z148" s="206" t="s">
        <v>1062</v>
      </c>
      <c r="AA148" s="206"/>
      <c r="AB148" s="7"/>
      <c r="AC148" s="7"/>
      <c r="AD148" s="7"/>
      <c r="AE148" s="7"/>
      <c r="AF148" s="7"/>
      <c r="AG148" s="3" t="s">
        <v>768</v>
      </c>
      <c r="AH148" s="3">
        <v>17</v>
      </c>
      <c r="AI148" s="3">
        <v>18</v>
      </c>
      <c r="AM148" s="3"/>
    </row>
    <row r="149" spans="1:39" x14ac:dyDescent="0.3">
      <c r="A149" s="5" t="str">
        <f t="shared" si="29"/>
        <v>BBD130</v>
      </c>
      <c r="B149" s="1" t="s">
        <v>1756</v>
      </c>
      <c r="C149" s="2" t="str">
        <f t="shared" si="24"/>
        <v>DIO1</v>
      </c>
      <c r="D149" s="2">
        <v>130</v>
      </c>
      <c r="E149" s="3">
        <f t="shared" si="25"/>
        <v>2</v>
      </c>
      <c r="F149" s="3">
        <f t="shared" si="26"/>
        <v>4</v>
      </c>
      <c r="G149" s="3">
        <v>0</v>
      </c>
      <c r="H149" s="60">
        <f t="shared" si="31"/>
        <v>1</v>
      </c>
      <c r="I149" s="54">
        <f t="shared" si="28"/>
        <v>17</v>
      </c>
      <c r="J149" s="61"/>
      <c r="K149" s="30"/>
      <c r="L149" s="1" t="s">
        <v>21</v>
      </c>
      <c r="M149" s="2">
        <v>5</v>
      </c>
      <c r="N149" s="1" t="s">
        <v>1748</v>
      </c>
      <c r="O149" s="41" t="s">
        <v>959</v>
      </c>
      <c r="P149" s="41" t="s">
        <v>1747</v>
      </c>
      <c r="Q149" s="41" t="s">
        <v>960</v>
      </c>
      <c r="R149" s="41" t="s">
        <v>46</v>
      </c>
      <c r="S149" s="13" t="s">
        <v>959</v>
      </c>
      <c r="T149" s="1" t="s">
        <v>526</v>
      </c>
      <c r="V149" s="1" t="str">
        <f t="shared" si="27"/>
        <v>2.4\0.1:17</v>
      </c>
      <c r="W149" s="1" t="s">
        <v>471</v>
      </c>
      <c r="X149" s="3" t="s">
        <v>4</v>
      </c>
      <c r="Z149" s="206" t="s">
        <v>1062</v>
      </c>
      <c r="AA149" s="206"/>
      <c r="AB149" s="7"/>
      <c r="AC149" s="7"/>
      <c r="AD149" s="7"/>
      <c r="AE149" s="7"/>
      <c r="AF149" s="7"/>
      <c r="AG149" s="3" t="s">
        <v>768</v>
      </c>
      <c r="AH149" s="3">
        <v>19</v>
      </c>
      <c r="AI149" s="3">
        <v>20</v>
      </c>
      <c r="AM149" s="3"/>
    </row>
    <row r="150" spans="1:39" x14ac:dyDescent="0.3">
      <c r="A150" s="5" t="str">
        <f t="shared" si="29"/>
        <v>BBD130</v>
      </c>
      <c r="B150" s="1" t="s">
        <v>1756</v>
      </c>
      <c r="C150" s="2" t="str">
        <f t="shared" si="24"/>
        <v>DIO1</v>
      </c>
      <c r="D150" s="2">
        <v>130</v>
      </c>
      <c r="E150" s="3">
        <f t="shared" si="25"/>
        <v>2</v>
      </c>
      <c r="F150" s="3">
        <f t="shared" si="26"/>
        <v>4</v>
      </c>
      <c r="G150" s="3">
        <v>0</v>
      </c>
      <c r="H150" s="60">
        <f t="shared" si="31"/>
        <v>1</v>
      </c>
      <c r="I150" s="54">
        <f t="shared" si="28"/>
        <v>18</v>
      </c>
      <c r="J150" s="61"/>
      <c r="K150" s="30"/>
      <c r="L150" s="1" t="s">
        <v>21</v>
      </c>
      <c r="M150" s="2">
        <v>5</v>
      </c>
      <c r="N150" s="1" t="s">
        <v>1891</v>
      </c>
      <c r="O150" s="1" t="s">
        <v>1174</v>
      </c>
      <c r="P150" s="1" t="s">
        <v>1890</v>
      </c>
      <c r="Q150" s="1" t="s">
        <v>1871</v>
      </c>
      <c r="R150" s="1" t="s">
        <v>18</v>
      </c>
      <c r="T150" s="1" t="s">
        <v>526</v>
      </c>
      <c r="V150" s="1" t="str">
        <f t="shared" si="27"/>
        <v>2.4\0.1:18</v>
      </c>
      <c r="W150" s="1" t="s">
        <v>1767</v>
      </c>
      <c r="X150" s="18">
        <v>0</v>
      </c>
      <c r="Z150" s="206" t="s">
        <v>1062</v>
      </c>
      <c r="AA150" s="206"/>
      <c r="AB150" s="7"/>
      <c r="AC150" s="7"/>
      <c r="AD150" s="7"/>
      <c r="AE150" s="7"/>
      <c r="AF150" s="7"/>
      <c r="AG150" s="3" t="s">
        <v>768</v>
      </c>
      <c r="AH150" s="3">
        <v>21</v>
      </c>
      <c r="AI150" s="3">
        <v>22</v>
      </c>
      <c r="AM150" s="3"/>
    </row>
    <row r="151" spans="1:39" x14ac:dyDescent="0.3">
      <c r="A151" s="5" t="str">
        <f t="shared" si="29"/>
        <v>BBD130</v>
      </c>
      <c r="B151" s="1" t="s">
        <v>1756</v>
      </c>
      <c r="C151" s="2" t="str">
        <f t="shared" si="24"/>
        <v>DIO1</v>
      </c>
      <c r="D151" s="2">
        <v>130</v>
      </c>
      <c r="E151" s="3">
        <f t="shared" si="25"/>
        <v>2</v>
      </c>
      <c r="F151" s="3">
        <f t="shared" si="26"/>
        <v>4</v>
      </c>
      <c r="G151" s="3">
        <v>0</v>
      </c>
      <c r="H151" s="60">
        <f t="shared" si="31"/>
        <v>1</v>
      </c>
      <c r="I151" s="54">
        <f t="shared" si="28"/>
        <v>19</v>
      </c>
      <c r="J151" s="61"/>
      <c r="K151" s="30"/>
      <c r="L151" s="1" t="s">
        <v>21</v>
      </c>
      <c r="M151" s="2">
        <v>5</v>
      </c>
      <c r="N151" s="1" t="s">
        <v>1771</v>
      </c>
      <c r="O151" s="1" t="s">
        <v>1889</v>
      </c>
      <c r="P151" s="1" t="s">
        <v>1769</v>
      </c>
      <c r="Q151" s="41" t="s">
        <v>998</v>
      </c>
      <c r="R151" s="1" t="s">
        <v>734</v>
      </c>
      <c r="T151" s="1" t="s">
        <v>1471</v>
      </c>
      <c r="V151" s="1" t="str">
        <f t="shared" si="27"/>
        <v>2.4\0.1:19</v>
      </c>
      <c r="W151" s="1" t="s">
        <v>1767</v>
      </c>
      <c r="X151" s="18">
        <v>0</v>
      </c>
      <c r="Z151" s="206" t="s">
        <v>1062</v>
      </c>
      <c r="AA151" s="206"/>
      <c r="AB151" s="7"/>
      <c r="AC151" s="7"/>
      <c r="AD151" s="7"/>
      <c r="AE151" s="7"/>
      <c r="AF151" s="7"/>
      <c r="AG151" s="3" t="s">
        <v>768</v>
      </c>
      <c r="AH151" s="3">
        <v>23</v>
      </c>
      <c r="AI151" s="3">
        <v>24</v>
      </c>
      <c r="AM151" s="3"/>
    </row>
    <row r="152" spans="1:39" x14ac:dyDescent="0.3">
      <c r="A152" s="5" t="str">
        <f t="shared" si="29"/>
        <v>BBD130</v>
      </c>
      <c r="B152" s="1" t="s">
        <v>1756</v>
      </c>
      <c r="C152" s="2" t="str">
        <f t="shared" si="24"/>
        <v>DIO1</v>
      </c>
      <c r="D152" s="2">
        <v>130</v>
      </c>
      <c r="E152" s="3">
        <f t="shared" si="25"/>
        <v>2</v>
      </c>
      <c r="F152" s="3">
        <f t="shared" si="26"/>
        <v>4</v>
      </c>
      <c r="G152" s="3">
        <v>0</v>
      </c>
      <c r="H152" s="60">
        <f t="shared" si="31"/>
        <v>1</v>
      </c>
      <c r="I152" s="54">
        <f t="shared" si="28"/>
        <v>20</v>
      </c>
      <c r="J152" s="61"/>
      <c r="K152" s="30"/>
      <c r="L152" s="1" t="s">
        <v>21</v>
      </c>
      <c r="M152" s="2">
        <v>5</v>
      </c>
      <c r="N152" s="1" t="s">
        <v>488</v>
      </c>
      <c r="O152" s="1" t="s">
        <v>967</v>
      </c>
      <c r="P152" s="1" t="s">
        <v>1888</v>
      </c>
      <c r="Q152" s="41" t="s">
        <v>966</v>
      </c>
      <c r="R152" s="1" t="s">
        <v>18</v>
      </c>
      <c r="S152" s="13" t="s">
        <v>1572</v>
      </c>
      <c r="T152" s="1" t="s">
        <v>488</v>
      </c>
      <c r="V152" s="1" t="str">
        <f t="shared" si="27"/>
        <v>2.4\0.1:20</v>
      </c>
      <c r="W152" s="1" t="s">
        <v>489</v>
      </c>
      <c r="X152" s="255">
        <v>0</v>
      </c>
      <c r="Z152" s="206" t="s">
        <v>1062</v>
      </c>
      <c r="AA152" s="206"/>
      <c r="AB152" s="7"/>
      <c r="AC152" s="7"/>
      <c r="AD152" s="7"/>
      <c r="AE152" s="7"/>
      <c r="AF152" s="7"/>
      <c r="AG152" s="3" t="s">
        <v>768</v>
      </c>
      <c r="AH152" s="3">
        <v>25</v>
      </c>
      <c r="AI152" s="3">
        <v>26</v>
      </c>
      <c r="AM152" s="3"/>
    </row>
    <row r="153" spans="1:39" x14ac:dyDescent="0.3">
      <c r="A153" s="5" t="str">
        <f t="shared" si="29"/>
        <v>BBD130</v>
      </c>
      <c r="B153" s="1" t="s">
        <v>1756</v>
      </c>
      <c r="C153" s="2" t="str">
        <f t="shared" si="24"/>
        <v>DIO1</v>
      </c>
      <c r="D153" s="2">
        <v>130</v>
      </c>
      <c r="E153" s="3">
        <f t="shared" si="25"/>
        <v>2</v>
      </c>
      <c r="F153" s="3">
        <f t="shared" si="26"/>
        <v>4</v>
      </c>
      <c r="G153" s="3">
        <v>0</v>
      </c>
      <c r="H153" s="60">
        <f t="shared" si="31"/>
        <v>1</v>
      </c>
      <c r="I153" s="54">
        <f t="shared" si="28"/>
        <v>21</v>
      </c>
      <c r="J153" s="61"/>
      <c r="K153" s="30"/>
      <c r="L153" s="1" t="s">
        <v>21</v>
      </c>
      <c r="M153" s="2">
        <v>5</v>
      </c>
      <c r="N153" s="1" t="s">
        <v>486</v>
      </c>
      <c r="O153" s="12" t="s">
        <v>967</v>
      </c>
      <c r="P153" s="12" t="s">
        <v>1887</v>
      </c>
      <c r="Q153" s="1" t="s">
        <v>966</v>
      </c>
      <c r="R153" s="1" t="s">
        <v>18</v>
      </c>
      <c r="S153" s="13" t="s">
        <v>1572</v>
      </c>
      <c r="T153" s="1" t="s">
        <v>486</v>
      </c>
      <c r="V153" s="1" t="str">
        <f t="shared" si="27"/>
        <v>2.4\0.1:21</v>
      </c>
      <c r="W153" s="1" t="s">
        <v>487</v>
      </c>
      <c r="X153" s="255">
        <v>0</v>
      </c>
      <c r="Z153" s="206" t="s">
        <v>1062</v>
      </c>
      <c r="AA153" s="206"/>
      <c r="AB153" s="7"/>
      <c r="AC153" s="7"/>
      <c r="AD153" s="7"/>
      <c r="AE153" s="7"/>
      <c r="AF153" s="7"/>
      <c r="AG153" s="3" t="s">
        <v>768</v>
      </c>
      <c r="AH153" s="3">
        <v>27</v>
      </c>
      <c r="AI153" s="3">
        <v>28</v>
      </c>
      <c r="AM153" s="3"/>
    </row>
    <row r="154" spans="1:39" x14ac:dyDescent="0.3">
      <c r="A154" s="5" t="str">
        <f t="shared" si="29"/>
        <v>BBD130</v>
      </c>
      <c r="B154" s="1" t="s">
        <v>1756</v>
      </c>
      <c r="C154" s="2" t="str">
        <f t="shared" si="24"/>
        <v>DIO1</v>
      </c>
      <c r="D154" s="2">
        <v>130</v>
      </c>
      <c r="E154" s="3">
        <f t="shared" si="25"/>
        <v>2</v>
      </c>
      <c r="F154" s="3">
        <f t="shared" si="26"/>
        <v>4</v>
      </c>
      <c r="G154" s="3">
        <v>0</v>
      </c>
      <c r="H154" s="60">
        <f t="shared" si="31"/>
        <v>1</v>
      </c>
      <c r="I154" s="54">
        <f t="shared" si="28"/>
        <v>22</v>
      </c>
      <c r="J154" s="61"/>
      <c r="K154" s="30"/>
      <c r="L154" s="1" t="s">
        <v>21</v>
      </c>
      <c r="M154" s="81">
        <v>5</v>
      </c>
      <c r="N154" s="1" t="s">
        <v>467</v>
      </c>
      <c r="O154" s="1" t="s">
        <v>967</v>
      </c>
      <c r="P154" s="1" t="s">
        <v>1836</v>
      </c>
      <c r="Q154" s="1" t="s">
        <v>966</v>
      </c>
      <c r="R154" s="1" t="s">
        <v>18</v>
      </c>
      <c r="S154" s="13" t="s">
        <v>1572</v>
      </c>
      <c r="T154" s="1" t="s">
        <v>526</v>
      </c>
      <c r="V154" s="1" t="str">
        <f t="shared" si="27"/>
        <v>2.4\0.1:22</v>
      </c>
      <c r="W154" s="1" t="s">
        <v>471</v>
      </c>
      <c r="X154" s="3" t="s">
        <v>4</v>
      </c>
      <c r="Z154" s="206" t="s">
        <v>1062</v>
      </c>
      <c r="AA154" s="206"/>
      <c r="AB154" s="7"/>
      <c r="AC154" s="7"/>
      <c r="AD154" s="7"/>
      <c r="AE154" s="7"/>
      <c r="AF154" s="7"/>
      <c r="AG154" s="3" t="s">
        <v>768</v>
      </c>
      <c r="AH154" s="3">
        <v>29</v>
      </c>
      <c r="AI154" s="3">
        <v>30</v>
      </c>
      <c r="AM154" s="3"/>
    </row>
    <row r="155" spans="1:39" x14ac:dyDescent="0.3">
      <c r="A155" s="5" t="str">
        <f t="shared" si="29"/>
        <v>BBD130</v>
      </c>
      <c r="B155" s="1" t="s">
        <v>1756</v>
      </c>
      <c r="C155" s="2" t="str">
        <f t="shared" si="24"/>
        <v>DIO1</v>
      </c>
      <c r="D155" s="2">
        <v>130</v>
      </c>
      <c r="E155" s="3">
        <f t="shared" si="25"/>
        <v>2</v>
      </c>
      <c r="F155" s="3">
        <f t="shared" si="26"/>
        <v>4</v>
      </c>
      <c r="G155" s="3">
        <v>0</v>
      </c>
      <c r="H155" s="60">
        <f t="shared" si="31"/>
        <v>1</v>
      </c>
      <c r="I155" s="54">
        <f t="shared" si="28"/>
        <v>23</v>
      </c>
      <c r="J155" s="61"/>
      <c r="K155" s="30"/>
      <c r="L155" s="1" t="s">
        <v>21</v>
      </c>
      <c r="M155" s="6">
        <v>5</v>
      </c>
      <c r="N155" s="1" t="s">
        <v>1754</v>
      </c>
      <c r="O155" s="1" t="s">
        <v>962</v>
      </c>
      <c r="P155" s="1" t="s">
        <v>1886</v>
      </c>
      <c r="Q155" s="41" t="s">
        <v>963</v>
      </c>
      <c r="R155" s="1" t="s">
        <v>46</v>
      </c>
      <c r="S155" s="1" t="s">
        <v>962</v>
      </c>
      <c r="T155" s="1" t="s">
        <v>1740</v>
      </c>
      <c r="V155" s="1" t="str">
        <f t="shared" si="27"/>
        <v>2.4\0.1:23</v>
      </c>
      <c r="W155" s="1" t="s">
        <v>482</v>
      </c>
      <c r="X155" s="255">
        <v>0</v>
      </c>
      <c r="Z155" s="206" t="s">
        <v>1062</v>
      </c>
      <c r="AA155" s="206"/>
      <c r="AB155" s="7"/>
      <c r="AC155" s="7"/>
      <c r="AD155" s="7"/>
      <c r="AE155" s="7"/>
      <c r="AF155" s="7"/>
      <c r="AG155" s="3" t="s">
        <v>768</v>
      </c>
      <c r="AH155" s="3">
        <v>31</v>
      </c>
      <c r="AI155" s="3">
        <v>32</v>
      </c>
      <c r="AM155" s="3"/>
    </row>
    <row r="156" spans="1:39" x14ac:dyDescent="0.3">
      <c r="A156" s="5" t="str">
        <f t="shared" si="29"/>
        <v>BBD130</v>
      </c>
      <c r="B156" s="1" t="s">
        <v>1756</v>
      </c>
      <c r="C156" s="2" t="str">
        <f t="shared" si="24"/>
        <v>DIO1</v>
      </c>
      <c r="D156" s="2">
        <v>130</v>
      </c>
      <c r="E156" s="3">
        <f t="shared" si="25"/>
        <v>2</v>
      </c>
      <c r="F156" s="3">
        <f t="shared" si="26"/>
        <v>4</v>
      </c>
      <c r="G156" s="3">
        <v>0</v>
      </c>
      <c r="H156" s="60">
        <f t="shared" si="31"/>
        <v>1</v>
      </c>
      <c r="I156" s="54">
        <f t="shared" si="28"/>
        <v>24</v>
      </c>
      <c r="J156" s="61"/>
      <c r="K156" s="30"/>
      <c r="L156" s="1" t="s">
        <v>21</v>
      </c>
      <c r="M156" s="6">
        <v>5</v>
      </c>
      <c r="N156" s="1" t="s">
        <v>1754</v>
      </c>
      <c r="O156" s="1" t="s">
        <v>959</v>
      </c>
      <c r="P156" s="1" t="s">
        <v>1886</v>
      </c>
      <c r="Q156" s="41" t="s">
        <v>960</v>
      </c>
      <c r="R156" s="1" t="s">
        <v>46</v>
      </c>
      <c r="S156" s="1" t="s">
        <v>959</v>
      </c>
      <c r="T156" s="1" t="s">
        <v>1740</v>
      </c>
      <c r="V156" s="1" t="str">
        <f t="shared" si="27"/>
        <v>2.4\0.1:24</v>
      </c>
      <c r="W156" s="1" t="s">
        <v>482</v>
      </c>
      <c r="X156" s="255">
        <v>0</v>
      </c>
      <c r="Z156" s="206" t="s">
        <v>1062</v>
      </c>
      <c r="AA156" s="206"/>
      <c r="AB156" s="7"/>
      <c r="AC156" s="7"/>
      <c r="AD156" s="7"/>
      <c r="AE156" s="7"/>
      <c r="AF156" s="7"/>
      <c r="AG156" s="3" t="s">
        <v>768</v>
      </c>
      <c r="AH156" s="3">
        <v>33</v>
      </c>
      <c r="AI156" s="3">
        <v>34</v>
      </c>
      <c r="AM156" s="3"/>
    </row>
    <row r="157" spans="1:39" x14ac:dyDescent="0.3">
      <c r="A157" s="5" t="str">
        <f t="shared" si="29"/>
        <v>BBD130</v>
      </c>
      <c r="B157" s="1" t="s">
        <v>1756</v>
      </c>
      <c r="C157" s="2" t="str">
        <f t="shared" si="24"/>
        <v>DIO1</v>
      </c>
      <c r="D157" s="2">
        <v>130</v>
      </c>
      <c r="E157" s="3">
        <f t="shared" si="25"/>
        <v>2</v>
      </c>
      <c r="F157" s="3">
        <f t="shared" si="26"/>
        <v>4</v>
      </c>
      <c r="G157" s="3">
        <v>0</v>
      </c>
      <c r="H157" s="60">
        <f t="shared" si="31"/>
        <v>1</v>
      </c>
      <c r="I157" s="54">
        <f t="shared" si="28"/>
        <v>25</v>
      </c>
      <c r="J157" s="61"/>
      <c r="K157" s="30"/>
      <c r="L157" s="1" t="s">
        <v>21</v>
      </c>
      <c r="M157" s="2">
        <v>5</v>
      </c>
      <c r="N157" s="1" t="s">
        <v>1754</v>
      </c>
      <c r="O157" s="1" t="s">
        <v>957</v>
      </c>
      <c r="P157" s="1" t="s">
        <v>1885</v>
      </c>
      <c r="Q157" s="41" t="s">
        <v>963</v>
      </c>
      <c r="R157" s="1" t="s">
        <v>46</v>
      </c>
      <c r="S157" s="1" t="s">
        <v>962</v>
      </c>
      <c r="T157" s="1" t="s">
        <v>1740</v>
      </c>
      <c r="V157" s="1" t="str">
        <f t="shared" si="27"/>
        <v>2.4\0.1:25</v>
      </c>
      <c r="W157" s="1" t="s">
        <v>480</v>
      </c>
      <c r="X157" s="255">
        <v>0</v>
      </c>
      <c r="Z157" s="206" t="s">
        <v>1062</v>
      </c>
      <c r="AA157" s="206"/>
      <c r="AB157" s="7"/>
      <c r="AC157" s="7"/>
      <c r="AD157" s="7"/>
      <c r="AE157" s="7"/>
      <c r="AF157" s="7"/>
      <c r="AG157" s="3" t="s">
        <v>768</v>
      </c>
      <c r="AH157" s="3">
        <v>35</v>
      </c>
      <c r="AI157" s="3">
        <v>36</v>
      </c>
      <c r="AM157" s="3"/>
    </row>
    <row r="158" spans="1:39" x14ac:dyDescent="0.3">
      <c r="A158" s="5" t="str">
        <f t="shared" si="29"/>
        <v>BBD130</v>
      </c>
      <c r="B158" s="1" t="s">
        <v>1756</v>
      </c>
      <c r="C158" s="2" t="str">
        <f t="shared" si="24"/>
        <v>DIO1</v>
      </c>
      <c r="D158" s="2">
        <v>130</v>
      </c>
      <c r="E158" s="3">
        <f t="shared" si="25"/>
        <v>2</v>
      </c>
      <c r="F158" s="3">
        <f t="shared" si="26"/>
        <v>4</v>
      </c>
      <c r="G158" s="3">
        <v>0</v>
      </c>
      <c r="H158" s="60">
        <f t="shared" si="31"/>
        <v>1</v>
      </c>
      <c r="I158" s="54">
        <f t="shared" si="28"/>
        <v>26</v>
      </c>
      <c r="J158" s="61"/>
      <c r="K158" s="30"/>
      <c r="L158" s="1" t="s">
        <v>21</v>
      </c>
      <c r="M158" s="2">
        <v>5</v>
      </c>
      <c r="N158" s="1" t="s">
        <v>1754</v>
      </c>
      <c r="O158" s="1" t="s">
        <v>1869</v>
      </c>
      <c r="P158" s="1" t="s">
        <v>1885</v>
      </c>
      <c r="Q158" s="1" t="s">
        <v>960</v>
      </c>
      <c r="R158" s="1" t="s">
        <v>46</v>
      </c>
      <c r="S158" s="1" t="s">
        <v>959</v>
      </c>
      <c r="T158" s="1" t="s">
        <v>1740</v>
      </c>
      <c r="V158" s="1" t="str">
        <f t="shared" si="27"/>
        <v>2.4\0.1:26</v>
      </c>
      <c r="W158" s="1" t="s">
        <v>480</v>
      </c>
      <c r="X158" s="255">
        <v>0</v>
      </c>
      <c r="Z158" s="206" t="s">
        <v>1062</v>
      </c>
      <c r="AA158" s="206"/>
      <c r="AB158" s="7"/>
      <c r="AC158" s="7"/>
      <c r="AD158" s="7"/>
      <c r="AE158" s="7"/>
      <c r="AF158" s="7"/>
      <c r="AG158" s="3" t="s">
        <v>768</v>
      </c>
      <c r="AH158" s="3">
        <v>37</v>
      </c>
      <c r="AI158" s="3">
        <v>38</v>
      </c>
      <c r="AM158" s="3"/>
    </row>
    <row r="159" spans="1:39" x14ac:dyDescent="0.3">
      <c r="A159" s="5" t="str">
        <f t="shared" si="29"/>
        <v>BBD130</v>
      </c>
      <c r="B159" s="1" t="s">
        <v>1756</v>
      </c>
      <c r="C159" s="2" t="str">
        <f t="shared" si="24"/>
        <v>DIO1</v>
      </c>
      <c r="D159" s="2">
        <v>130</v>
      </c>
      <c r="E159" s="3">
        <f t="shared" si="25"/>
        <v>2</v>
      </c>
      <c r="F159" s="3">
        <f t="shared" si="26"/>
        <v>4</v>
      </c>
      <c r="G159" s="3">
        <v>0</v>
      </c>
      <c r="H159" s="60">
        <f t="shared" si="31"/>
        <v>1</v>
      </c>
      <c r="I159" s="54">
        <f t="shared" si="28"/>
        <v>27</v>
      </c>
      <c r="J159" s="61"/>
      <c r="K159" s="30"/>
      <c r="L159" s="1" t="s">
        <v>21</v>
      </c>
      <c r="M159" s="2">
        <v>5</v>
      </c>
      <c r="N159" s="1" t="s">
        <v>1754</v>
      </c>
      <c r="O159" s="1" t="s">
        <v>1884</v>
      </c>
      <c r="P159" s="1" t="s">
        <v>1882</v>
      </c>
      <c r="Q159" s="221" t="s">
        <v>963</v>
      </c>
      <c r="R159" s="220" t="s">
        <v>46</v>
      </c>
      <c r="S159" s="1" t="s">
        <v>962</v>
      </c>
      <c r="T159" s="1" t="s">
        <v>1740</v>
      </c>
      <c r="V159" s="1" t="str">
        <f t="shared" si="27"/>
        <v>2.4\0.1:27</v>
      </c>
      <c r="W159" s="1" t="s">
        <v>478</v>
      </c>
      <c r="X159" s="255">
        <v>0</v>
      </c>
      <c r="Z159" s="206" t="s">
        <v>1062</v>
      </c>
      <c r="AA159" s="206"/>
      <c r="AB159" s="7"/>
      <c r="AC159" s="7"/>
      <c r="AD159" s="7"/>
      <c r="AE159" s="7"/>
      <c r="AF159" s="7"/>
      <c r="AG159" s="3" t="s">
        <v>768</v>
      </c>
      <c r="AH159" s="3">
        <v>39</v>
      </c>
      <c r="AI159" s="3">
        <v>40</v>
      </c>
      <c r="AM159" s="3"/>
    </row>
    <row r="160" spans="1:39" x14ac:dyDescent="0.3">
      <c r="A160" s="5" t="str">
        <f t="shared" si="29"/>
        <v>BBD130</v>
      </c>
      <c r="B160" s="1" t="s">
        <v>1756</v>
      </c>
      <c r="C160" s="2" t="str">
        <f t="shared" si="24"/>
        <v>DIO1</v>
      </c>
      <c r="D160" s="2">
        <v>130</v>
      </c>
      <c r="E160" s="3">
        <f t="shared" si="25"/>
        <v>2</v>
      </c>
      <c r="F160" s="3">
        <f t="shared" si="26"/>
        <v>4</v>
      </c>
      <c r="G160" s="3">
        <v>0</v>
      </c>
      <c r="H160" s="60">
        <f t="shared" si="31"/>
        <v>1</v>
      </c>
      <c r="I160" s="54">
        <f t="shared" si="28"/>
        <v>28</v>
      </c>
      <c r="J160" s="61"/>
      <c r="K160" s="30"/>
      <c r="L160" s="1" t="s">
        <v>21</v>
      </c>
      <c r="M160" s="2">
        <v>5</v>
      </c>
      <c r="N160" s="1" t="s">
        <v>1754</v>
      </c>
      <c r="O160" s="1" t="s">
        <v>1883</v>
      </c>
      <c r="P160" s="1" t="s">
        <v>1882</v>
      </c>
      <c r="Q160" s="41" t="s">
        <v>960</v>
      </c>
      <c r="R160" s="1" t="s">
        <v>46</v>
      </c>
      <c r="S160" s="1" t="s">
        <v>959</v>
      </c>
      <c r="T160" s="1" t="s">
        <v>1740</v>
      </c>
      <c r="V160" s="1" t="str">
        <f t="shared" si="27"/>
        <v>2.4\0.1:28</v>
      </c>
      <c r="W160" s="1" t="s">
        <v>478</v>
      </c>
      <c r="X160" s="255">
        <v>0</v>
      </c>
      <c r="Z160" s="206" t="s">
        <v>1062</v>
      </c>
      <c r="AA160" s="206"/>
      <c r="AB160" s="7"/>
      <c r="AC160" s="7"/>
      <c r="AD160" s="7"/>
      <c r="AE160" s="7"/>
      <c r="AF160" s="7"/>
      <c r="AG160" s="3" t="s">
        <v>768</v>
      </c>
      <c r="AH160" s="3">
        <v>41</v>
      </c>
      <c r="AI160" s="3">
        <v>42</v>
      </c>
      <c r="AM160" s="3"/>
    </row>
    <row r="161" spans="1:39" x14ac:dyDescent="0.3">
      <c r="A161" s="5" t="str">
        <f t="shared" si="29"/>
        <v>BBD130</v>
      </c>
      <c r="B161" s="1" t="s">
        <v>1756</v>
      </c>
      <c r="C161" s="2" t="str">
        <f t="shared" ref="C161:C192" si="32">+C160</f>
        <v>DIO1</v>
      </c>
      <c r="D161" s="2">
        <v>130</v>
      </c>
      <c r="E161" s="3">
        <f t="shared" ref="E161:E192" si="33">+E160</f>
        <v>2</v>
      </c>
      <c r="F161" s="3">
        <f t="shared" ref="F161:F192" si="34">+F160</f>
        <v>4</v>
      </c>
      <c r="G161" s="3">
        <v>0</v>
      </c>
      <c r="H161" s="60">
        <f t="shared" si="31"/>
        <v>1</v>
      </c>
      <c r="I161" s="54">
        <f t="shared" si="28"/>
        <v>29</v>
      </c>
      <c r="J161" s="61"/>
      <c r="K161" s="30"/>
      <c r="L161" s="1" t="s">
        <v>21</v>
      </c>
      <c r="M161" s="2"/>
      <c r="Q161" s="41" t="s">
        <v>302</v>
      </c>
      <c r="R161" s="1" t="s">
        <v>302</v>
      </c>
      <c r="V161" s="1" t="str">
        <f t="shared" si="27"/>
        <v>2.4\0.1:29</v>
      </c>
      <c r="Z161" s="206" t="s">
        <v>1062</v>
      </c>
      <c r="AA161" s="206"/>
      <c r="AB161" s="7"/>
      <c r="AC161" s="7"/>
      <c r="AD161" s="7"/>
      <c r="AE161" s="7"/>
      <c r="AF161" s="7"/>
      <c r="AG161" s="3" t="s">
        <v>768</v>
      </c>
      <c r="AH161" s="3">
        <v>43</v>
      </c>
      <c r="AI161" s="3">
        <v>44</v>
      </c>
      <c r="AM161" s="3"/>
    </row>
    <row r="162" spans="1:39" x14ac:dyDescent="0.3">
      <c r="A162" s="5" t="str">
        <f t="shared" si="29"/>
        <v>BBD130</v>
      </c>
      <c r="B162" s="1" t="s">
        <v>1756</v>
      </c>
      <c r="C162" s="2" t="str">
        <f t="shared" si="32"/>
        <v>DIO1</v>
      </c>
      <c r="D162" s="2">
        <v>130</v>
      </c>
      <c r="E162" s="3">
        <f t="shared" si="33"/>
        <v>2</v>
      </c>
      <c r="F162" s="3">
        <f t="shared" si="34"/>
        <v>4</v>
      </c>
      <c r="G162" s="3">
        <v>0</v>
      </c>
      <c r="H162" s="60">
        <f t="shared" si="31"/>
        <v>1</v>
      </c>
      <c r="I162" s="54">
        <f t="shared" si="28"/>
        <v>30</v>
      </c>
      <c r="J162" s="61"/>
      <c r="K162" s="30"/>
      <c r="L162" s="1" t="s">
        <v>21</v>
      </c>
      <c r="M162" s="2"/>
      <c r="Q162" s="221" t="s">
        <v>302</v>
      </c>
      <c r="R162" s="1" t="s">
        <v>302</v>
      </c>
      <c r="V162" s="1" t="str">
        <f t="shared" si="27"/>
        <v>2.4\0.1:30</v>
      </c>
      <c r="Z162" s="206" t="s">
        <v>1062</v>
      </c>
      <c r="AA162" s="206"/>
      <c r="AB162" s="7"/>
      <c r="AC162" s="7"/>
      <c r="AD162" s="7"/>
      <c r="AE162" s="7"/>
      <c r="AF162" s="7"/>
      <c r="AG162" s="3" t="s">
        <v>768</v>
      </c>
      <c r="AH162" s="3">
        <v>45</v>
      </c>
      <c r="AI162" s="3">
        <v>46</v>
      </c>
      <c r="AM162" s="3"/>
    </row>
    <row r="163" spans="1:39" ht="13.5" thickBot="1" x14ac:dyDescent="0.35">
      <c r="A163" s="5" t="str">
        <f t="shared" si="29"/>
        <v>BBD130</v>
      </c>
      <c r="B163" s="1" t="s">
        <v>1756</v>
      </c>
      <c r="C163" s="2" t="str">
        <f t="shared" si="32"/>
        <v>DIO1</v>
      </c>
      <c r="D163" s="2">
        <v>130</v>
      </c>
      <c r="E163" s="3">
        <f t="shared" si="33"/>
        <v>2</v>
      </c>
      <c r="F163" s="3">
        <f t="shared" si="34"/>
        <v>4</v>
      </c>
      <c r="G163" s="3">
        <v>0</v>
      </c>
      <c r="H163" s="60">
        <f t="shared" si="31"/>
        <v>1</v>
      </c>
      <c r="I163" s="59">
        <f t="shared" si="28"/>
        <v>31</v>
      </c>
      <c r="J163" s="58"/>
      <c r="K163" s="30"/>
      <c r="L163" s="1" t="s">
        <v>21</v>
      </c>
      <c r="M163" s="2"/>
      <c r="Q163" s="1" t="s">
        <v>302</v>
      </c>
      <c r="R163" s="1" t="s">
        <v>302</v>
      </c>
      <c r="V163" s="1" t="str">
        <f t="shared" si="27"/>
        <v>2.4\0.1:31</v>
      </c>
      <c r="Z163" s="206" t="s">
        <v>1062</v>
      </c>
      <c r="AA163" s="206"/>
      <c r="AB163" s="7"/>
      <c r="AC163" s="7"/>
      <c r="AD163" s="7"/>
      <c r="AE163" s="7"/>
      <c r="AF163" s="7"/>
      <c r="AG163" s="3" t="s">
        <v>768</v>
      </c>
      <c r="AH163" s="3">
        <v>47</v>
      </c>
      <c r="AI163" s="3">
        <v>48</v>
      </c>
      <c r="AM163" s="3"/>
    </row>
    <row r="164" spans="1:39" x14ac:dyDescent="0.3">
      <c r="A164" s="76" t="s">
        <v>1471</v>
      </c>
      <c r="B164" s="1" t="s">
        <v>1756</v>
      </c>
      <c r="C164" s="2" t="str">
        <f t="shared" si="32"/>
        <v>DIO1</v>
      </c>
      <c r="D164" s="2">
        <v>130</v>
      </c>
      <c r="E164" s="3">
        <f t="shared" si="33"/>
        <v>2</v>
      </c>
      <c r="F164" s="3">
        <f t="shared" si="34"/>
        <v>4</v>
      </c>
      <c r="G164" s="3">
        <v>0</v>
      </c>
      <c r="H164" s="57">
        <f>+H148+1</f>
        <v>2</v>
      </c>
      <c r="I164" s="56">
        <v>0</v>
      </c>
      <c r="J164" s="222" t="s">
        <v>316</v>
      </c>
      <c r="K164" s="2" t="s">
        <v>315</v>
      </c>
      <c r="L164" s="1" t="s">
        <v>21</v>
      </c>
      <c r="M164" s="2">
        <v>5</v>
      </c>
      <c r="N164" s="1" t="s">
        <v>1744</v>
      </c>
      <c r="O164" s="1" t="s">
        <v>962</v>
      </c>
      <c r="P164" s="1" t="s">
        <v>1743</v>
      </c>
      <c r="Q164" s="1" t="s">
        <v>963</v>
      </c>
      <c r="R164" s="1" t="s">
        <v>46</v>
      </c>
      <c r="S164" s="13" t="s">
        <v>962</v>
      </c>
      <c r="T164" s="1" t="s">
        <v>513</v>
      </c>
      <c r="V164" s="1" t="str">
        <f t="shared" ref="V164:V195" si="35">+CONCATENATE(E164,".",F164,"\",G164,".",H164,":",I164)</f>
        <v>2.4\0.2:0</v>
      </c>
      <c r="W164" s="1" t="s">
        <v>1739</v>
      </c>
      <c r="X164" s="18">
        <v>0</v>
      </c>
      <c r="Y164" s="7"/>
      <c r="Z164" s="206" t="s">
        <v>1062</v>
      </c>
      <c r="AA164" s="206"/>
      <c r="AB164" s="7"/>
      <c r="AC164" s="7"/>
      <c r="AD164" s="7"/>
      <c r="AE164" s="7"/>
      <c r="AF164" s="7"/>
      <c r="AG164" s="3" t="s">
        <v>732</v>
      </c>
      <c r="AH164" s="3">
        <v>1</v>
      </c>
      <c r="AI164" s="3">
        <v>2</v>
      </c>
      <c r="AM164" s="3"/>
    </row>
    <row r="165" spans="1:39" x14ac:dyDescent="0.3">
      <c r="A165" s="5" t="str">
        <f t="shared" ref="A165:A195" si="36">A164</f>
        <v>BBD130</v>
      </c>
      <c r="B165" s="1" t="s">
        <v>1756</v>
      </c>
      <c r="C165" s="2" t="str">
        <f t="shared" si="32"/>
        <v>DIO1</v>
      </c>
      <c r="D165" s="2">
        <v>130</v>
      </c>
      <c r="E165" s="3">
        <f t="shared" si="33"/>
        <v>2</v>
      </c>
      <c r="F165" s="3">
        <f t="shared" si="34"/>
        <v>4</v>
      </c>
      <c r="G165" s="3">
        <v>0</v>
      </c>
      <c r="H165" s="60">
        <f>H164</f>
        <v>2</v>
      </c>
      <c r="I165" s="54">
        <f t="shared" ref="I165:I195" si="37">+I164+1</f>
        <v>1</v>
      </c>
      <c r="J165" s="61"/>
      <c r="K165" s="30"/>
      <c r="L165" s="1" t="s">
        <v>21</v>
      </c>
      <c r="M165" s="2">
        <v>5</v>
      </c>
      <c r="N165" s="1" t="s">
        <v>1744</v>
      </c>
      <c r="O165" s="1" t="s">
        <v>1880</v>
      </c>
      <c r="P165" s="1" t="s">
        <v>1743</v>
      </c>
      <c r="Q165" s="1" t="s">
        <v>1881</v>
      </c>
      <c r="R165" s="1" t="s">
        <v>46</v>
      </c>
      <c r="S165" s="13" t="s">
        <v>1880</v>
      </c>
      <c r="T165" s="1" t="s">
        <v>513</v>
      </c>
      <c r="V165" s="1" t="str">
        <f t="shared" si="35"/>
        <v>2.4\0.2:1</v>
      </c>
      <c r="W165" s="1" t="s">
        <v>1739</v>
      </c>
      <c r="X165" s="18">
        <v>0</v>
      </c>
      <c r="Y165" s="7"/>
      <c r="Z165" s="206" t="s">
        <v>1062</v>
      </c>
      <c r="AA165" s="206"/>
      <c r="AB165" s="7"/>
      <c r="AC165" s="7"/>
      <c r="AD165" s="7"/>
      <c r="AE165" s="7"/>
      <c r="AF165" s="7"/>
      <c r="AG165" s="3" t="s">
        <v>732</v>
      </c>
      <c r="AH165" s="3">
        <v>3</v>
      </c>
      <c r="AI165" s="3">
        <v>4</v>
      </c>
      <c r="AM165" s="3"/>
    </row>
    <row r="166" spans="1:39" x14ac:dyDescent="0.3">
      <c r="A166" s="5" t="str">
        <f t="shared" si="36"/>
        <v>BBD130</v>
      </c>
      <c r="B166" s="1" t="s">
        <v>1756</v>
      </c>
      <c r="C166" s="2" t="str">
        <f t="shared" si="32"/>
        <v>DIO1</v>
      </c>
      <c r="D166" s="2">
        <v>130</v>
      </c>
      <c r="E166" s="3">
        <f t="shared" si="33"/>
        <v>2</v>
      </c>
      <c r="F166" s="3">
        <f t="shared" si="34"/>
        <v>4</v>
      </c>
      <c r="G166" s="3">
        <v>0</v>
      </c>
      <c r="H166" s="60">
        <f>H164</f>
        <v>2</v>
      </c>
      <c r="I166" s="54">
        <f t="shared" si="37"/>
        <v>2</v>
      </c>
      <c r="J166" s="61"/>
      <c r="K166" s="30"/>
      <c r="L166" s="1" t="s">
        <v>21</v>
      </c>
      <c r="M166" s="2">
        <v>5</v>
      </c>
      <c r="N166" s="1" t="s">
        <v>1744</v>
      </c>
      <c r="O166" s="1" t="s">
        <v>959</v>
      </c>
      <c r="P166" s="1" t="s">
        <v>1743</v>
      </c>
      <c r="Q166" s="1" t="s">
        <v>960</v>
      </c>
      <c r="R166" s="1" t="s">
        <v>46</v>
      </c>
      <c r="S166" s="13" t="s">
        <v>959</v>
      </c>
      <c r="T166" s="1" t="s">
        <v>513</v>
      </c>
      <c r="V166" s="1" t="str">
        <f t="shared" si="35"/>
        <v>2.4\0.2:2</v>
      </c>
      <c r="W166" s="1" t="s">
        <v>1739</v>
      </c>
      <c r="X166" s="18">
        <v>0</v>
      </c>
      <c r="Y166" s="7"/>
      <c r="Z166" s="206" t="s">
        <v>1062</v>
      </c>
      <c r="AA166" s="206"/>
      <c r="AB166" s="7"/>
      <c r="AC166" s="7"/>
      <c r="AD166" s="7"/>
      <c r="AE166" s="7"/>
      <c r="AF166" s="7"/>
      <c r="AG166" s="3" t="s">
        <v>732</v>
      </c>
      <c r="AH166" s="3">
        <v>5</v>
      </c>
      <c r="AI166" s="3">
        <v>6</v>
      </c>
      <c r="AM166" s="3"/>
    </row>
    <row r="167" spans="1:39" x14ac:dyDescent="0.3">
      <c r="A167" s="5" t="str">
        <f t="shared" si="36"/>
        <v>BBD130</v>
      </c>
      <c r="B167" s="1" t="s">
        <v>1756</v>
      </c>
      <c r="C167" s="2" t="str">
        <f t="shared" si="32"/>
        <v>DIO1</v>
      </c>
      <c r="D167" s="2">
        <v>130</v>
      </c>
      <c r="E167" s="3">
        <f t="shared" si="33"/>
        <v>2</v>
      </c>
      <c r="F167" s="3">
        <f t="shared" si="34"/>
        <v>4</v>
      </c>
      <c r="G167" s="3">
        <v>0</v>
      </c>
      <c r="H167" s="60">
        <f t="shared" ref="H167:H178" si="38">H164</f>
        <v>2</v>
      </c>
      <c r="I167" s="54">
        <f t="shared" si="37"/>
        <v>3</v>
      </c>
      <c r="J167" s="61"/>
      <c r="K167" s="30"/>
      <c r="L167" s="1" t="s">
        <v>21</v>
      </c>
      <c r="M167" s="2">
        <v>5</v>
      </c>
      <c r="N167" s="1" t="s">
        <v>1744</v>
      </c>
      <c r="O167" s="1" t="s">
        <v>61</v>
      </c>
      <c r="P167" s="1" t="s">
        <v>1743</v>
      </c>
      <c r="Q167" s="1" t="s">
        <v>1028</v>
      </c>
      <c r="R167" s="1" t="s">
        <v>18</v>
      </c>
      <c r="S167" s="13" t="s">
        <v>1033</v>
      </c>
      <c r="T167" s="1" t="s">
        <v>513</v>
      </c>
      <c r="V167" s="1" t="str">
        <f t="shared" si="35"/>
        <v>2.4\0.2:3</v>
      </c>
      <c r="W167" s="1" t="s">
        <v>1739</v>
      </c>
      <c r="X167" s="18">
        <v>0</v>
      </c>
      <c r="Y167" s="7"/>
      <c r="Z167" s="206" t="s">
        <v>1198</v>
      </c>
      <c r="AA167" s="206"/>
      <c r="AB167" s="7"/>
      <c r="AC167" s="7"/>
      <c r="AD167" s="7"/>
      <c r="AE167" s="7"/>
      <c r="AF167" s="7"/>
      <c r="AG167" s="3" t="s">
        <v>732</v>
      </c>
      <c r="AH167" s="3">
        <v>7</v>
      </c>
      <c r="AI167" s="3">
        <v>8</v>
      </c>
      <c r="AM167" s="3"/>
    </row>
    <row r="168" spans="1:39" x14ac:dyDescent="0.3">
      <c r="A168" s="5" t="str">
        <f t="shared" si="36"/>
        <v>BBD130</v>
      </c>
      <c r="B168" s="1" t="s">
        <v>1756</v>
      </c>
      <c r="C168" s="2" t="str">
        <f t="shared" si="32"/>
        <v>DIO1</v>
      </c>
      <c r="D168" s="2">
        <v>130</v>
      </c>
      <c r="E168" s="3">
        <f t="shared" si="33"/>
        <v>2</v>
      </c>
      <c r="F168" s="3">
        <f t="shared" si="34"/>
        <v>4</v>
      </c>
      <c r="G168" s="3">
        <v>0</v>
      </c>
      <c r="H168" s="60">
        <f t="shared" si="38"/>
        <v>2</v>
      </c>
      <c r="I168" s="54">
        <f t="shared" si="37"/>
        <v>4</v>
      </c>
      <c r="J168" s="61"/>
      <c r="K168" s="30"/>
      <c r="L168" s="1" t="s">
        <v>21</v>
      </c>
      <c r="M168" s="2">
        <v>5</v>
      </c>
      <c r="N168" s="1" t="s">
        <v>1746</v>
      </c>
      <c r="O168" s="1" t="s">
        <v>1050</v>
      </c>
      <c r="P168" s="1" t="s">
        <v>1743</v>
      </c>
      <c r="Q168" s="1" t="s">
        <v>1049</v>
      </c>
      <c r="R168" s="1" t="s">
        <v>18</v>
      </c>
      <c r="S168" s="13" t="s">
        <v>510</v>
      </c>
      <c r="T168" s="1" t="s">
        <v>513</v>
      </c>
      <c r="V168" s="1" t="str">
        <f t="shared" si="35"/>
        <v>2.4\0.2:4</v>
      </c>
      <c r="W168" s="1" t="s">
        <v>1739</v>
      </c>
      <c r="X168" s="18">
        <v>0</v>
      </c>
      <c r="Y168" s="7"/>
      <c r="Z168" s="206" t="s">
        <v>1198</v>
      </c>
      <c r="AA168" s="206"/>
      <c r="AB168" s="7"/>
      <c r="AC168" s="7"/>
      <c r="AD168" s="7"/>
      <c r="AE168" s="7"/>
      <c r="AF168" s="7"/>
      <c r="AG168" s="3" t="s">
        <v>732</v>
      </c>
      <c r="AH168" s="3">
        <v>9</v>
      </c>
      <c r="AI168" s="3">
        <v>10</v>
      </c>
      <c r="AM168" s="3"/>
    </row>
    <row r="169" spans="1:39" x14ac:dyDescent="0.3">
      <c r="A169" s="5" t="str">
        <f t="shared" si="36"/>
        <v>BBD130</v>
      </c>
      <c r="B169" s="1" t="s">
        <v>1756</v>
      </c>
      <c r="C169" s="2" t="str">
        <f t="shared" si="32"/>
        <v>DIO1</v>
      </c>
      <c r="D169" s="2">
        <v>130</v>
      </c>
      <c r="E169" s="3">
        <f t="shared" si="33"/>
        <v>2</v>
      </c>
      <c r="F169" s="3">
        <f t="shared" si="34"/>
        <v>4</v>
      </c>
      <c r="G169" s="3">
        <v>0</v>
      </c>
      <c r="H169" s="60">
        <f t="shared" si="38"/>
        <v>2</v>
      </c>
      <c r="I169" s="54">
        <f t="shared" si="37"/>
        <v>5</v>
      </c>
      <c r="J169" s="61"/>
      <c r="K169" s="30"/>
      <c r="L169" s="1" t="s">
        <v>21</v>
      </c>
      <c r="M169" s="2">
        <v>5</v>
      </c>
      <c r="N169" s="1" t="s">
        <v>1745</v>
      </c>
      <c r="O169" s="1" t="s">
        <v>1047</v>
      </c>
      <c r="P169" s="1" t="s">
        <v>1743</v>
      </c>
      <c r="Q169" s="1" t="s">
        <v>1046</v>
      </c>
      <c r="R169" s="1" t="s">
        <v>18</v>
      </c>
      <c r="S169" s="13" t="s">
        <v>1045</v>
      </c>
      <c r="T169" s="1" t="s">
        <v>513</v>
      </c>
      <c r="V169" s="1" t="str">
        <f t="shared" si="35"/>
        <v>2.4\0.2:5</v>
      </c>
      <c r="W169" s="1" t="s">
        <v>1739</v>
      </c>
      <c r="X169" s="18">
        <v>0</v>
      </c>
      <c r="Y169" s="7"/>
      <c r="Z169" s="206" t="s">
        <v>1198</v>
      </c>
      <c r="AA169" s="206"/>
      <c r="AB169" s="7"/>
      <c r="AC169" s="7"/>
      <c r="AD169" s="7"/>
      <c r="AE169" s="7"/>
      <c r="AF169" s="7"/>
      <c r="AG169" s="3" t="s">
        <v>732</v>
      </c>
      <c r="AH169" s="3">
        <v>11</v>
      </c>
      <c r="AI169" s="3">
        <v>12</v>
      </c>
      <c r="AM169" s="3"/>
    </row>
    <row r="170" spans="1:39" x14ac:dyDescent="0.3">
      <c r="A170" s="5" t="str">
        <f t="shared" si="36"/>
        <v>BBD130</v>
      </c>
      <c r="B170" s="1" t="s">
        <v>1756</v>
      </c>
      <c r="C170" s="2" t="str">
        <f t="shared" si="32"/>
        <v>DIO1</v>
      </c>
      <c r="D170" s="2">
        <v>130</v>
      </c>
      <c r="E170" s="3">
        <f t="shared" si="33"/>
        <v>2</v>
      </c>
      <c r="F170" s="3">
        <f t="shared" si="34"/>
        <v>4</v>
      </c>
      <c r="G170" s="3">
        <v>0</v>
      </c>
      <c r="H170" s="60">
        <f t="shared" si="38"/>
        <v>2</v>
      </c>
      <c r="I170" s="54">
        <f t="shared" si="37"/>
        <v>6</v>
      </c>
      <c r="J170" s="61"/>
      <c r="K170" s="30"/>
      <c r="L170" s="1" t="s">
        <v>21</v>
      </c>
      <c r="M170" s="2">
        <v>5</v>
      </c>
      <c r="N170" s="1" t="s">
        <v>1879</v>
      </c>
      <c r="O170" s="1" t="s">
        <v>1174</v>
      </c>
      <c r="P170" s="1" t="s">
        <v>1878</v>
      </c>
      <c r="Q170" s="1" t="s">
        <v>1871</v>
      </c>
      <c r="R170" s="1" t="s">
        <v>18</v>
      </c>
      <c r="T170" s="1" t="s">
        <v>1877</v>
      </c>
      <c r="V170" s="1" t="str">
        <f t="shared" si="35"/>
        <v>2.4\0.2:6</v>
      </c>
      <c r="W170" s="1" t="s">
        <v>1767</v>
      </c>
      <c r="X170" s="18">
        <v>0</v>
      </c>
      <c r="Y170" s="7"/>
      <c r="Z170" s="206" t="s">
        <v>1062</v>
      </c>
      <c r="AA170" s="206"/>
      <c r="AB170" s="7"/>
      <c r="AC170" s="7"/>
      <c r="AD170" s="7"/>
      <c r="AE170" s="7"/>
      <c r="AF170" s="7"/>
      <c r="AG170" s="3" t="s">
        <v>732</v>
      </c>
      <c r="AH170" s="3">
        <v>13</v>
      </c>
      <c r="AI170" s="3">
        <v>14</v>
      </c>
      <c r="AM170" s="3"/>
    </row>
    <row r="171" spans="1:39" x14ac:dyDescent="0.3">
      <c r="A171" s="5" t="str">
        <f t="shared" si="36"/>
        <v>BBD130</v>
      </c>
      <c r="B171" s="1" t="s">
        <v>1756</v>
      </c>
      <c r="C171" s="2" t="str">
        <f t="shared" si="32"/>
        <v>DIO1</v>
      </c>
      <c r="D171" s="2">
        <v>130</v>
      </c>
      <c r="E171" s="3">
        <f t="shared" si="33"/>
        <v>2</v>
      </c>
      <c r="F171" s="3">
        <f t="shared" si="34"/>
        <v>4</v>
      </c>
      <c r="G171" s="3">
        <v>0</v>
      </c>
      <c r="H171" s="60">
        <f t="shared" si="38"/>
        <v>2</v>
      </c>
      <c r="I171" s="54">
        <f t="shared" si="37"/>
        <v>7</v>
      </c>
      <c r="J171" s="61"/>
      <c r="K171" s="30"/>
      <c r="L171" s="1" t="s">
        <v>21</v>
      </c>
      <c r="M171" s="2">
        <v>5</v>
      </c>
      <c r="N171" s="1" t="s">
        <v>1876</v>
      </c>
      <c r="O171" s="1" t="s">
        <v>1174</v>
      </c>
      <c r="P171" s="1" t="s">
        <v>1875</v>
      </c>
      <c r="Q171" s="1" t="s">
        <v>1871</v>
      </c>
      <c r="R171" s="1" t="s">
        <v>18</v>
      </c>
      <c r="T171" s="1" t="s">
        <v>1874</v>
      </c>
      <c r="V171" s="1" t="str">
        <f t="shared" si="35"/>
        <v>2.4\0.2:7</v>
      </c>
      <c r="W171" s="1" t="s">
        <v>1767</v>
      </c>
      <c r="X171" s="18">
        <v>0</v>
      </c>
      <c r="Y171" s="7"/>
      <c r="Z171" s="206" t="s">
        <v>1062</v>
      </c>
      <c r="AA171" s="206"/>
      <c r="AB171" s="7"/>
      <c r="AC171" s="7"/>
      <c r="AD171" s="7"/>
      <c r="AE171" s="7"/>
      <c r="AF171" s="7"/>
      <c r="AG171" s="3" t="s">
        <v>732</v>
      </c>
      <c r="AH171" s="3">
        <v>15</v>
      </c>
      <c r="AI171" s="3">
        <v>16</v>
      </c>
      <c r="AM171" s="3"/>
    </row>
    <row r="172" spans="1:39" x14ac:dyDescent="0.3">
      <c r="A172" s="5" t="str">
        <f t="shared" si="36"/>
        <v>BBD130</v>
      </c>
      <c r="B172" s="1" t="s">
        <v>1756</v>
      </c>
      <c r="C172" s="2" t="str">
        <f t="shared" si="32"/>
        <v>DIO1</v>
      </c>
      <c r="D172" s="2">
        <v>130</v>
      </c>
      <c r="E172" s="3">
        <f t="shared" si="33"/>
        <v>2</v>
      </c>
      <c r="F172" s="3">
        <f t="shared" si="34"/>
        <v>4</v>
      </c>
      <c r="G172" s="3">
        <v>0</v>
      </c>
      <c r="H172" s="60">
        <f t="shared" si="38"/>
        <v>2</v>
      </c>
      <c r="I172" s="54">
        <f t="shared" si="37"/>
        <v>8</v>
      </c>
      <c r="J172" s="61"/>
      <c r="K172" s="30"/>
      <c r="L172" s="1" t="s">
        <v>21</v>
      </c>
      <c r="M172" s="2">
        <v>5</v>
      </c>
      <c r="N172" s="1" t="s">
        <v>1873</v>
      </c>
      <c r="O172" s="1" t="s">
        <v>1174</v>
      </c>
      <c r="P172" s="1" t="s">
        <v>1872</v>
      </c>
      <c r="Q172" s="1" t="s">
        <v>1871</v>
      </c>
      <c r="R172" s="1" t="s">
        <v>18</v>
      </c>
      <c r="T172" s="1" t="s">
        <v>1870</v>
      </c>
      <c r="V172" s="1" t="str">
        <f t="shared" si="35"/>
        <v>2.4\0.2:8</v>
      </c>
      <c r="W172" s="1" t="s">
        <v>1767</v>
      </c>
      <c r="X172" s="18">
        <v>0</v>
      </c>
      <c r="Y172" s="7"/>
      <c r="Z172" s="206" t="s">
        <v>1062</v>
      </c>
      <c r="AA172" s="206"/>
      <c r="AB172" s="7"/>
      <c r="AC172" s="7"/>
      <c r="AD172" s="7"/>
      <c r="AE172" s="7"/>
      <c r="AF172" s="7"/>
      <c r="AG172" s="3" t="s">
        <v>732</v>
      </c>
      <c r="AH172" s="3">
        <v>17</v>
      </c>
      <c r="AI172" s="3">
        <v>18</v>
      </c>
      <c r="AM172" s="3"/>
    </row>
    <row r="173" spans="1:39" x14ac:dyDescent="0.3">
      <c r="A173" s="5" t="str">
        <f t="shared" si="36"/>
        <v>BBD130</v>
      </c>
      <c r="B173" s="1" t="s">
        <v>1756</v>
      </c>
      <c r="C173" s="2" t="str">
        <f t="shared" si="32"/>
        <v>DIO1</v>
      </c>
      <c r="D173" s="2">
        <v>130</v>
      </c>
      <c r="E173" s="3">
        <f t="shared" si="33"/>
        <v>2</v>
      </c>
      <c r="F173" s="3">
        <f t="shared" si="34"/>
        <v>4</v>
      </c>
      <c r="G173" s="3">
        <v>0</v>
      </c>
      <c r="H173" s="60">
        <f t="shared" si="38"/>
        <v>2</v>
      </c>
      <c r="I173" s="54">
        <f t="shared" si="37"/>
        <v>9</v>
      </c>
      <c r="J173" s="61"/>
      <c r="K173" s="30"/>
      <c r="L173" s="1" t="s">
        <v>21</v>
      </c>
      <c r="M173" s="2"/>
      <c r="Q173" s="1" t="s">
        <v>302</v>
      </c>
      <c r="R173" s="1" t="s">
        <v>302</v>
      </c>
      <c r="V173" s="1" t="str">
        <f t="shared" si="35"/>
        <v>2.4\0.2:9</v>
      </c>
      <c r="Y173" s="7"/>
      <c r="Z173" s="206" t="s">
        <v>1062</v>
      </c>
      <c r="AA173" s="206"/>
      <c r="AB173" s="7"/>
      <c r="AC173" s="7"/>
      <c r="AD173" s="7"/>
      <c r="AE173" s="7"/>
      <c r="AF173" s="7"/>
      <c r="AG173" s="3" t="s">
        <v>732</v>
      </c>
      <c r="AH173" s="3">
        <v>19</v>
      </c>
      <c r="AI173" s="3">
        <v>20</v>
      </c>
      <c r="AM173" s="3"/>
    </row>
    <row r="174" spans="1:39" x14ac:dyDescent="0.3">
      <c r="A174" s="5" t="str">
        <f t="shared" si="36"/>
        <v>BBD130</v>
      </c>
      <c r="B174" s="1" t="s">
        <v>1756</v>
      </c>
      <c r="C174" s="2" t="str">
        <f t="shared" si="32"/>
        <v>DIO1</v>
      </c>
      <c r="D174" s="2">
        <v>130</v>
      </c>
      <c r="E174" s="3">
        <f t="shared" si="33"/>
        <v>2</v>
      </c>
      <c r="F174" s="3">
        <f t="shared" si="34"/>
        <v>4</v>
      </c>
      <c r="G174" s="3">
        <v>0</v>
      </c>
      <c r="H174" s="60">
        <f t="shared" si="38"/>
        <v>2</v>
      </c>
      <c r="I174" s="54">
        <f t="shared" si="37"/>
        <v>10</v>
      </c>
      <c r="J174" s="61"/>
      <c r="K174" s="30"/>
      <c r="L174" s="1" t="s">
        <v>21</v>
      </c>
      <c r="M174" s="2">
        <v>5</v>
      </c>
      <c r="N174" s="1" t="s">
        <v>1742</v>
      </c>
      <c r="O174" s="1" t="s">
        <v>962</v>
      </c>
      <c r="P174" s="1" t="s">
        <v>1621</v>
      </c>
      <c r="Q174" s="1" t="s">
        <v>963</v>
      </c>
      <c r="R174" s="1" t="s">
        <v>46</v>
      </c>
      <c r="S174" s="13" t="s">
        <v>962</v>
      </c>
      <c r="T174" s="1" t="s">
        <v>1740</v>
      </c>
      <c r="V174" s="1" t="str">
        <f t="shared" si="35"/>
        <v>2.4\0.2:10</v>
      </c>
      <c r="W174" s="80" t="s">
        <v>489</v>
      </c>
      <c r="X174" s="80">
        <v>0</v>
      </c>
      <c r="Z174" s="206" t="s">
        <v>1062</v>
      </c>
      <c r="AB174" s="7"/>
      <c r="AC174" s="7"/>
      <c r="AD174" s="7"/>
      <c r="AE174" s="7"/>
      <c r="AF174" s="7"/>
      <c r="AG174" s="3" t="s">
        <v>732</v>
      </c>
      <c r="AH174" s="3">
        <v>21</v>
      </c>
      <c r="AI174" s="3">
        <v>22</v>
      </c>
      <c r="AM174" s="3"/>
    </row>
    <row r="175" spans="1:39" x14ac:dyDescent="0.3">
      <c r="A175" s="5" t="str">
        <f t="shared" si="36"/>
        <v>BBD130</v>
      </c>
      <c r="B175" s="1" t="s">
        <v>1756</v>
      </c>
      <c r="C175" s="2" t="str">
        <f t="shared" si="32"/>
        <v>DIO1</v>
      </c>
      <c r="D175" s="2">
        <v>130</v>
      </c>
      <c r="E175" s="3">
        <f t="shared" si="33"/>
        <v>2</v>
      </c>
      <c r="F175" s="3">
        <f t="shared" si="34"/>
        <v>4</v>
      </c>
      <c r="G175" s="3">
        <v>0</v>
      </c>
      <c r="H175" s="60">
        <f t="shared" si="38"/>
        <v>2</v>
      </c>
      <c r="I175" s="54">
        <f t="shared" si="37"/>
        <v>11</v>
      </c>
      <c r="J175" s="61"/>
      <c r="K175" s="30"/>
      <c r="L175" s="1" t="s">
        <v>21</v>
      </c>
      <c r="M175" s="2">
        <v>5</v>
      </c>
      <c r="N175" s="1" t="s">
        <v>1742</v>
      </c>
      <c r="O175" s="1" t="s">
        <v>959</v>
      </c>
      <c r="P175" s="1" t="s">
        <v>1621</v>
      </c>
      <c r="Q175" s="1" t="s">
        <v>960</v>
      </c>
      <c r="R175" s="1" t="s">
        <v>46</v>
      </c>
      <c r="S175" s="13" t="s">
        <v>959</v>
      </c>
      <c r="T175" s="1" t="s">
        <v>1740</v>
      </c>
      <c r="V175" s="1" t="str">
        <f t="shared" si="35"/>
        <v>2.4\0.2:11</v>
      </c>
      <c r="W175" s="80" t="s">
        <v>489</v>
      </c>
      <c r="X175" s="80">
        <v>0</v>
      </c>
      <c r="Z175" s="206" t="s">
        <v>1062</v>
      </c>
      <c r="AB175" s="7"/>
      <c r="AC175" s="7"/>
      <c r="AD175" s="7"/>
      <c r="AE175" s="7"/>
      <c r="AF175" s="7"/>
      <c r="AG175" s="3" t="s">
        <v>732</v>
      </c>
      <c r="AH175" s="3">
        <v>23</v>
      </c>
      <c r="AI175" s="3">
        <v>24</v>
      </c>
      <c r="AM175" s="3"/>
    </row>
    <row r="176" spans="1:39" x14ac:dyDescent="0.3">
      <c r="A176" s="5" t="str">
        <f t="shared" si="36"/>
        <v>BBD130</v>
      </c>
      <c r="B176" s="1" t="s">
        <v>1756</v>
      </c>
      <c r="C176" s="2" t="str">
        <f t="shared" si="32"/>
        <v>DIO1</v>
      </c>
      <c r="D176" s="2">
        <v>130</v>
      </c>
      <c r="E176" s="3">
        <f t="shared" si="33"/>
        <v>2</v>
      </c>
      <c r="F176" s="3">
        <f t="shared" si="34"/>
        <v>4</v>
      </c>
      <c r="G176" s="3">
        <v>0</v>
      </c>
      <c r="H176" s="60">
        <f t="shared" si="38"/>
        <v>2</v>
      </c>
      <c r="I176" s="54">
        <f t="shared" si="37"/>
        <v>12</v>
      </c>
      <c r="J176" s="61"/>
      <c r="K176" s="30"/>
      <c r="L176" s="1" t="s">
        <v>21</v>
      </c>
      <c r="M176" s="2">
        <v>5</v>
      </c>
      <c r="N176" s="1" t="s">
        <v>1742</v>
      </c>
      <c r="O176" s="1" t="s">
        <v>61</v>
      </c>
      <c r="P176" s="1" t="s">
        <v>1621</v>
      </c>
      <c r="Q176" s="1" t="s">
        <v>1028</v>
      </c>
      <c r="R176" s="1" t="s">
        <v>18</v>
      </c>
      <c r="S176" s="13" t="s">
        <v>1741</v>
      </c>
      <c r="T176" s="1" t="s">
        <v>1740</v>
      </c>
      <c r="V176" s="1" t="str">
        <f t="shared" si="35"/>
        <v>2.4\0.2:12</v>
      </c>
      <c r="W176" s="1" t="s">
        <v>1739</v>
      </c>
      <c r="X176" s="18">
        <v>0</v>
      </c>
      <c r="Y176" s="7"/>
      <c r="Z176" s="206" t="s">
        <v>1198</v>
      </c>
      <c r="AA176" s="206"/>
      <c r="AB176" s="7"/>
      <c r="AC176" s="7"/>
      <c r="AD176" s="7"/>
      <c r="AE176" s="7"/>
      <c r="AF176" s="7"/>
      <c r="AG176" s="3" t="s">
        <v>732</v>
      </c>
      <c r="AH176" s="3">
        <v>25</v>
      </c>
      <c r="AI176" s="3">
        <v>26</v>
      </c>
      <c r="AM176" s="3"/>
    </row>
    <row r="177" spans="1:39" x14ac:dyDescent="0.3">
      <c r="A177" s="5" t="str">
        <f t="shared" si="36"/>
        <v>BBD130</v>
      </c>
      <c r="B177" s="1" t="s">
        <v>1756</v>
      </c>
      <c r="C177" s="2" t="str">
        <f t="shared" si="32"/>
        <v>DIO1</v>
      </c>
      <c r="D177" s="2">
        <v>130</v>
      </c>
      <c r="E177" s="3">
        <f t="shared" si="33"/>
        <v>2</v>
      </c>
      <c r="F177" s="3">
        <f t="shared" si="34"/>
        <v>4</v>
      </c>
      <c r="G177" s="3">
        <v>0</v>
      </c>
      <c r="H177" s="60">
        <f t="shared" si="38"/>
        <v>2</v>
      </c>
      <c r="I177" s="54">
        <f t="shared" si="37"/>
        <v>13</v>
      </c>
      <c r="J177" s="61"/>
      <c r="K177" s="30"/>
      <c r="L177" s="1" t="s">
        <v>21</v>
      </c>
      <c r="M177" s="2">
        <v>5</v>
      </c>
      <c r="N177" s="1" t="s">
        <v>1742</v>
      </c>
      <c r="O177" s="1" t="s">
        <v>957</v>
      </c>
      <c r="P177" s="1" t="s">
        <v>1865</v>
      </c>
      <c r="Q177" s="1" t="s">
        <v>963</v>
      </c>
      <c r="R177" s="1" t="s">
        <v>46</v>
      </c>
      <c r="S177" s="13" t="s">
        <v>957</v>
      </c>
      <c r="T177" s="1" t="s">
        <v>1740</v>
      </c>
      <c r="V177" s="1" t="str">
        <f t="shared" si="35"/>
        <v>2.4\0.2:13</v>
      </c>
      <c r="W177" s="1" t="s">
        <v>484</v>
      </c>
      <c r="X177" s="255">
        <v>0</v>
      </c>
      <c r="Y177" s="7"/>
      <c r="Z177" s="206" t="s">
        <v>1062</v>
      </c>
      <c r="AA177" s="206"/>
      <c r="AB177" s="7"/>
      <c r="AC177" s="7"/>
      <c r="AD177" s="7"/>
      <c r="AE177" s="7"/>
      <c r="AF177" s="7"/>
      <c r="AG177" s="3" t="s">
        <v>732</v>
      </c>
      <c r="AH177" s="3">
        <v>27</v>
      </c>
      <c r="AI177" s="3">
        <v>28</v>
      </c>
      <c r="AM177" s="3"/>
    </row>
    <row r="178" spans="1:39" x14ac:dyDescent="0.3">
      <c r="A178" s="5" t="str">
        <f t="shared" si="36"/>
        <v>BBD130</v>
      </c>
      <c r="B178" s="1" t="s">
        <v>1756</v>
      </c>
      <c r="C178" s="2" t="str">
        <f t="shared" si="32"/>
        <v>DIO1</v>
      </c>
      <c r="D178" s="2">
        <v>130</v>
      </c>
      <c r="E178" s="3">
        <f t="shared" si="33"/>
        <v>2</v>
      </c>
      <c r="F178" s="3">
        <f t="shared" si="34"/>
        <v>4</v>
      </c>
      <c r="G178" s="3">
        <v>0</v>
      </c>
      <c r="H178" s="60">
        <f t="shared" si="38"/>
        <v>2</v>
      </c>
      <c r="I178" s="54">
        <f t="shared" si="37"/>
        <v>14</v>
      </c>
      <c r="J178" s="61"/>
      <c r="K178" s="30"/>
      <c r="L178" s="1" t="s">
        <v>21</v>
      </c>
      <c r="M178" s="2">
        <v>5</v>
      </c>
      <c r="N178" s="1" t="s">
        <v>1742</v>
      </c>
      <c r="O178" s="1" t="s">
        <v>1869</v>
      </c>
      <c r="P178" s="1" t="s">
        <v>1865</v>
      </c>
      <c r="Q178" s="1" t="s">
        <v>960</v>
      </c>
      <c r="R178" s="1" t="s">
        <v>46</v>
      </c>
      <c r="S178" s="13" t="s">
        <v>1869</v>
      </c>
      <c r="T178" s="1" t="s">
        <v>1740</v>
      </c>
      <c r="V178" s="1" t="str">
        <f t="shared" si="35"/>
        <v>2.4\0.2:14</v>
      </c>
      <c r="W178" s="1" t="s">
        <v>484</v>
      </c>
      <c r="X178" s="255">
        <v>0</v>
      </c>
      <c r="Y178" s="7"/>
      <c r="Z178" s="206" t="s">
        <v>1062</v>
      </c>
      <c r="AA178" s="206"/>
      <c r="AB178" s="7"/>
      <c r="AC178" s="7"/>
      <c r="AD178" s="7"/>
      <c r="AE178" s="7"/>
      <c r="AF178" s="7"/>
      <c r="AG178" s="3" t="s">
        <v>732</v>
      </c>
      <c r="AH178" s="3">
        <v>29</v>
      </c>
      <c r="AI178" s="3">
        <v>30</v>
      </c>
      <c r="AM178" s="3"/>
    </row>
    <row r="179" spans="1:39" x14ac:dyDescent="0.3">
      <c r="A179" s="5" t="str">
        <f t="shared" si="36"/>
        <v>BBD130</v>
      </c>
      <c r="B179" s="1" t="s">
        <v>1756</v>
      </c>
      <c r="C179" s="2" t="str">
        <f t="shared" si="32"/>
        <v>DIO1</v>
      </c>
      <c r="D179" s="2">
        <v>130</v>
      </c>
      <c r="E179" s="3">
        <f t="shared" si="33"/>
        <v>2</v>
      </c>
      <c r="F179" s="3">
        <f t="shared" si="34"/>
        <v>4</v>
      </c>
      <c r="G179" s="3">
        <v>0</v>
      </c>
      <c r="H179" s="60">
        <f t="shared" ref="H179:H195" si="39">H175</f>
        <v>2</v>
      </c>
      <c r="I179" s="54">
        <f t="shared" si="37"/>
        <v>15</v>
      </c>
      <c r="J179" s="61"/>
      <c r="K179" s="30"/>
      <c r="L179" s="1" t="s">
        <v>21</v>
      </c>
      <c r="M179" s="2">
        <v>5</v>
      </c>
      <c r="N179" s="1" t="s">
        <v>488</v>
      </c>
      <c r="O179" s="1" t="s">
        <v>448</v>
      </c>
      <c r="P179" s="1" t="s">
        <v>1868</v>
      </c>
      <c r="Q179" s="1" t="s">
        <v>1866</v>
      </c>
      <c r="R179" s="1" t="s">
        <v>18</v>
      </c>
      <c r="S179" s="13"/>
      <c r="T179" s="1" t="s">
        <v>488</v>
      </c>
      <c r="V179" s="1" t="str">
        <f t="shared" si="35"/>
        <v>2.4\0.2:15</v>
      </c>
      <c r="W179" s="1" t="s">
        <v>1760</v>
      </c>
      <c r="X179" s="18">
        <v>0</v>
      </c>
      <c r="Y179" s="7"/>
      <c r="Z179" s="206" t="s">
        <v>1062</v>
      </c>
      <c r="AA179" s="206"/>
      <c r="AB179" s="7"/>
      <c r="AC179" s="7"/>
      <c r="AD179" s="7"/>
      <c r="AE179" s="7"/>
      <c r="AF179" s="7"/>
      <c r="AG179" s="3" t="s">
        <v>732</v>
      </c>
      <c r="AH179" s="3">
        <v>31</v>
      </c>
      <c r="AI179" s="3">
        <v>32</v>
      </c>
      <c r="AM179" s="3"/>
    </row>
    <row r="180" spans="1:39" x14ac:dyDescent="0.3">
      <c r="A180" s="5" t="str">
        <f t="shared" si="36"/>
        <v>BBD130</v>
      </c>
      <c r="B180" s="1" t="s">
        <v>1756</v>
      </c>
      <c r="C180" s="2" t="str">
        <f t="shared" si="32"/>
        <v>DIO1</v>
      </c>
      <c r="D180" s="2">
        <v>130</v>
      </c>
      <c r="E180" s="3">
        <f t="shared" si="33"/>
        <v>2</v>
      </c>
      <c r="F180" s="3">
        <f t="shared" si="34"/>
        <v>4</v>
      </c>
      <c r="G180" s="3">
        <v>0</v>
      </c>
      <c r="H180" s="60">
        <f t="shared" si="39"/>
        <v>2</v>
      </c>
      <c r="I180" s="54">
        <f t="shared" si="37"/>
        <v>16</v>
      </c>
      <c r="J180" s="61"/>
      <c r="K180" s="2"/>
      <c r="L180" s="1" t="s">
        <v>21</v>
      </c>
      <c r="M180" s="2">
        <v>5</v>
      </c>
      <c r="N180" s="1" t="s">
        <v>486</v>
      </c>
      <c r="O180" s="1" t="s">
        <v>435</v>
      </c>
      <c r="P180" s="1" t="s">
        <v>1867</v>
      </c>
      <c r="Q180" s="1" t="s">
        <v>1866</v>
      </c>
      <c r="R180" s="1" t="s">
        <v>18</v>
      </c>
      <c r="S180" s="13"/>
      <c r="T180" s="1" t="s">
        <v>486</v>
      </c>
      <c r="V180" s="1" t="str">
        <f t="shared" si="35"/>
        <v>2.4\0.2:16</v>
      </c>
      <c r="W180" s="1" t="s">
        <v>1760</v>
      </c>
      <c r="X180" s="18">
        <v>0</v>
      </c>
      <c r="Y180" s="7"/>
      <c r="Z180" s="206" t="s">
        <v>1062</v>
      </c>
      <c r="AA180" s="206"/>
      <c r="AB180" s="7"/>
      <c r="AC180" s="7"/>
      <c r="AD180" s="7"/>
      <c r="AE180" s="7"/>
      <c r="AF180" s="7"/>
      <c r="AG180" s="3" t="s">
        <v>668</v>
      </c>
      <c r="AH180" s="3">
        <v>1</v>
      </c>
      <c r="AI180" s="3">
        <v>2</v>
      </c>
      <c r="AM180" s="3"/>
    </row>
    <row r="181" spans="1:39" x14ac:dyDescent="0.3">
      <c r="A181" s="5" t="str">
        <f t="shared" si="36"/>
        <v>BBD130</v>
      </c>
      <c r="B181" s="1" t="s">
        <v>1756</v>
      </c>
      <c r="C181" s="2" t="str">
        <f t="shared" si="32"/>
        <v>DIO1</v>
      </c>
      <c r="D181" s="2">
        <v>130</v>
      </c>
      <c r="E181" s="3">
        <f t="shared" si="33"/>
        <v>2</v>
      </c>
      <c r="F181" s="3">
        <f t="shared" si="34"/>
        <v>4</v>
      </c>
      <c r="G181" s="3">
        <v>0</v>
      </c>
      <c r="H181" s="60">
        <f t="shared" si="39"/>
        <v>2</v>
      </c>
      <c r="I181" s="54">
        <f t="shared" si="37"/>
        <v>17</v>
      </c>
      <c r="J181" s="61"/>
      <c r="K181" s="30"/>
      <c r="L181" s="1" t="s">
        <v>21</v>
      </c>
      <c r="M181" s="2">
        <v>5</v>
      </c>
      <c r="N181" s="1" t="s">
        <v>485</v>
      </c>
      <c r="O181" s="1" t="s">
        <v>422</v>
      </c>
      <c r="P181" s="1" t="s">
        <v>1865</v>
      </c>
      <c r="Q181" s="1" t="s">
        <v>1864</v>
      </c>
      <c r="R181" s="1" t="s">
        <v>18</v>
      </c>
      <c r="S181" s="13"/>
      <c r="T181" s="1" t="s">
        <v>485</v>
      </c>
      <c r="V181" s="1" t="str">
        <f t="shared" si="35"/>
        <v>2.4\0.2:17</v>
      </c>
      <c r="W181" s="1" t="s">
        <v>1760</v>
      </c>
      <c r="X181" s="18">
        <v>0</v>
      </c>
      <c r="Y181" s="7"/>
      <c r="Z181" s="206" t="s">
        <v>1062</v>
      </c>
      <c r="AA181" s="206"/>
      <c r="AC181" s="7"/>
      <c r="AD181" s="7"/>
      <c r="AE181" s="7"/>
      <c r="AF181" s="7"/>
      <c r="AG181" s="3" t="s">
        <v>668</v>
      </c>
      <c r="AH181" s="3">
        <v>3</v>
      </c>
      <c r="AI181" s="3">
        <v>4</v>
      </c>
      <c r="AM181" s="3"/>
    </row>
    <row r="182" spans="1:39" x14ac:dyDescent="0.3">
      <c r="A182" s="5" t="str">
        <f t="shared" si="36"/>
        <v>BBD130</v>
      </c>
      <c r="B182" s="1" t="s">
        <v>1756</v>
      </c>
      <c r="C182" s="2" t="str">
        <f t="shared" si="32"/>
        <v>DIO1</v>
      </c>
      <c r="D182" s="2">
        <v>130</v>
      </c>
      <c r="E182" s="3">
        <f t="shared" si="33"/>
        <v>2</v>
      </c>
      <c r="F182" s="3">
        <f t="shared" si="34"/>
        <v>4</v>
      </c>
      <c r="G182" s="3">
        <v>0</v>
      </c>
      <c r="H182" s="60">
        <f t="shared" si="39"/>
        <v>2</v>
      </c>
      <c r="I182" s="54">
        <f t="shared" si="37"/>
        <v>18</v>
      </c>
      <c r="J182" s="61"/>
      <c r="K182" s="30"/>
      <c r="L182" s="1" t="s">
        <v>21</v>
      </c>
      <c r="M182" s="2">
        <v>5</v>
      </c>
      <c r="N182" s="1" t="s">
        <v>1863</v>
      </c>
      <c r="O182" s="1" t="s">
        <v>736</v>
      </c>
      <c r="P182" s="1" t="s">
        <v>1743</v>
      </c>
      <c r="Q182" s="1" t="s">
        <v>1860</v>
      </c>
      <c r="R182" s="1" t="s">
        <v>18</v>
      </c>
      <c r="S182" s="13"/>
      <c r="T182" s="1" t="s">
        <v>513</v>
      </c>
      <c r="V182" s="1" t="str">
        <f t="shared" si="35"/>
        <v>2.4\0.2:18</v>
      </c>
      <c r="W182" s="1" t="s">
        <v>1757</v>
      </c>
      <c r="X182" s="18">
        <v>0</v>
      </c>
      <c r="Y182" s="7"/>
      <c r="Z182" s="206" t="s">
        <v>1062</v>
      </c>
      <c r="AA182" s="206"/>
      <c r="AC182" s="7"/>
      <c r="AD182" s="7"/>
      <c r="AE182" s="7"/>
      <c r="AF182" s="7"/>
      <c r="AG182" s="3" t="s">
        <v>668</v>
      </c>
      <c r="AH182" s="3">
        <v>5</v>
      </c>
      <c r="AI182" s="3">
        <v>6</v>
      </c>
      <c r="AM182" s="3"/>
    </row>
    <row r="183" spans="1:39" x14ac:dyDescent="0.3">
      <c r="A183" s="5" t="str">
        <f t="shared" si="36"/>
        <v>BBD130</v>
      </c>
      <c r="B183" s="1" t="s">
        <v>1756</v>
      </c>
      <c r="C183" s="2" t="str">
        <f t="shared" si="32"/>
        <v>DIO1</v>
      </c>
      <c r="D183" s="2">
        <v>130</v>
      </c>
      <c r="E183" s="3">
        <f t="shared" si="33"/>
        <v>2</v>
      </c>
      <c r="F183" s="3">
        <f t="shared" si="34"/>
        <v>4</v>
      </c>
      <c r="G183" s="3">
        <v>0</v>
      </c>
      <c r="H183" s="60">
        <f t="shared" si="39"/>
        <v>2</v>
      </c>
      <c r="I183" s="54">
        <f t="shared" si="37"/>
        <v>19</v>
      </c>
      <c r="J183" s="61"/>
      <c r="K183" s="30"/>
      <c r="L183" s="1" t="s">
        <v>21</v>
      </c>
      <c r="M183" s="2">
        <v>5</v>
      </c>
      <c r="N183" s="1" t="s">
        <v>1862</v>
      </c>
      <c r="O183" s="1" t="s">
        <v>953</v>
      </c>
      <c r="P183" s="1" t="s">
        <v>1743</v>
      </c>
      <c r="Q183" s="1" t="s">
        <v>1858</v>
      </c>
      <c r="R183" s="1" t="s">
        <v>18</v>
      </c>
      <c r="S183" s="13"/>
      <c r="T183" s="1" t="s">
        <v>513</v>
      </c>
      <c r="V183" s="1" t="str">
        <f t="shared" si="35"/>
        <v>2.4\0.2:19</v>
      </c>
      <c r="W183" s="1" t="s">
        <v>1757</v>
      </c>
      <c r="X183" s="18">
        <v>0</v>
      </c>
      <c r="Z183" s="206" t="s">
        <v>1062</v>
      </c>
      <c r="AC183" s="7"/>
      <c r="AD183" s="7"/>
      <c r="AE183" s="7"/>
      <c r="AF183" s="7"/>
      <c r="AG183" s="3" t="s">
        <v>668</v>
      </c>
      <c r="AH183" s="3">
        <v>7</v>
      </c>
      <c r="AI183" s="3">
        <v>8</v>
      </c>
      <c r="AM183" s="3"/>
    </row>
    <row r="184" spans="1:39" x14ac:dyDescent="0.3">
      <c r="A184" s="5" t="str">
        <f t="shared" si="36"/>
        <v>BBD130</v>
      </c>
      <c r="B184" s="1" t="s">
        <v>1756</v>
      </c>
      <c r="C184" s="2" t="str">
        <f t="shared" si="32"/>
        <v>DIO1</v>
      </c>
      <c r="D184" s="2">
        <v>130</v>
      </c>
      <c r="E184" s="3">
        <f t="shared" si="33"/>
        <v>2</v>
      </c>
      <c r="F184" s="3">
        <f t="shared" si="34"/>
        <v>4</v>
      </c>
      <c r="G184" s="3">
        <v>0</v>
      </c>
      <c r="H184" s="60">
        <f t="shared" si="39"/>
        <v>2</v>
      </c>
      <c r="I184" s="54">
        <f t="shared" si="37"/>
        <v>20</v>
      </c>
      <c r="J184" s="61"/>
      <c r="K184" s="30"/>
      <c r="L184" s="1" t="s">
        <v>21</v>
      </c>
      <c r="M184" s="2">
        <v>5</v>
      </c>
      <c r="N184" s="1" t="s">
        <v>1861</v>
      </c>
      <c r="O184" s="1" t="s">
        <v>1192</v>
      </c>
      <c r="P184" s="1" t="s">
        <v>1743</v>
      </c>
      <c r="Q184" s="1" t="s">
        <v>1860</v>
      </c>
      <c r="R184" s="1" t="s">
        <v>18</v>
      </c>
      <c r="S184" s="13"/>
      <c r="T184" s="1" t="s">
        <v>513</v>
      </c>
      <c r="V184" s="1" t="str">
        <f t="shared" si="35"/>
        <v>2.4\0.2:20</v>
      </c>
      <c r="W184" s="1" t="s">
        <v>1757</v>
      </c>
      <c r="X184" s="18">
        <v>0</v>
      </c>
      <c r="Y184" s="7"/>
      <c r="Z184" s="206" t="s">
        <v>1062</v>
      </c>
      <c r="AA184" s="206"/>
      <c r="AC184" s="7"/>
      <c r="AD184" s="7"/>
      <c r="AE184" s="7"/>
      <c r="AF184" s="7"/>
      <c r="AG184" s="3" t="s">
        <v>668</v>
      </c>
      <c r="AH184" s="3">
        <v>9</v>
      </c>
      <c r="AI184" s="3">
        <v>10</v>
      </c>
      <c r="AM184" s="3"/>
    </row>
    <row r="185" spans="1:39" x14ac:dyDescent="0.3">
      <c r="A185" s="5" t="str">
        <f t="shared" si="36"/>
        <v>BBD130</v>
      </c>
      <c r="B185" s="1" t="s">
        <v>1756</v>
      </c>
      <c r="C185" s="2" t="str">
        <f t="shared" si="32"/>
        <v>DIO1</v>
      </c>
      <c r="D185" s="2">
        <v>130</v>
      </c>
      <c r="E185" s="3">
        <f t="shared" si="33"/>
        <v>2</v>
      </c>
      <c r="F185" s="3">
        <f t="shared" si="34"/>
        <v>4</v>
      </c>
      <c r="G185" s="3">
        <v>0</v>
      </c>
      <c r="H185" s="60">
        <f t="shared" si="39"/>
        <v>2</v>
      </c>
      <c r="I185" s="54">
        <f t="shared" si="37"/>
        <v>21</v>
      </c>
      <c r="J185" s="61"/>
      <c r="K185" s="30"/>
      <c r="L185" s="1" t="s">
        <v>21</v>
      </c>
      <c r="M185" s="2">
        <v>5</v>
      </c>
      <c r="N185" s="1" t="s">
        <v>1859</v>
      </c>
      <c r="O185" s="1" t="s">
        <v>1189</v>
      </c>
      <c r="P185" s="1" t="s">
        <v>1743</v>
      </c>
      <c r="Q185" s="1" t="s">
        <v>1858</v>
      </c>
      <c r="R185" s="1" t="s">
        <v>18</v>
      </c>
      <c r="S185" s="13"/>
      <c r="T185" s="1" t="s">
        <v>513</v>
      </c>
      <c r="V185" s="1" t="str">
        <f t="shared" si="35"/>
        <v>2.4\0.2:21</v>
      </c>
      <c r="W185" s="1" t="s">
        <v>1757</v>
      </c>
      <c r="X185" s="18">
        <v>0</v>
      </c>
      <c r="Y185" s="7"/>
      <c r="Z185" s="206" t="s">
        <v>1062</v>
      </c>
      <c r="AA185" s="206"/>
      <c r="AC185" s="7"/>
      <c r="AD185" s="7"/>
      <c r="AE185" s="7"/>
      <c r="AF185" s="7"/>
      <c r="AG185" s="3" t="s">
        <v>668</v>
      </c>
      <c r="AH185" s="3">
        <v>11</v>
      </c>
      <c r="AI185" s="3">
        <v>12</v>
      </c>
      <c r="AM185" s="3"/>
    </row>
    <row r="186" spans="1:39" x14ac:dyDescent="0.3">
      <c r="A186" s="5" t="str">
        <f t="shared" si="36"/>
        <v>BBD130</v>
      </c>
      <c r="B186" s="1" t="s">
        <v>1756</v>
      </c>
      <c r="C186" s="2" t="str">
        <f t="shared" si="32"/>
        <v>DIO1</v>
      </c>
      <c r="D186" s="2">
        <v>130</v>
      </c>
      <c r="E186" s="3">
        <f t="shared" si="33"/>
        <v>2</v>
      </c>
      <c r="F186" s="3">
        <f t="shared" si="34"/>
        <v>4</v>
      </c>
      <c r="G186" s="3">
        <v>0</v>
      </c>
      <c r="H186" s="60">
        <f t="shared" si="39"/>
        <v>2</v>
      </c>
      <c r="I186" s="54">
        <f t="shared" si="37"/>
        <v>22</v>
      </c>
      <c r="J186" s="61"/>
      <c r="K186" s="30"/>
      <c r="L186" s="1" t="s">
        <v>21</v>
      </c>
      <c r="M186" s="2">
        <v>5</v>
      </c>
      <c r="N186" s="1" t="s">
        <v>1857</v>
      </c>
      <c r="O186" s="1" t="s">
        <v>1304</v>
      </c>
      <c r="P186" s="1" t="s">
        <v>1743</v>
      </c>
      <c r="Q186" s="1" t="s">
        <v>1856</v>
      </c>
      <c r="R186" s="1" t="s">
        <v>18</v>
      </c>
      <c r="S186" s="13"/>
      <c r="T186" s="1" t="s">
        <v>513</v>
      </c>
      <c r="V186" s="1" t="str">
        <f t="shared" si="35"/>
        <v>2.4\0.2:22</v>
      </c>
      <c r="W186" s="1" t="s">
        <v>1757</v>
      </c>
      <c r="X186" s="18">
        <v>0</v>
      </c>
      <c r="Z186" s="206" t="s">
        <v>1062</v>
      </c>
      <c r="AG186" s="3" t="s">
        <v>668</v>
      </c>
      <c r="AH186" s="3">
        <v>13</v>
      </c>
      <c r="AI186" s="3">
        <v>14</v>
      </c>
      <c r="AM186" s="3"/>
    </row>
    <row r="187" spans="1:39" x14ac:dyDescent="0.3">
      <c r="A187" s="5" t="str">
        <f t="shared" si="36"/>
        <v>BBD130</v>
      </c>
      <c r="B187" s="1" t="s">
        <v>1756</v>
      </c>
      <c r="C187" s="2" t="str">
        <f t="shared" si="32"/>
        <v>DIO1</v>
      </c>
      <c r="D187" s="2">
        <v>130</v>
      </c>
      <c r="E187" s="3">
        <f t="shared" si="33"/>
        <v>2</v>
      </c>
      <c r="F187" s="3">
        <f t="shared" si="34"/>
        <v>4</v>
      </c>
      <c r="G187" s="3">
        <v>0</v>
      </c>
      <c r="H187" s="60">
        <f t="shared" si="39"/>
        <v>2</v>
      </c>
      <c r="I187" s="54">
        <f t="shared" si="37"/>
        <v>23</v>
      </c>
      <c r="J187" s="61"/>
      <c r="K187" s="30"/>
      <c r="L187" s="1" t="s">
        <v>21</v>
      </c>
      <c r="M187" s="2">
        <v>5</v>
      </c>
      <c r="N187" s="1" t="s">
        <v>1855</v>
      </c>
      <c r="O187" s="1" t="s">
        <v>1302</v>
      </c>
      <c r="P187" s="1" t="s">
        <v>1743</v>
      </c>
      <c r="Q187" s="1" t="s">
        <v>1854</v>
      </c>
      <c r="R187" s="1" t="s">
        <v>18</v>
      </c>
      <c r="S187" s="13"/>
      <c r="T187" s="1" t="s">
        <v>513</v>
      </c>
      <c r="V187" s="1" t="str">
        <f t="shared" si="35"/>
        <v>2.4\0.2:23</v>
      </c>
      <c r="W187" s="1" t="s">
        <v>1757</v>
      </c>
      <c r="X187" s="18">
        <v>0</v>
      </c>
      <c r="Z187" s="206" t="s">
        <v>1062</v>
      </c>
      <c r="AG187" s="3" t="s">
        <v>668</v>
      </c>
      <c r="AH187" s="3">
        <v>15</v>
      </c>
      <c r="AI187" s="3">
        <v>16</v>
      </c>
      <c r="AM187" s="3"/>
    </row>
    <row r="188" spans="1:39" x14ac:dyDescent="0.3">
      <c r="A188" s="5" t="str">
        <f t="shared" si="36"/>
        <v>BBD130</v>
      </c>
      <c r="B188" s="1" t="s">
        <v>1756</v>
      </c>
      <c r="C188" s="2" t="str">
        <f t="shared" si="32"/>
        <v>DIO1</v>
      </c>
      <c r="D188" s="2">
        <v>130</v>
      </c>
      <c r="E188" s="3">
        <f t="shared" si="33"/>
        <v>2</v>
      </c>
      <c r="F188" s="3">
        <f t="shared" si="34"/>
        <v>4</v>
      </c>
      <c r="G188" s="3">
        <v>0</v>
      </c>
      <c r="H188" s="60">
        <f t="shared" si="39"/>
        <v>2</v>
      </c>
      <c r="I188" s="54">
        <f t="shared" si="37"/>
        <v>24</v>
      </c>
      <c r="J188" s="61"/>
      <c r="K188" s="30"/>
      <c r="L188" s="1" t="s">
        <v>21</v>
      </c>
      <c r="M188" s="2">
        <v>5</v>
      </c>
      <c r="N188" s="1" t="s">
        <v>1750</v>
      </c>
      <c r="O188" s="1" t="s">
        <v>962</v>
      </c>
      <c r="P188" s="1" t="s">
        <v>1749</v>
      </c>
      <c r="Q188" s="1" t="s">
        <v>963</v>
      </c>
      <c r="R188" s="1" t="s">
        <v>46</v>
      </c>
      <c r="S188" s="1" t="s">
        <v>962</v>
      </c>
      <c r="T188" s="1" t="s">
        <v>1781</v>
      </c>
      <c r="V188" s="1" t="str">
        <f t="shared" si="35"/>
        <v>2.4\0.2:24</v>
      </c>
      <c r="W188" s="1" t="s">
        <v>490</v>
      </c>
      <c r="X188" s="255">
        <v>0</v>
      </c>
      <c r="Z188" s="206" t="s">
        <v>1062</v>
      </c>
      <c r="AG188" s="3" t="s">
        <v>668</v>
      </c>
      <c r="AH188" s="3">
        <v>17</v>
      </c>
      <c r="AI188" s="3">
        <v>18</v>
      </c>
      <c r="AM188" s="3"/>
    </row>
    <row r="189" spans="1:39" x14ac:dyDescent="0.3">
      <c r="A189" s="5" t="str">
        <f t="shared" si="36"/>
        <v>BBD130</v>
      </c>
      <c r="B189" s="1" t="s">
        <v>1756</v>
      </c>
      <c r="C189" s="2" t="str">
        <f t="shared" si="32"/>
        <v>DIO1</v>
      </c>
      <c r="D189" s="2">
        <v>130</v>
      </c>
      <c r="E189" s="3">
        <f t="shared" si="33"/>
        <v>2</v>
      </c>
      <c r="F189" s="3">
        <f t="shared" si="34"/>
        <v>4</v>
      </c>
      <c r="G189" s="3">
        <v>0</v>
      </c>
      <c r="H189" s="60">
        <f t="shared" si="39"/>
        <v>2</v>
      </c>
      <c r="I189" s="54">
        <f t="shared" si="37"/>
        <v>25</v>
      </c>
      <c r="J189" s="61"/>
      <c r="K189" s="30"/>
      <c r="L189" s="1" t="s">
        <v>21</v>
      </c>
      <c r="M189" s="2">
        <v>5</v>
      </c>
      <c r="N189" s="1" t="s">
        <v>1750</v>
      </c>
      <c r="O189" s="1" t="s">
        <v>959</v>
      </c>
      <c r="P189" s="1" t="s">
        <v>1749</v>
      </c>
      <c r="Q189" s="1" t="s">
        <v>960</v>
      </c>
      <c r="R189" s="1" t="s">
        <v>46</v>
      </c>
      <c r="S189" s="1" t="s">
        <v>959</v>
      </c>
      <c r="T189" s="1" t="s">
        <v>1781</v>
      </c>
      <c r="V189" s="1" t="str">
        <f t="shared" si="35"/>
        <v>2.4\0.2:25</v>
      </c>
      <c r="W189" s="1" t="s">
        <v>490</v>
      </c>
      <c r="X189" s="255">
        <v>0</v>
      </c>
      <c r="Z189" s="206" t="s">
        <v>1062</v>
      </c>
      <c r="AG189" s="3" t="s">
        <v>668</v>
      </c>
      <c r="AH189" s="3">
        <v>19</v>
      </c>
      <c r="AI189" s="3">
        <v>20</v>
      </c>
      <c r="AM189" s="3"/>
    </row>
    <row r="190" spans="1:39" x14ac:dyDescent="0.3">
      <c r="A190" s="5" t="str">
        <f t="shared" si="36"/>
        <v>BBD130</v>
      </c>
      <c r="B190" s="1" t="s">
        <v>1756</v>
      </c>
      <c r="C190" s="2" t="str">
        <f t="shared" si="32"/>
        <v>DIO1</v>
      </c>
      <c r="D190" s="2">
        <v>130</v>
      </c>
      <c r="E190" s="3">
        <f t="shared" si="33"/>
        <v>2</v>
      </c>
      <c r="F190" s="3">
        <f t="shared" si="34"/>
        <v>4</v>
      </c>
      <c r="G190" s="3">
        <v>0</v>
      </c>
      <c r="H190" s="60">
        <f t="shared" si="39"/>
        <v>2</v>
      </c>
      <c r="I190" s="54">
        <f t="shared" si="37"/>
        <v>26</v>
      </c>
      <c r="J190" s="61"/>
      <c r="K190" s="30"/>
      <c r="L190" s="1" t="s">
        <v>21</v>
      </c>
      <c r="M190" s="2">
        <v>5</v>
      </c>
      <c r="N190" s="1" t="s">
        <v>1853</v>
      </c>
      <c r="O190" s="1" t="s">
        <v>650</v>
      </c>
      <c r="P190" s="1" t="s">
        <v>1749</v>
      </c>
      <c r="Q190" s="1" t="s">
        <v>1852</v>
      </c>
      <c r="R190" s="1" t="s">
        <v>1687</v>
      </c>
      <c r="S190" s="13"/>
      <c r="T190" s="1" t="s">
        <v>1781</v>
      </c>
      <c r="V190" s="1" t="str">
        <f t="shared" si="35"/>
        <v>2.4\0.2:26</v>
      </c>
      <c r="W190" s="1" t="s">
        <v>1757</v>
      </c>
      <c r="X190" s="18">
        <v>0</v>
      </c>
      <c r="Z190" s="206" t="s">
        <v>1062</v>
      </c>
      <c r="AG190" s="3" t="s">
        <v>668</v>
      </c>
      <c r="AH190" s="3">
        <v>21</v>
      </c>
      <c r="AI190" s="3">
        <v>22</v>
      </c>
      <c r="AM190" s="3"/>
    </row>
    <row r="191" spans="1:39" x14ac:dyDescent="0.3">
      <c r="A191" s="5" t="str">
        <f t="shared" si="36"/>
        <v>BBD130</v>
      </c>
      <c r="B191" s="1" t="s">
        <v>1756</v>
      </c>
      <c r="C191" s="2" t="str">
        <f t="shared" si="32"/>
        <v>DIO1</v>
      </c>
      <c r="D191" s="2">
        <v>130</v>
      </c>
      <c r="E191" s="3">
        <f t="shared" si="33"/>
        <v>2</v>
      </c>
      <c r="F191" s="3">
        <f t="shared" si="34"/>
        <v>4</v>
      </c>
      <c r="G191" s="3">
        <v>0</v>
      </c>
      <c r="H191" s="60">
        <f t="shared" si="39"/>
        <v>2</v>
      </c>
      <c r="I191" s="54">
        <f t="shared" si="37"/>
        <v>27</v>
      </c>
      <c r="J191" s="61"/>
      <c r="K191" s="30"/>
      <c r="L191" s="1" t="s">
        <v>21</v>
      </c>
      <c r="M191" s="2">
        <v>5</v>
      </c>
      <c r="N191" s="1" t="s">
        <v>1851</v>
      </c>
      <c r="O191" s="1" t="s">
        <v>1689</v>
      </c>
      <c r="P191" s="1" t="s">
        <v>1749</v>
      </c>
      <c r="Q191" s="1" t="s">
        <v>1850</v>
      </c>
      <c r="R191" s="1" t="s">
        <v>1687</v>
      </c>
      <c r="S191" s="13"/>
      <c r="T191" s="1" t="s">
        <v>1781</v>
      </c>
      <c r="V191" s="1" t="str">
        <f t="shared" si="35"/>
        <v>2.4\0.2:27</v>
      </c>
      <c r="W191" s="1" t="s">
        <v>1757</v>
      </c>
      <c r="X191" s="18">
        <v>0</v>
      </c>
      <c r="Z191" s="206" t="s">
        <v>1062</v>
      </c>
      <c r="AG191" s="3" t="s">
        <v>668</v>
      </c>
      <c r="AH191" s="3">
        <v>23</v>
      </c>
      <c r="AI191" s="3">
        <v>24</v>
      </c>
      <c r="AM191" s="3"/>
    </row>
    <row r="192" spans="1:39" x14ac:dyDescent="0.3">
      <c r="A192" s="5" t="str">
        <f t="shared" si="36"/>
        <v>BBD130</v>
      </c>
      <c r="B192" s="1" t="s">
        <v>1756</v>
      </c>
      <c r="C192" s="2" t="str">
        <f t="shared" si="32"/>
        <v>DIO1</v>
      </c>
      <c r="D192" s="2">
        <v>130</v>
      </c>
      <c r="E192" s="3">
        <f t="shared" si="33"/>
        <v>2</v>
      </c>
      <c r="F192" s="3">
        <f t="shared" si="34"/>
        <v>4</v>
      </c>
      <c r="G192" s="3">
        <v>0</v>
      </c>
      <c r="H192" s="60">
        <f t="shared" si="39"/>
        <v>2</v>
      </c>
      <c r="I192" s="54">
        <f t="shared" si="37"/>
        <v>28</v>
      </c>
      <c r="J192" s="61"/>
      <c r="K192" s="30"/>
      <c r="L192" s="1" t="s">
        <v>21</v>
      </c>
      <c r="M192" s="2">
        <v>5</v>
      </c>
      <c r="N192" s="1" t="s">
        <v>1849</v>
      </c>
      <c r="O192" s="1" t="s">
        <v>736</v>
      </c>
      <c r="P192" s="1" t="s">
        <v>1749</v>
      </c>
      <c r="Q192" s="1" t="s">
        <v>1848</v>
      </c>
      <c r="R192" s="1" t="s">
        <v>1695</v>
      </c>
      <c r="S192" s="13"/>
      <c r="T192" s="1" t="s">
        <v>1781</v>
      </c>
      <c r="V192" s="1" t="str">
        <f t="shared" si="35"/>
        <v>2.4\0.2:28</v>
      </c>
      <c r="W192" s="1" t="s">
        <v>1757</v>
      </c>
      <c r="X192" s="18">
        <v>0</v>
      </c>
      <c r="Z192" s="206" t="s">
        <v>1062</v>
      </c>
      <c r="AG192" s="3" t="s">
        <v>668</v>
      </c>
      <c r="AH192" s="3">
        <v>25</v>
      </c>
      <c r="AI192" s="3">
        <v>26</v>
      </c>
      <c r="AM192" s="3"/>
    </row>
    <row r="193" spans="1:39" x14ac:dyDescent="0.3">
      <c r="A193" s="5" t="str">
        <f t="shared" si="36"/>
        <v>BBD130</v>
      </c>
      <c r="B193" s="1" t="s">
        <v>1756</v>
      </c>
      <c r="C193" s="2" t="str">
        <f t="shared" ref="C193:C227" si="40">+C192</f>
        <v>DIO1</v>
      </c>
      <c r="D193" s="2">
        <v>130</v>
      </c>
      <c r="E193" s="3">
        <f t="shared" ref="E193:E227" si="41">+E192</f>
        <v>2</v>
      </c>
      <c r="F193" s="3">
        <f t="shared" ref="F193:F227" si="42">+F192</f>
        <v>4</v>
      </c>
      <c r="G193" s="3">
        <v>0</v>
      </c>
      <c r="H193" s="60">
        <f t="shared" si="39"/>
        <v>2</v>
      </c>
      <c r="I193" s="54">
        <f t="shared" si="37"/>
        <v>29</v>
      </c>
      <c r="J193" s="61"/>
      <c r="K193" s="30"/>
      <c r="L193" s="1" t="s">
        <v>21</v>
      </c>
      <c r="M193" s="2">
        <v>5</v>
      </c>
      <c r="N193" s="1" t="s">
        <v>1847</v>
      </c>
      <c r="O193" s="1" t="s">
        <v>953</v>
      </c>
      <c r="P193" s="1" t="s">
        <v>1749</v>
      </c>
      <c r="Q193" s="1" t="s">
        <v>1846</v>
      </c>
      <c r="R193" s="1" t="s">
        <v>1695</v>
      </c>
      <c r="S193" s="13"/>
      <c r="T193" s="1" t="s">
        <v>1781</v>
      </c>
      <c r="V193" s="1" t="str">
        <f t="shared" si="35"/>
        <v>2.4\0.2:29</v>
      </c>
      <c r="W193" s="1" t="s">
        <v>1757</v>
      </c>
      <c r="X193" s="18">
        <v>0</v>
      </c>
      <c r="Z193" s="206" t="s">
        <v>1062</v>
      </c>
      <c r="AG193" s="3" t="s">
        <v>668</v>
      </c>
      <c r="AH193" s="3">
        <v>27</v>
      </c>
      <c r="AI193" s="3">
        <v>28</v>
      </c>
      <c r="AM193" s="3"/>
    </row>
    <row r="194" spans="1:39" x14ac:dyDescent="0.3">
      <c r="A194" s="5" t="str">
        <f t="shared" si="36"/>
        <v>BBD130</v>
      </c>
      <c r="B194" s="1" t="s">
        <v>1756</v>
      </c>
      <c r="C194" s="2" t="str">
        <f t="shared" si="40"/>
        <v>DIO1</v>
      </c>
      <c r="D194" s="2">
        <v>130</v>
      </c>
      <c r="E194" s="3">
        <f t="shared" si="41"/>
        <v>2</v>
      </c>
      <c r="F194" s="3">
        <f t="shared" si="42"/>
        <v>4</v>
      </c>
      <c r="G194" s="3">
        <v>0</v>
      </c>
      <c r="H194" s="60">
        <f t="shared" si="39"/>
        <v>2</v>
      </c>
      <c r="I194" s="54">
        <f t="shared" si="37"/>
        <v>30</v>
      </c>
      <c r="J194" s="61"/>
      <c r="K194" s="30"/>
      <c r="L194" s="1" t="s">
        <v>21</v>
      </c>
      <c r="M194" s="2">
        <v>5</v>
      </c>
      <c r="N194" s="1" t="s">
        <v>1845</v>
      </c>
      <c r="O194" s="1" t="s">
        <v>994</v>
      </c>
      <c r="P194" s="1" t="s">
        <v>1749</v>
      </c>
      <c r="Q194" s="1" t="s">
        <v>1844</v>
      </c>
      <c r="R194" s="1" t="s">
        <v>1151</v>
      </c>
      <c r="S194" s="13"/>
      <c r="T194" s="1" t="s">
        <v>1781</v>
      </c>
      <c r="V194" s="1" t="str">
        <f t="shared" si="35"/>
        <v>2.4\0.2:30</v>
      </c>
      <c r="W194" s="1" t="s">
        <v>1757</v>
      </c>
      <c r="X194" s="18">
        <v>0</v>
      </c>
      <c r="Z194" s="206" t="s">
        <v>1062</v>
      </c>
      <c r="AG194" s="3" t="s">
        <v>668</v>
      </c>
      <c r="AH194" s="3">
        <v>29</v>
      </c>
      <c r="AI194" s="3">
        <v>30</v>
      </c>
      <c r="AM194" s="3"/>
    </row>
    <row r="195" spans="1:39" ht="13.5" thickBot="1" x14ac:dyDescent="0.35">
      <c r="A195" s="5" t="str">
        <f t="shared" si="36"/>
        <v>BBD130</v>
      </c>
      <c r="B195" s="1" t="s">
        <v>1756</v>
      </c>
      <c r="C195" s="2" t="str">
        <f t="shared" si="40"/>
        <v>DIO1</v>
      </c>
      <c r="D195" s="2">
        <v>130</v>
      </c>
      <c r="E195" s="3">
        <f t="shared" si="41"/>
        <v>2</v>
      </c>
      <c r="F195" s="3">
        <f t="shared" si="42"/>
        <v>4</v>
      </c>
      <c r="G195" s="3">
        <v>0</v>
      </c>
      <c r="H195" s="60">
        <f t="shared" si="39"/>
        <v>2</v>
      </c>
      <c r="I195" s="59">
        <f t="shared" si="37"/>
        <v>31</v>
      </c>
      <c r="J195" s="58"/>
      <c r="K195" s="30"/>
      <c r="L195" s="1" t="s">
        <v>21</v>
      </c>
      <c r="M195" s="2">
        <v>5</v>
      </c>
      <c r="N195" s="1" t="s">
        <v>1843</v>
      </c>
      <c r="O195" s="1" t="s">
        <v>989</v>
      </c>
      <c r="P195" s="1" t="s">
        <v>1749</v>
      </c>
      <c r="Q195" s="1" t="s">
        <v>1842</v>
      </c>
      <c r="R195" s="1" t="s">
        <v>734</v>
      </c>
      <c r="S195" s="13"/>
      <c r="T195" s="1" t="s">
        <v>1781</v>
      </c>
      <c r="V195" s="1" t="str">
        <f t="shared" si="35"/>
        <v>2.4\0.2:31</v>
      </c>
      <c r="W195" s="1" t="s">
        <v>1757</v>
      </c>
      <c r="X195" s="18">
        <v>0</v>
      </c>
      <c r="Z195" s="206" t="s">
        <v>1062</v>
      </c>
      <c r="AG195" s="3" t="s">
        <v>668</v>
      </c>
      <c r="AH195" s="3">
        <v>31</v>
      </c>
      <c r="AI195" s="3">
        <v>32</v>
      </c>
      <c r="AM195" s="3"/>
    </row>
    <row r="196" spans="1:39" x14ac:dyDescent="0.3">
      <c r="A196" s="76" t="s">
        <v>1471</v>
      </c>
      <c r="B196" s="1" t="s">
        <v>1756</v>
      </c>
      <c r="C196" s="2" t="str">
        <f t="shared" si="40"/>
        <v>DIO1</v>
      </c>
      <c r="D196" s="2">
        <v>130</v>
      </c>
      <c r="E196" s="3">
        <f t="shared" si="41"/>
        <v>2</v>
      </c>
      <c r="F196" s="3">
        <f t="shared" si="42"/>
        <v>4</v>
      </c>
      <c r="G196" s="3">
        <v>0</v>
      </c>
      <c r="H196" s="62">
        <f>+H180+1</f>
        <v>3</v>
      </c>
      <c r="I196" s="56">
        <v>0</v>
      </c>
      <c r="J196" s="222" t="s">
        <v>316</v>
      </c>
      <c r="K196" s="2" t="s">
        <v>315</v>
      </c>
      <c r="L196" s="1" t="s">
        <v>21</v>
      </c>
      <c r="M196" s="2">
        <v>5</v>
      </c>
      <c r="N196" s="1" t="s">
        <v>1841</v>
      </c>
      <c r="O196" s="1" t="s">
        <v>736</v>
      </c>
      <c r="P196" s="1" t="s">
        <v>1747</v>
      </c>
      <c r="Q196" s="1" t="s">
        <v>1840</v>
      </c>
      <c r="R196" s="1" t="s">
        <v>18</v>
      </c>
      <c r="S196" s="13"/>
      <c r="T196" s="1" t="s">
        <v>526</v>
      </c>
      <c r="V196" s="1" t="str">
        <f t="shared" ref="V196:V227" si="43">+CONCATENATE(E196,".",F196,"\",G196,".",H196,":",I196)</f>
        <v>2.4\0.3:0</v>
      </c>
      <c r="W196" s="80" t="s">
        <v>1767</v>
      </c>
      <c r="X196" s="18">
        <v>0</v>
      </c>
      <c r="Y196" s="7"/>
      <c r="Z196" s="206" t="s">
        <v>1062</v>
      </c>
      <c r="AA196" s="206"/>
      <c r="AB196" s="7"/>
      <c r="AC196" s="7"/>
      <c r="AD196" s="7"/>
      <c r="AE196" s="7"/>
      <c r="AF196" s="7"/>
      <c r="AG196" s="3" t="s">
        <v>570</v>
      </c>
      <c r="AH196" s="3">
        <v>1</v>
      </c>
      <c r="AI196" s="3">
        <v>2</v>
      </c>
      <c r="AM196" s="3"/>
    </row>
    <row r="197" spans="1:39" x14ac:dyDescent="0.3">
      <c r="A197" s="5" t="str">
        <f t="shared" ref="A197:A227" si="44">A196</f>
        <v>BBD130</v>
      </c>
      <c r="B197" s="1" t="s">
        <v>1756</v>
      </c>
      <c r="C197" s="2" t="str">
        <f t="shared" si="40"/>
        <v>DIO1</v>
      </c>
      <c r="D197" s="2">
        <v>130</v>
      </c>
      <c r="E197" s="3">
        <f t="shared" si="41"/>
        <v>2</v>
      </c>
      <c r="F197" s="3">
        <f t="shared" si="42"/>
        <v>4</v>
      </c>
      <c r="G197" s="3">
        <v>0</v>
      </c>
      <c r="H197" s="60">
        <f>H196</f>
        <v>3</v>
      </c>
      <c r="I197" s="54">
        <f t="shared" ref="I197:I227" si="45">+I196+1</f>
        <v>1</v>
      </c>
      <c r="J197" s="61"/>
      <c r="L197" s="1" t="s">
        <v>21</v>
      </c>
      <c r="M197" s="2">
        <v>5</v>
      </c>
      <c r="N197" s="1" t="s">
        <v>1839</v>
      </c>
      <c r="O197" s="1" t="s">
        <v>1838</v>
      </c>
      <c r="P197" s="1" t="s">
        <v>1837</v>
      </c>
      <c r="Q197" s="1" t="s">
        <v>1511</v>
      </c>
      <c r="R197" s="1" t="s">
        <v>18</v>
      </c>
      <c r="S197" s="13"/>
      <c r="T197" s="1" t="s">
        <v>1740</v>
      </c>
      <c r="V197" s="1" t="str">
        <f t="shared" si="43"/>
        <v>2.4\0.3:1</v>
      </c>
      <c r="W197" s="1" t="s">
        <v>1757</v>
      </c>
      <c r="X197" s="18">
        <v>0</v>
      </c>
      <c r="Y197" s="7"/>
      <c r="Z197" s="206" t="s">
        <v>1062</v>
      </c>
      <c r="AA197" s="206"/>
      <c r="AB197" s="7"/>
      <c r="AC197" s="7"/>
      <c r="AD197" s="7"/>
      <c r="AE197" s="7"/>
      <c r="AF197" s="7"/>
      <c r="AG197" s="3" t="s">
        <v>570</v>
      </c>
      <c r="AH197" s="3">
        <v>3</v>
      </c>
      <c r="AI197" s="3">
        <v>4</v>
      </c>
      <c r="AM197" s="3"/>
    </row>
    <row r="198" spans="1:39" x14ac:dyDescent="0.3">
      <c r="A198" s="5" t="str">
        <f t="shared" si="44"/>
        <v>BBD130</v>
      </c>
      <c r="B198" s="1" t="s">
        <v>1756</v>
      </c>
      <c r="C198" s="2" t="str">
        <f t="shared" si="40"/>
        <v>DIO1</v>
      </c>
      <c r="D198" s="2">
        <v>130</v>
      </c>
      <c r="E198" s="3">
        <f t="shared" si="41"/>
        <v>2</v>
      </c>
      <c r="F198" s="3">
        <f t="shared" si="42"/>
        <v>4</v>
      </c>
      <c r="G198" s="3">
        <v>0</v>
      </c>
      <c r="H198" s="60">
        <f>H196</f>
        <v>3</v>
      </c>
      <c r="I198" s="54">
        <f t="shared" si="45"/>
        <v>2</v>
      </c>
      <c r="J198" s="61"/>
      <c r="K198" s="30"/>
      <c r="L198" s="1" t="s">
        <v>21</v>
      </c>
      <c r="M198" s="252">
        <v>5</v>
      </c>
      <c r="N198" s="24" t="s">
        <v>467</v>
      </c>
      <c r="O198" s="24" t="s">
        <v>967</v>
      </c>
      <c r="P198" s="24" t="s">
        <v>1836</v>
      </c>
      <c r="Q198" s="24" t="s">
        <v>1835</v>
      </c>
      <c r="R198" s="24" t="s">
        <v>18</v>
      </c>
      <c r="S198" s="235" t="s">
        <v>1572</v>
      </c>
      <c r="T198" s="24" t="s">
        <v>526</v>
      </c>
      <c r="U198" s="24"/>
      <c r="V198" s="1" t="str">
        <f t="shared" si="43"/>
        <v>2.4\0.3:2</v>
      </c>
      <c r="W198" s="24" t="s">
        <v>471</v>
      </c>
      <c r="X198" s="25" t="s">
        <v>4</v>
      </c>
      <c r="Y198" s="1" t="s">
        <v>1834</v>
      </c>
      <c r="Z198" s="206" t="s">
        <v>1062</v>
      </c>
      <c r="AA198" s="206"/>
      <c r="AB198" s="7"/>
      <c r="AC198" s="7"/>
      <c r="AD198" s="7"/>
      <c r="AE198" s="7"/>
      <c r="AF198" s="7"/>
      <c r="AG198" s="3" t="s">
        <v>570</v>
      </c>
      <c r="AH198" s="3">
        <v>5</v>
      </c>
      <c r="AI198" s="3">
        <v>6</v>
      </c>
      <c r="AM198" s="3"/>
    </row>
    <row r="199" spans="1:39" x14ac:dyDescent="0.3">
      <c r="A199" s="5" t="str">
        <f t="shared" si="44"/>
        <v>BBD130</v>
      </c>
      <c r="B199" s="1" t="s">
        <v>1756</v>
      </c>
      <c r="C199" s="2" t="str">
        <f t="shared" si="40"/>
        <v>DIO1</v>
      </c>
      <c r="D199" s="2">
        <v>130</v>
      </c>
      <c r="E199" s="3">
        <f t="shared" si="41"/>
        <v>2</v>
      </c>
      <c r="F199" s="3">
        <f t="shared" si="42"/>
        <v>4</v>
      </c>
      <c r="G199" s="3">
        <v>0</v>
      </c>
      <c r="H199" s="60">
        <f t="shared" ref="H199:H210" si="46">H196</f>
        <v>3</v>
      </c>
      <c r="I199" s="54">
        <f t="shared" si="45"/>
        <v>3</v>
      </c>
      <c r="J199" s="61"/>
      <c r="K199" s="30"/>
      <c r="L199" s="1" t="s">
        <v>21</v>
      </c>
      <c r="M199" s="2">
        <v>5</v>
      </c>
      <c r="N199" s="1" t="s">
        <v>1833</v>
      </c>
      <c r="O199" s="1" t="s">
        <v>1564</v>
      </c>
      <c r="Q199" s="1" t="s">
        <v>1832</v>
      </c>
      <c r="R199" s="1" t="s">
        <v>1151</v>
      </c>
      <c r="S199" s="13"/>
      <c r="T199" s="1" t="s">
        <v>488</v>
      </c>
      <c r="V199" s="1" t="str">
        <f t="shared" si="43"/>
        <v>2.4\0.3:3</v>
      </c>
      <c r="W199" s="1" t="s">
        <v>1760</v>
      </c>
      <c r="X199" s="18">
        <v>0</v>
      </c>
      <c r="Z199" s="206" t="s">
        <v>1062</v>
      </c>
      <c r="AA199" s="206"/>
      <c r="AB199" s="7"/>
      <c r="AC199" s="7"/>
      <c r="AD199" s="7"/>
      <c r="AE199" s="7"/>
      <c r="AF199" s="7"/>
      <c r="AG199" s="3" t="s">
        <v>570</v>
      </c>
      <c r="AH199" s="3">
        <v>7</v>
      </c>
      <c r="AI199" s="3">
        <v>8</v>
      </c>
      <c r="AM199" s="3"/>
    </row>
    <row r="200" spans="1:39" x14ac:dyDescent="0.3">
      <c r="A200" s="5" t="str">
        <f t="shared" si="44"/>
        <v>BBD130</v>
      </c>
      <c r="B200" s="1" t="s">
        <v>1756</v>
      </c>
      <c r="C200" s="2" t="str">
        <f t="shared" si="40"/>
        <v>DIO1</v>
      </c>
      <c r="D200" s="2">
        <v>130</v>
      </c>
      <c r="E200" s="3">
        <f t="shared" si="41"/>
        <v>2</v>
      </c>
      <c r="F200" s="3">
        <f t="shared" si="42"/>
        <v>4</v>
      </c>
      <c r="G200" s="3">
        <v>0</v>
      </c>
      <c r="H200" s="60">
        <f t="shared" si="46"/>
        <v>3</v>
      </c>
      <c r="I200" s="54">
        <f t="shared" si="45"/>
        <v>4</v>
      </c>
      <c r="J200" s="61"/>
      <c r="K200" s="30"/>
      <c r="L200" s="1" t="s">
        <v>21</v>
      </c>
      <c r="M200" s="2">
        <v>5</v>
      </c>
      <c r="N200" s="1" t="s">
        <v>1831</v>
      </c>
      <c r="O200" s="1" t="s">
        <v>1826</v>
      </c>
      <c r="Q200" s="1" t="s">
        <v>1830</v>
      </c>
      <c r="R200" s="1" t="s">
        <v>1151</v>
      </c>
      <c r="S200" s="13"/>
      <c r="T200" s="1" t="s">
        <v>488</v>
      </c>
      <c r="V200" s="1" t="str">
        <f t="shared" si="43"/>
        <v>2.4\0.3:4</v>
      </c>
      <c r="W200" s="1" t="s">
        <v>1760</v>
      </c>
      <c r="X200" s="18">
        <v>0</v>
      </c>
      <c r="Z200" s="206" t="s">
        <v>1062</v>
      </c>
      <c r="AA200" s="206"/>
      <c r="AB200" s="7"/>
      <c r="AC200" s="7"/>
      <c r="AD200" s="7"/>
      <c r="AE200" s="7"/>
      <c r="AF200" s="7"/>
      <c r="AG200" s="3" t="s">
        <v>570</v>
      </c>
      <c r="AH200" s="3">
        <v>9</v>
      </c>
      <c r="AI200" s="3">
        <v>10</v>
      </c>
      <c r="AM200" s="3"/>
    </row>
    <row r="201" spans="1:39" x14ac:dyDescent="0.3">
      <c r="A201" s="5" t="str">
        <f t="shared" si="44"/>
        <v>BBD130</v>
      </c>
      <c r="B201" s="1" t="s">
        <v>1756</v>
      </c>
      <c r="C201" s="2" t="str">
        <f t="shared" si="40"/>
        <v>DIO1</v>
      </c>
      <c r="D201" s="2">
        <v>130</v>
      </c>
      <c r="E201" s="3">
        <f t="shared" si="41"/>
        <v>2</v>
      </c>
      <c r="F201" s="3">
        <f t="shared" si="42"/>
        <v>4</v>
      </c>
      <c r="G201" s="3">
        <v>0</v>
      </c>
      <c r="H201" s="60">
        <f t="shared" si="46"/>
        <v>3</v>
      </c>
      <c r="I201" s="54">
        <f t="shared" si="45"/>
        <v>5</v>
      </c>
      <c r="J201" s="61"/>
      <c r="K201" s="30"/>
      <c r="L201" s="1" t="s">
        <v>21</v>
      </c>
      <c r="M201" s="2">
        <v>5</v>
      </c>
      <c r="N201" s="1" t="s">
        <v>1829</v>
      </c>
      <c r="O201" s="1" t="s">
        <v>1564</v>
      </c>
      <c r="Q201" s="1" t="s">
        <v>1828</v>
      </c>
      <c r="R201" s="1" t="s">
        <v>1151</v>
      </c>
      <c r="S201" s="13"/>
      <c r="T201" s="1" t="s">
        <v>486</v>
      </c>
      <c r="V201" s="1" t="str">
        <f t="shared" si="43"/>
        <v>2.4\0.3:5</v>
      </c>
      <c r="W201" s="1" t="s">
        <v>1760</v>
      </c>
      <c r="X201" s="18">
        <v>0</v>
      </c>
      <c r="Z201" s="206" t="s">
        <v>1062</v>
      </c>
      <c r="AA201" s="206"/>
      <c r="AB201" s="7"/>
      <c r="AC201" s="7"/>
      <c r="AD201" s="7"/>
      <c r="AE201" s="7"/>
      <c r="AF201" s="7"/>
      <c r="AG201" s="3" t="s">
        <v>570</v>
      </c>
      <c r="AH201" s="3">
        <v>11</v>
      </c>
      <c r="AI201" s="3">
        <v>12</v>
      </c>
      <c r="AM201" s="3"/>
    </row>
    <row r="202" spans="1:39" x14ac:dyDescent="0.3">
      <c r="A202" s="5" t="str">
        <f t="shared" si="44"/>
        <v>BBD130</v>
      </c>
      <c r="B202" s="1" t="s">
        <v>1756</v>
      </c>
      <c r="C202" s="2" t="str">
        <f t="shared" si="40"/>
        <v>DIO1</v>
      </c>
      <c r="D202" s="2">
        <v>130</v>
      </c>
      <c r="E202" s="3">
        <f t="shared" si="41"/>
        <v>2</v>
      </c>
      <c r="F202" s="3">
        <f t="shared" si="42"/>
        <v>4</v>
      </c>
      <c r="G202" s="3">
        <v>0</v>
      </c>
      <c r="H202" s="60">
        <f t="shared" si="46"/>
        <v>3</v>
      </c>
      <c r="I202" s="54">
        <f t="shared" si="45"/>
        <v>6</v>
      </c>
      <c r="J202" s="61"/>
      <c r="K202" s="30"/>
      <c r="L202" s="1" t="s">
        <v>21</v>
      </c>
      <c r="M202" s="2">
        <v>5</v>
      </c>
      <c r="N202" s="1" t="s">
        <v>1827</v>
      </c>
      <c r="O202" s="1" t="s">
        <v>1826</v>
      </c>
      <c r="Q202" s="1" t="s">
        <v>1825</v>
      </c>
      <c r="R202" s="1" t="s">
        <v>1151</v>
      </c>
      <c r="S202" s="13"/>
      <c r="T202" s="1" t="s">
        <v>486</v>
      </c>
      <c r="V202" s="1" t="str">
        <f t="shared" si="43"/>
        <v>2.4\0.3:6</v>
      </c>
      <c r="W202" s="1" t="s">
        <v>1760</v>
      </c>
      <c r="X202" s="18">
        <v>0</v>
      </c>
      <c r="Z202" s="206" t="s">
        <v>1062</v>
      </c>
      <c r="AA202" s="206"/>
      <c r="AB202" s="7"/>
      <c r="AC202" s="7"/>
      <c r="AD202" s="7"/>
      <c r="AE202" s="7"/>
      <c r="AF202" s="7"/>
      <c r="AG202" s="3" t="s">
        <v>570</v>
      </c>
      <c r="AH202" s="3">
        <v>13</v>
      </c>
      <c r="AI202" s="3">
        <v>14</v>
      </c>
      <c r="AM202" s="3"/>
    </row>
    <row r="203" spans="1:39" x14ac:dyDescent="0.3">
      <c r="A203" s="5" t="str">
        <f t="shared" si="44"/>
        <v>BBD130</v>
      </c>
      <c r="B203" s="1" t="s">
        <v>1756</v>
      </c>
      <c r="C203" s="2" t="str">
        <f t="shared" si="40"/>
        <v>DIO1</v>
      </c>
      <c r="D203" s="2">
        <v>130</v>
      </c>
      <c r="E203" s="3">
        <f t="shared" si="41"/>
        <v>2</v>
      </c>
      <c r="F203" s="3">
        <f t="shared" si="42"/>
        <v>4</v>
      </c>
      <c r="G203" s="3">
        <v>0</v>
      </c>
      <c r="H203" s="60">
        <f t="shared" si="46"/>
        <v>3</v>
      </c>
      <c r="I203" s="54">
        <f t="shared" si="45"/>
        <v>7</v>
      </c>
      <c r="J203" s="61"/>
      <c r="K203" s="30"/>
      <c r="L203" s="1" t="s">
        <v>21</v>
      </c>
      <c r="M203" s="2">
        <v>5</v>
      </c>
      <c r="N203" s="1" t="s">
        <v>1824</v>
      </c>
      <c r="O203" s="1" t="s">
        <v>655</v>
      </c>
      <c r="Q203" s="1" t="s">
        <v>1823</v>
      </c>
      <c r="R203" s="1" t="s">
        <v>1147</v>
      </c>
      <c r="S203" s="13"/>
      <c r="T203" s="1" t="s">
        <v>1740</v>
      </c>
      <c r="V203" s="1" t="str">
        <f t="shared" si="43"/>
        <v>2.4\0.3:7</v>
      </c>
      <c r="W203" s="1" t="s">
        <v>1760</v>
      </c>
      <c r="X203" s="18">
        <v>0</v>
      </c>
      <c r="Z203" s="206" t="s">
        <v>1062</v>
      </c>
      <c r="AA203" s="206"/>
      <c r="AB203" s="7"/>
      <c r="AC203" s="7"/>
      <c r="AD203" s="7"/>
      <c r="AE203" s="7"/>
      <c r="AF203" s="7"/>
      <c r="AG203" s="3" t="s">
        <v>570</v>
      </c>
      <c r="AH203" s="3">
        <v>15</v>
      </c>
      <c r="AI203" s="3">
        <v>16</v>
      </c>
      <c r="AM203" s="3"/>
    </row>
    <row r="204" spans="1:39" x14ac:dyDescent="0.3">
      <c r="A204" s="5" t="str">
        <f t="shared" si="44"/>
        <v>BBD130</v>
      </c>
      <c r="B204" s="1" t="s">
        <v>1756</v>
      </c>
      <c r="C204" s="2" t="str">
        <f t="shared" si="40"/>
        <v>DIO1</v>
      </c>
      <c r="D204" s="2">
        <v>130</v>
      </c>
      <c r="E204" s="3">
        <f t="shared" si="41"/>
        <v>2</v>
      </c>
      <c r="F204" s="3">
        <f t="shared" si="42"/>
        <v>4</v>
      </c>
      <c r="G204" s="3">
        <v>0</v>
      </c>
      <c r="H204" s="60">
        <f t="shared" si="46"/>
        <v>3</v>
      </c>
      <c r="I204" s="54">
        <f t="shared" si="45"/>
        <v>8</v>
      </c>
      <c r="J204" s="61"/>
      <c r="K204" s="30"/>
      <c r="L204" s="1" t="s">
        <v>21</v>
      </c>
      <c r="M204" s="2">
        <v>5</v>
      </c>
      <c r="N204" s="1" t="s">
        <v>1822</v>
      </c>
      <c r="O204" s="1" t="s">
        <v>736</v>
      </c>
      <c r="Q204" s="1" t="s">
        <v>1821</v>
      </c>
      <c r="R204" s="1" t="s">
        <v>24</v>
      </c>
      <c r="S204" s="13"/>
      <c r="T204" s="1" t="s">
        <v>488</v>
      </c>
      <c r="V204" s="1" t="str">
        <f t="shared" si="43"/>
        <v>2.4\0.3:8</v>
      </c>
      <c r="W204" s="1" t="s">
        <v>1760</v>
      </c>
      <c r="X204" s="18">
        <v>0</v>
      </c>
      <c r="Z204" s="206" t="s">
        <v>1062</v>
      </c>
      <c r="AA204" s="206"/>
      <c r="AB204" s="7"/>
      <c r="AC204" s="7"/>
      <c r="AD204" s="7"/>
      <c r="AE204" s="7"/>
      <c r="AF204" s="7"/>
      <c r="AG204" s="3" t="s">
        <v>570</v>
      </c>
      <c r="AH204" s="3">
        <v>17</v>
      </c>
      <c r="AI204" s="3">
        <v>18</v>
      </c>
      <c r="AM204" s="3"/>
    </row>
    <row r="205" spans="1:39" x14ac:dyDescent="0.3">
      <c r="A205" s="5" t="str">
        <f t="shared" si="44"/>
        <v>BBD130</v>
      </c>
      <c r="B205" s="1" t="s">
        <v>1756</v>
      </c>
      <c r="C205" s="2" t="str">
        <f t="shared" si="40"/>
        <v>DIO1</v>
      </c>
      <c r="D205" s="2">
        <v>130</v>
      </c>
      <c r="E205" s="3">
        <f t="shared" si="41"/>
        <v>2</v>
      </c>
      <c r="F205" s="3">
        <f t="shared" si="42"/>
        <v>4</v>
      </c>
      <c r="G205" s="3">
        <v>0</v>
      </c>
      <c r="H205" s="60">
        <f t="shared" si="46"/>
        <v>3</v>
      </c>
      <c r="I205" s="54">
        <f t="shared" si="45"/>
        <v>9</v>
      </c>
      <c r="J205" s="61"/>
      <c r="K205" s="30"/>
      <c r="L205" s="1" t="s">
        <v>21</v>
      </c>
      <c r="M205" s="2">
        <v>5</v>
      </c>
      <c r="N205" s="1" t="s">
        <v>1820</v>
      </c>
      <c r="O205" s="1" t="s">
        <v>953</v>
      </c>
      <c r="Q205" s="1" t="s">
        <v>1819</v>
      </c>
      <c r="R205" s="1" t="s">
        <v>24</v>
      </c>
      <c r="S205" s="13"/>
      <c r="T205" s="1" t="s">
        <v>488</v>
      </c>
      <c r="V205" s="1" t="str">
        <f t="shared" si="43"/>
        <v>2.4\0.3:9</v>
      </c>
      <c r="W205" s="1" t="s">
        <v>1760</v>
      </c>
      <c r="X205" s="18">
        <v>0</v>
      </c>
      <c r="Z205" s="206" t="s">
        <v>1062</v>
      </c>
      <c r="AA205" s="206"/>
      <c r="AB205" s="7"/>
      <c r="AC205" s="7"/>
      <c r="AD205" s="7"/>
      <c r="AE205" s="7"/>
      <c r="AF205" s="7"/>
      <c r="AG205" s="3" t="s">
        <v>570</v>
      </c>
      <c r="AH205" s="3">
        <v>19</v>
      </c>
      <c r="AI205" s="3">
        <v>20</v>
      </c>
      <c r="AM205" s="3"/>
    </row>
    <row r="206" spans="1:39" x14ac:dyDescent="0.3">
      <c r="A206" s="5" t="str">
        <f t="shared" si="44"/>
        <v>BBD130</v>
      </c>
      <c r="B206" s="1" t="s">
        <v>1756</v>
      </c>
      <c r="C206" s="2" t="str">
        <f t="shared" si="40"/>
        <v>DIO1</v>
      </c>
      <c r="D206" s="2">
        <v>130</v>
      </c>
      <c r="E206" s="3">
        <f t="shared" si="41"/>
        <v>2</v>
      </c>
      <c r="F206" s="3">
        <f t="shared" si="42"/>
        <v>4</v>
      </c>
      <c r="G206" s="3">
        <v>0</v>
      </c>
      <c r="H206" s="60">
        <f t="shared" si="46"/>
        <v>3</v>
      </c>
      <c r="I206" s="54">
        <f t="shared" si="45"/>
        <v>10</v>
      </c>
      <c r="J206" s="61"/>
      <c r="K206" s="30"/>
      <c r="L206" s="1" t="s">
        <v>21</v>
      </c>
      <c r="M206" s="2">
        <v>5</v>
      </c>
      <c r="N206" s="1" t="s">
        <v>1818</v>
      </c>
      <c r="O206" s="1" t="s">
        <v>736</v>
      </c>
      <c r="Q206" s="1" t="s">
        <v>1817</v>
      </c>
      <c r="R206" s="1" t="s">
        <v>24</v>
      </c>
      <c r="S206" s="13"/>
      <c r="T206" s="1" t="s">
        <v>486</v>
      </c>
      <c r="V206" s="1" t="str">
        <f t="shared" si="43"/>
        <v>2.4\0.3:10</v>
      </c>
      <c r="W206" s="1" t="s">
        <v>1760</v>
      </c>
      <c r="X206" s="18">
        <v>0</v>
      </c>
      <c r="Z206" s="206" t="s">
        <v>1062</v>
      </c>
      <c r="AB206" s="7"/>
      <c r="AC206" s="7"/>
      <c r="AD206" s="7"/>
      <c r="AE206" s="7"/>
      <c r="AF206" s="7"/>
      <c r="AG206" s="3" t="s">
        <v>570</v>
      </c>
      <c r="AH206" s="3">
        <v>21</v>
      </c>
      <c r="AI206" s="3">
        <v>22</v>
      </c>
      <c r="AM206" s="3"/>
    </row>
    <row r="207" spans="1:39" x14ac:dyDescent="0.3">
      <c r="A207" s="5" t="str">
        <f t="shared" si="44"/>
        <v>BBD130</v>
      </c>
      <c r="B207" s="1" t="s">
        <v>1756</v>
      </c>
      <c r="C207" s="2" t="str">
        <f t="shared" si="40"/>
        <v>DIO1</v>
      </c>
      <c r="D207" s="2">
        <v>130</v>
      </c>
      <c r="E207" s="3">
        <f t="shared" si="41"/>
        <v>2</v>
      </c>
      <c r="F207" s="3">
        <f t="shared" si="42"/>
        <v>4</v>
      </c>
      <c r="G207" s="3">
        <v>0</v>
      </c>
      <c r="H207" s="60">
        <f t="shared" si="46"/>
        <v>3</v>
      </c>
      <c r="I207" s="54">
        <f t="shared" si="45"/>
        <v>11</v>
      </c>
      <c r="J207" s="61"/>
      <c r="K207" s="30"/>
      <c r="L207" s="1" t="s">
        <v>21</v>
      </c>
      <c r="M207" s="2">
        <v>5</v>
      </c>
      <c r="N207" s="1" t="s">
        <v>1816</v>
      </c>
      <c r="O207" s="1" t="s">
        <v>953</v>
      </c>
      <c r="Q207" s="1" t="s">
        <v>1815</v>
      </c>
      <c r="R207" s="1" t="s">
        <v>24</v>
      </c>
      <c r="S207" s="13"/>
      <c r="T207" s="1" t="s">
        <v>486</v>
      </c>
      <c r="V207" s="1" t="str">
        <f t="shared" si="43"/>
        <v>2.4\0.3:11</v>
      </c>
      <c r="W207" s="1" t="s">
        <v>1760</v>
      </c>
      <c r="X207" s="18">
        <v>0</v>
      </c>
      <c r="Z207" s="206" t="s">
        <v>1062</v>
      </c>
      <c r="AB207" s="7"/>
      <c r="AC207" s="7"/>
      <c r="AD207" s="7"/>
      <c r="AE207" s="7"/>
      <c r="AF207" s="7"/>
      <c r="AG207" s="3" t="s">
        <v>570</v>
      </c>
      <c r="AH207" s="3">
        <v>23</v>
      </c>
      <c r="AI207" s="3">
        <v>24</v>
      </c>
      <c r="AM207" s="3"/>
    </row>
    <row r="208" spans="1:39" x14ac:dyDescent="0.3">
      <c r="A208" s="5" t="str">
        <f t="shared" si="44"/>
        <v>BBD130</v>
      </c>
      <c r="B208" s="1" t="s">
        <v>1756</v>
      </c>
      <c r="C208" s="2" t="str">
        <f t="shared" si="40"/>
        <v>DIO1</v>
      </c>
      <c r="D208" s="2">
        <v>130</v>
      </c>
      <c r="E208" s="3">
        <f t="shared" si="41"/>
        <v>2</v>
      </c>
      <c r="F208" s="3">
        <f t="shared" si="42"/>
        <v>4</v>
      </c>
      <c r="G208" s="3">
        <v>0</v>
      </c>
      <c r="H208" s="60">
        <f t="shared" si="46"/>
        <v>3</v>
      </c>
      <c r="I208" s="54">
        <f t="shared" si="45"/>
        <v>12</v>
      </c>
      <c r="J208" s="61"/>
      <c r="K208" s="30"/>
      <c r="L208" s="1" t="s">
        <v>21</v>
      </c>
      <c r="M208" s="2"/>
      <c r="N208" s="2"/>
      <c r="R208" s="1" t="s">
        <v>302</v>
      </c>
      <c r="V208" s="1" t="str">
        <f t="shared" si="43"/>
        <v>2.4\0.3:12</v>
      </c>
      <c r="Z208" s="206" t="s">
        <v>1062</v>
      </c>
      <c r="AA208" s="206"/>
      <c r="AB208" s="7"/>
      <c r="AC208" s="7"/>
      <c r="AD208" s="7"/>
      <c r="AE208" s="7"/>
      <c r="AF208" s="7"/>
      <c r="AG208" s="3" t="s">
        <v>570</v>
      </c>
      <c r="AH208" s="3">
        <v>25</v>
      </c>
      <c r="AI208" s="3">
        <v>26</v>
      </c>
      <c r="AM208" s="3"/>
    </row>
    <row r="209" spans="1:39" x14ac:dyDescent="0.3">
      <c r="A209" s="5" t="str">
        <f t="shared" si="44"/>
        <v>BBD130</v>
      </c>
      <c r="B209" s="1" t="s">
        <v>1756</v>
      </c>
      <c r="C209" s="2" t="str">
        <f t="shared" si="40"/>
        <v>DIO1</v>
      </c>
      <c r="D209" s="2">
        <v>130</v>
      </c>
      <c r="E209" s="3">
        <f t="shared" si="41"/>
        <v>2</v>
      </c>
      <c r="F209" s="3">
        <f t="shared" si="42"/>
        <v>4</v>
      </c>
      <c r="G209" s="3">
        <v>0</v>
      </c>
      <c r="H209" s="60">
        <f t="shared" si="46"/>
        <v>3</v>
      </c>
      <c r="I209" s="54">
        <f t="shared" si="45"/>
        <v>13</v>
      </c>
      <c r="J209" s="61"/>
      <c r="K209" s="30"/>
      <c r="L209" s="1" t="s">
        <v>21</v>
      </c>
      <c r="M209" s="2"/>
      <c r="N209" s="2"/>
      <c r="R209" s="1" t="s">
        <v>302</v>
      </c>
      <c r="V209" s="1" t="str">
        <f t="shared" si="43"/>
        <v>2.4\0.3:13</v>
      </c>
      <c r="Z209" s="206" t="s">
        <v>1062</v>
      </c>
      <c r="AA209" s="206"/>
      <c r="AB209" s="7"/>
      <c r="AC209" s="7"/>
      <c r="AD209" s="7"/>
      <c r="AE209" s="7"/>
      <c r="AF209" s="7"/>
      <c r="AG209" s="3" t="s">
        <v>570</v>
      </c>
      <c r="AH209" s="3">
        <v>27</v>
      </c>
      <c r="AI209" s="3">
        <v>28</v>
      </c>
      <c r="AM209" s="3"/>
    </row>
    <row r="210" spans="1:39" x14ac:dyDescent="0.3">
      <c r="A210" s="5" t="str">
        <f t="shared" si="44"/>
        <v>BBD130</v>
      </c>
      <c r="B210" s="1" t="s">
        <v>1756</v>
      </c>
      <c r="C210" s="2" t="str">
        <f t="shared" si="40"/>
        <v>DIO1</v>
      </c>
      <c r="D210" s="2">
        <v>130</v>
      </c>
      <c r="E210" s="3">
        <f t="shared" si="41"/>
        <v>2</v>
      </c>
      <c r="F210" s="3">
        <f t="shared" si="42"/>
        <v>4</v>
      </c>
      <c r="G210" s="3">
        <v>0</v>
      </c>
      <c r="H210" s="60">
        <f t="shared" si="46"/>
        <v>3</v>
      </c>
      <c r="I210" s="54">
        <f t="shared" si="45"/>
        <v>14</v>
      </c>
      <c r="J210" s="61"/>
      <c r="K210" s="30"/>
      <c r="L210" s="1" t="s">
        <v>21</v>
      </c>
      <c r="M210" s="2"/>
      <c r="N210" s="2"/>
      <c r="R210" s="1" t="s">
        <v>302</v>
      </c>
      <c r="S210" s="24"/>
      <c r="V210" s="1" t="str">
        <f t="shared" si="43"/>
        <v>2.4\0.3:14</v>
      </c>
      <c r="Z210" s="206" t="s">
        <v>1062</v>
      </c>
      <c r="AA210" s="206"/>
      <c r="AB210" s="7"/>
      <c r="AC210" s="7"/>
      <c r="AD210" s="7"/>
      <c r="AE210" s="7"/>
      <c r="AF210" s="7"/>
      <c r="AG210" s="3" t="s">
        <v>570</v>
      </c>
      <c r="AH210" s="3">
        <v>29</v>
      </c>
      <c r="AI210" s="3">
        <v>30</v>
      </c>
      <c r="AM210" s="3"/>
    </row>
    <row r="211" spans="1:39" x14ac:dyDescent="0.3">
      <c r="A211" s="5" t="str">
        <f t="shared" si="44"/>
        <v>BBD130</v>
      </c>
      <c r="B211" s="1" t="s">
        <v>1756</v>
      </c>
      <c r="C211" s="2" t="str">
        <f t="shared" si="40"/>
        <v>DIO1</v>
      </c>
      <c r="D211" s="2">
        <v>130</v>
      </c>
      <c r="E211" s="3">
        <f t="shared" si="41"/>
        <v>2</v>
      </c>
      <c r="F211" s="3">
        <f t="shared" si="42"/>
        <v>4</v>
      </c>
      <c r="G211" s="3">
        <v>0</v>
      </c>
      <c r="H211" s="60">
        <f t="shared" ref="H211:H227" si="47">H207</f>
        <v>3</v>
      </c>
      <c r="I211" s="54">
        <f t="shared" si="45"/>
        <v>15</v>
      </c>
      <c r="J211" s="61"/>
      <c r="K211" s="30"/>
      <c r="L211" s="1" t="s">
        <v>21</v>
      </c>
      <c r="M211" s="2"/>
      <c r="N211" s="2"/>
      <c r="R211" s="1" t="s">
        <v>302</v>
      </c>
      <c r="S211" s="24"/>
      <c r="V211" s="1" t="str">
        <f t="shared" si="43"/>
        <v>2.4\0.3:15</v>
      </c>
      <c r="Z211" s="206" t="s">
        <v>1062</v>
      </c>
      <c r="AA211" s="206"/>
      <c r="AB211" s="7"/>
      <c r="AC211" s="7"/>
      <c r="AD211" s="7"/>
      <c r="AE211" s="7"/>
      <c r="AF211" s="7"/>
      <c r="AG211" s="3" t="s">
        <v>570</v>
      </c>
      <c r="AH211" s="3">
        <v>31</v>
      </c>
      <c r="AI211" s="3">
        <v>32</v>
      </c>
      <c r="AM211" s="3"/>
    </row>
    <row r="212" spans="1:39" x14ac:dyDescent="0.3">
      <c r="A212" s="5" t="str">
        <f t="shared" si="44"/>
        <v>BBD130</v>
      </c>
      <c r="B212" s="1" t="s">
        <v>1756</v>
      </c>
      <c r="C212" s="2" t="str">
        <f t="shared" si="40"/>
        <v>DIO1</v>
      </c>
      <c r="D212" s="2">
        <v>130</v>
      </c>
      <c r="E212" s="3">
        <f t="shared" si="41"/>
        <v>2</v>
      </c>
      <c r="F212" s="3">
        <f t="shared" si="42"/>
        <v>4</v>
      </c>
      <c r="G212" s="3">
        <v>0</v>
      </c>
      <c r="H212" s="60">
        <f t="shared" si="47"/>
        <v>3</v>
      </c>
      <c r="I212" s="54">
        <f t="shared" si="45"/>
        <v>16</v>
      </c>
      <c r="J212" s="61"/>
      <c r="K212" s="2"/>
      <c r="L212" s="1" t="s">
        <v>21</v>
      </c>
      <c r="M212" s="2"/>
      <c r="N212" s="2"/>
      <c r="R212" s="1" t="s">
        <v>302</v>
      </c>
      <c r="S212" s="24"/>
      <c r="V212" s="1" t="str">
        <f t="shared" si="43"/>
        <v>2.4\0.3:16</v>
      </c>
      <c r="Z212" s="206" t="s">
        <v>1062</v>
      </c>
      <c r="AA212" s="206"/>
      <c r="AB212" s="7"/>
      <c r="AC212" s="7"/>
      <c r="AD212" s="7"/>
      <c r="AE212" s="7"/>
      <c r="AF212" s="7"/>
      <c r="AG212" s="3" t="s">
        <v>612</v>
      </c>
      <c r="AH212" s="3">
        <v>1</v>
      </c>
      <c r="AI212" s="3">
        <v>2</v>
      </c>
      <c r="AM212" s="3"/>
    </row>
    <row r="213" spans="1:39" x14ac:dyDescent="0.3">
      <c r="A213" s="5" t="str">
        <f t="shared" si="44"/>
        <v>BBD130</v>
      </c>
      <c r="B213" s="1" t="s">
        <v>1756</v>
      </c>
      <c r="C213" s="2" t="str">
        <f t="shared" si="40"/>
        <v>DIO1</v>
      </c>
      <c r="D213" s="2">
        <v>130</v>
      </c>
      <c r="E213" s="3">
        <f t="shared" si="41"/>
        <v>2</v>
      </c>
      <c r="F213" s="3">
        <f t="shared" si="42"/>
        <v>4</v>
      </c>
      <c r="G213" s="3">
        <v>0</v>
      </c>
      <c r="H213" s="60">
        <f t="shared" si="47"/>
        <v>3</v>
      </c>
      <c r="I213" s="54">
        <f t="shared" si="45"/>
        <v>17</v>
      </c>
      <c r="J213" s="61"/>
      <c r="K213" s="30"/>
      <c r="L213" s="1" t="s">
        <v>21</v>
      </c>
      <c r="M213" s="2"/>
      <c r="N213" s="2"/>
      <c r="R213" s="1" t="s">
        <v>302</v>
      </c>
      <c r="S213" s="24"/>
      <c r="V213" s="1" t="str">
        <f t="shared" si="43"/>
        <v>2.4\0.3:17</v>
      </c>
      <c r="Z213" s="206" t="s">
        <v>1062</v>
      </c>
      <c r="AA213" s="206"/>
      <c r="AC213" s="7"/>
      <c r="AD213" s="7"/>
      <c r="AE213" s="7"/>
      <c r="AF213" s="7"/>
      <c r="AG213" s="3" t="s">
        <v>612</v>
      </c>
      <c r="AH213" s="3">
        <v>3</v>
      </c>
      <c r="AI213" s="3">
        <v>4</v>
      </c>
      <c r="AM213" s="3"/>
    </row>
    <row r="214" spans="1:39" x14ac:dyDescent="0.3">
      <c r="A214" s="5" t="str">
        <f t="shared" si="44"/>
        <v>BBD130</v>
      </c>
      <c r="B214" s="1" t="s">
        <v>1756</v>
      </c>
      <c r="C214" s="2" t="str">
        <f t="shared" si="40"/>
        <v>DIO1</v>
      </c>
      <c r="D214" s="2">
        <v>130</v>
      </c>
      <c r="E214" s="3">
        <f t="shared" si="41"/>
        <v>2</v>
      </c>
      <c r="F214" s="3">
        <f t="shared" si="42"/>
        <v>4</v>
      </c>
      <c r="G214" s="3">
        <v>0</v>
      </c>
      <c r="H214" s="60">
        <f t="shared" si="47"/>
        <v>3</v>
      </c>
      <c r="I214" s="54">
        <f t="shared" si="45"/>
        <v>18</v>
      </c>
      <c r="J214" s="61"/>
      <c r="K214" s="30"/>
      <c r="L214" s="1" t="s">
        <v>21</v>
      </c>
      <c r="V214" s="1" t="str">
        <f t="shared" si="43"/>
        <v>2.4\0.3:18</v>
      </c>
      <c r="Z214" s="206" t="s">
        <v>1062</v>
      </c>
      <c r="AA214" s="206"/>
      <c r="AC214" s="7"/>
      <c r="AD214" s="7"/>
      <c r="AE214" s="7"/>
      <c r="AF214" s="7"/>
      <c r="AG214" s="3" t="s">
        <v>612</v>
      </c>
      <c r="AH214" s="3">
        <v>5</v>
      </c>
      <c r="AI214" s="3">
        <v>6</v>
      </c>
      <c r="AM214" s="3"/>
    </row>
    <row r="215" spans="1:39" x14ac:dyDescent="0.3">
      <c r="A215" s="5" t="str">
        <f t="shared" si="44"/>
        <v>BBD130</v>
      </c>
      <c r="B215" s="1" t="s">
        <v>1756</v>
      </c>
      <c r="C215" s="2" t="str">
        <f t="shared" si="40"/>
        <v>DIO1</v>
      </c>
      <c r="D215" s="2">
        <v>130</v>
      </c>
      <c r="E215" s="3">
        <f t="shared" si="41"/>
        <v>2</v>
      </c>
      <c r="F215" s="3">
        <f t="shared" si="42"/>
        <v>4</v>
      </c>
      <c r="G215" s="3">
        <v>0</v>
      </c>
      <c r="H215" s="60">
        <f t="shared" si="47"/>
        <v>3</v>
      </c>
      <c r="I215" s="54">
        <f t="shared" si="45"/>
        <v>19</v>
      </c>
      <c r="J215" s="61"/>
      <c r="K215" s="30"/>
      <c r="L215" s="1" t="s">
        <v>21</v>
      </c>
      <c r="M215" s="2"/>
      <c r="N215" s="2"/>
      <c r="R215" s="1" t="s">
        <v>302</v>
      </c>
      <c r="V215" s="1" t="str">
        <f t="shared" si="43"/>
        <v>2.4\0.3:19</v>
      </c>
      <c r="Z215" s="206" t="s">
        <v>1062</v>
      </c>
      <c r="AC215" s="7"/>
      <c r="AD215" s="7"/>
      <c r="AE215" s="7"/>
      <c r="AF215" s="7"/>
      <c r="AG215" s="3" t="s">
        <v>612</v>
      </c>
      <c r="AH215" s="3">
        <v>7</v>
      </c>
      <c r="AI215" s="3">
        <v>8</v>
      </c>
      <c r="AM215" s="3"/>
    </row>
    <row r="216" spans="1:39" x14ac:dyDescent="0.3">
      <c r="A216" s="5" t="str">
        <f t="shared" si="44"/>
        <v>BBD130</v>
      </c>
      <c r="B216" s="1" t="s">
        <v>1756</v>
      </c>
      <c r="C216" s="2" t="str">
        <f t="shared" si="40"/>
        <v>DIO1</v>
      </c>
      <c r="D216" s="2">
        <v>130</v>
      </c>
      <c r="E216" s="3">
        <f t="shared" si="41"/>
        <v>2</v>
      </c>
      <c r="F216" s="3">
        <f t="shared" si="42"/>
        <v>4</v>
      </c>
      <c r="G216" s="3">
        <v>0</v>
      </c>
      <c r="H216" s="60">
        <f t="shared" si="47"/>
        <v>3</v>
      </c>
      <c r="I216" s="54">
        <f t="shared" si="45"/>
        <v>20</v>
      </c>
      <c r="J216" s="61"/>
      <c r="K216" s="30"/>
      <c r="L216" s="1" t="s">
        <v>21</v>
      </c>
      <c r="M216" s="2"/>
      <c r="N216" s="2"/>
      <c r="R216" s="1" t="s">
        <v>302</v>
      </c>
      <c r="S216" s="24"/>
      <c r="V216" s="1" t="str">
        <f t="shared" si="43"/>
        <v>2.4\0.3:20</v>
      </c>
      <c r="Z216" s="206" t="s">
        <v>1062</v>
      </c>
      <c r="AA216" s="206"/>
      <c r="AC216" s="7"/>
      <c r="AD216" s="7"/>
      <c r="AE216" s="7"/>
      <c r="AF216" s="7"/>
      <c r="AG216" s="3" t="s">
        <v>612</v>
      </c>
      <c r="AH216" s="3">
        <v>9</v>
      </c>
      <c r="AI216" s="3">
        <v>10</v>
      </c>
      <c r="AM216" s="3"/>
    </row>
    <row r="217" spans="1:39" x14ac:dyDescent="0.3">
      <c r="A217" s="5" t="str">
        <f t="shared" si="44"/>
        <v>BBD130</v>
      </c>
      <c r="B217" s="1" t="s">
        <v>1756</v>
      </c>
      <c r="C217" s="2" t="str">
        <f t="shared" si="40"/>
        <v>DIO1</v>
      </c>
      <c r="D217" s="2">
        <v>130</v>
      </c>
      <c r="E217" s="3">
        <f t="shared" si="41"/>
        <v>2</v>
      </c>
      <c r="F217" s="3">
        <f t="shared" si="42"/>
        <v>4</v>
      </c>
      <c r="G217" s="3">
        <v>0</v>
      </c>
      <c r="H217" s="60">
        <f t="shared" si="47"/>
        <v>3</v>
      </c>
      <c r="I217" s="54">
        <f t="shared" si="45"/>
        <v>21</v>
      </c>
      <c r="J217" s="61"/>
      <c r="K217" s="30"/>
      <c r="L217" s="1" t="s">
        <v>21</v>
      </c>
      <c r="M217" s="2"/>
      <c r="N217" s="2"/>
      <c r="V217" s="1" t="str">
        <f t="shared" si="43"/>
        <v>2.4\0.3:21</v>
      </c>
      <c r="Z217" s="206" t="s">
        <v>1062</v>
      </c>
      <c r="AA217" s="206"/>
      <c r="AC217" s="7"/>
      <c r="AD217" s="7"/>
      <c r="AE217" s="7"/>
      <c r="AF217" s="7"/>
      <c r="AG217" s="3" t="s">
        <v>612</v>
      </c>
      <c r="AH217" s="3">
        <v>11</v>
      </c>
      <c r="AI217" s="3">
        <v>12</v>
      </c>
      <c r="AM217" s="3"/>
    </row>
    <row r="218" spans="1:39" x14ac:dyDescent="0.3">
      <c r="A218" s="5" t="str">
        <f t="shared" si="44"/>
        <v>BBD130</v>
      </c>
      <c r="B218" s="1" t="s">
        <v>1756</v>
      </c>
      <c r="C218" s="2" t="str">
        <f t="shared" si="40"/>
        <v>DIO1</v>
      </c>
      <c r="D218" s="2">
        <v>130</v>
      </c>
      <c r="E218" s="3">
        <f t="shared" si="41"/>
        <v>2</v>
      </c>
      <c r="F218" s="3">
        <f t="shared" si="42"/>
        <v>4</v>
      </c>
      <c r="G218" s="3">
        <v>0</v>
      </c>
      <c r="H218" s="60">
        <f t="shared" si="47"/>
        <v>3</v>
      </c>
      <c r="I218" s="54">
        <f t="shared" si="45"/>
        <v>22</v>
      </c>
      <c r="J218" s="61"/>
      <c r="K218" s="30"/>
      <c r="L218" s="1" t="s">
        <v>21</v>
      </c>
      <c r="M218" s="2"/>
      <c r="N218" s="2"/>
      <c r="V218" s="1" t="str">
        <f t="shared" si="43"/>
        <v>2.4\0.3:22</v>
      </c>
      <c r="Z218" s="206" t="s">
        <v>1062</v>
      </c>
      <c r="AG218" s="3" t="s">
        <v>612</v>
      </c>
      <c r="AH218" s="3">
        <v>13</v>
      </c>
      <c r="AI218" s="3">
        <v>14</v>
      </c>
      <c r="AM218" s="3"/>
    </row>
    <row r="219" spans="1:39" x14ac:dyDescent="0.3">
      <c r="A219" s="5" t="str">
        <f t="shared" si="44"/>
        <v>BBD130</v>
      </c>
      <c r="B219" s="1" t="s">
        <v>1756</v>
      </c>
      <c r="C219" s="2" t="str">
        <f t="shared" si="40"/>
        <v>DIO1</v>
      </c>
      <c r="D219" s="2">
        <v>130</v>
      </c>
      <c r="E219" s="3">
        <f t="shared" si="41"/>
        <v>2</v>
      </c>
      <c r="F219" s="3">
        <f t="shared" si="42"/>
        <v>4</v>
      </c>
      <c r="G219" s="3">
        <v>0</v>
      </c>
      <c r="H219" s="60">
        <f t="shared" si="47"/>
        <v>3</v>
      </c>
      <c r="I219" s="54">
        <f t="shared" si="45"/>
        <v>23</v>
      </c>
      <c r="J219" s="61"/>
      <c r="K219" s="30"/>
      <c r="L219" s="1" t="s">
        <v>21</v>
      </c>
      <c r="M219" s="2"/>
      <c r="N219" s="2"/>
      <c r="R219" s="1" t="s">
        <v>302</v>
      </c>
      <c r="S219" s="24"/>
      <c r="V219" s="1" t="str">
        <f t="shared" si="43"/>
        <v>2.4\0.3:23</v>
      </c>
      <c r="Z219" s="206" t="s">
        <v>1062</v>
      </c>
      <c r="AG219" s="3" t="s">
        <v>612</v>
      </c>
      <c r="AH219" s="3">
        <v>15</v>
      </c>
      <c r="AI219" s="3">
        <v>16</v>
      </c>
      <c r="AM219" s="3"/>
    </row>
    <row r="220" spans="1:39" x14ac:dyDescent="0.3">
      <c r="A220" s="5" t="str">
        <f t="shared" si="44"/>
        <v>BBD130</v>
      </c>
      <c r="B220" s="1" t="s">
        <v>1756</v>
      </c>
      <c r="C220" s="2" t="str">
        <f t="shared" si="40"/>
        <v>DIO1</v>
      </c>
      <c r="D220" s="2">
        <v>130</v>
      </c>
      <c r="E220" s="3">
        <f t="shared" si="41"/>
        <v>2</v>
      </c>
      <c r="F220" s="3">
        <f t="shared" si="42"/>
        <v>4</v>
      </c>
      <c r="G220" s="3">
        <v>0</v>
      </c>
      <c r="H220" s="60">
        <f t="shared" si="47"/>
        <v>3</v>
      </c>
      <c r="I220" s="54">
        <f t="shared" si="45"/>
        <v>24</v>
      </c>
      <c r="J220" s="61"/>
      <c r="K220" s="30"/>
      <c r="L220" s="1" t="s">
        <v>21</v>
      </c>
      <c r="M220" s="2"/>
      <c r="N220" s="2"/>
      <c r="R220" s="1" t="s">
        <v>302</v>
      </c>
      <c r="S220" s="24"/>
      <c r="V220" s="1" t="str">
        <f t="shared" si="43"/>
        <v>2.4\0.3:24</v>
      </c>
      <c r="Z220" s="206" t="s">
        <v>1062</v>
      </c>
      <c r="AG220" s="3" t="s">
        <v>612</v>
      </c>
      <c r="AH220" s="3">
        <v>17</v>
      </c>
      <c r="AI220" s="3">
        <v>18</v>
      </c>
      <c r="AM220" s="3"/>
    </row>
    <row r="221" spans="1:39" x14ac:dyDescent="0.3">
      <c r="A221" s="5" t="str">
        <f t="shared" si="44"/>
        <v>BBD130</v>
      </c>
      <c r="B221" s="1" t="s">
        <v>1756</v>
      </c>
      <c r="C221" s="2" t="str">
        <f t="shared" si="40"/>
        <v>DIO1</v>
      </c>
      <c r="D221" s="2">
        <v>130</v>
      </c>
      <c r="E221" s="3">
        <f t="shared" si="41"/>
        <v>2</v>
      </c>
      <c r="F221" s="3">
        <f t="shared" si="42"/>
        <v>4</v>
      </c>
      <c r="G221" s="3">
        <v>0</v>
      </c>
      <c r="H221" s="60">
        <f t="shared" si="47"/>
        <v>3</v>
      </c>
      <c r="I221" s="54">
        <f t="shared" si="45"/>
        <v>25</v>
      </c>
      <c r="J221" s="61"/>
      <c r="K221" s="30"/>
      <c r="L221" s="1" t="s">
        <v>21</v>
      </c>
      <c r="M221" s="2"/>
      <c r="N221" s="2"/>
      <c r="R221" s="1" t="s">
        <v>302</v>
      </c>
      <c r="S221" s="24"/>
      <c r="V221" s="1" t="str">
        <f t="shared" si="43"/>
        <v>2.4\0.3:25</v>
      </c>
      <c r="Z221" s="206" t="s">
        <v>1062</v>
      </c>
      <c r="AG221" s="3" t="s">
        <v>612</v>
      </c>
      <c r="AH221" s="3">
        <v>19</v>
      </c>
      <c r="AI221" s="3">
        <v>20</v>
      </c>
      <c r="AM221" s="3"/>
    </row>
    <row r="222" spans="1:39" x14ac:dyDescent="0.3">
      <c r="A222" s="5" t="str">
        <f t="shared" si="44"/>
        <v>BBD130</v>
      </c>
      <c r="B222" s="1" t="s">
        <v>1756</v>
      </c>
      <c r="C222" s="2" t="str">
        <f t="shared" si="40"/>
        <v>DIO1</v>
      </c>
      <c r="D222" s="2">
        <v>130</v>
      </c>
      <c r="E222" s="3">
        <f t="shared" si="41"/>
        <v>2</v>
      </c>
      <c r="F222" s="3">
        <f t="shared" si="42"/>
        <v>4</v>
      </c>
      <c r="G222" s="3">
        <v>0</v>
      </c>
      <c r="H222" s="60">
        <f t="shared" si="47"/>
        <v>3</v>
      </c>
      <c r="I222" s="54">
        <f t="shared" si="45"/>
        <v>26</v>
      </c>
      <c r="J222" s="61"/>
      <c r="K222" s="30"/>
      <c r="L222" s="1" t="s">
        <v>21</v>
      </c>
      <c r="M222" s="2"/>
      <c r="N222" s="2"/>
      <c r="R222" s="1" t="s">
        <v>302</v>
      </c>
      <c r="S222" s="24"/>
      <c r="V222" s="1" t="str">
        <f t="shared" si="43"/>
        <v>2.4\0.3:26</v>
      </c>
      <c r="Z222" s="206" t="s">
        <v>1062</v>
      </c>
      <c r="AG222" s="3" t="s">
        <v>612</v>
      </c>
      <c r="AH222" s="3">
        <v>21</v>
      </c>
      <c r="AI222" s="3">
        <v>22</v>
      </c>
      <c r="AM222" s="3"/>
    </row>
    <row r="223" spans="1:39" x14ac:dyDescent="0.3">
      <c r="A223" s="5" t="str">
        <f t="shared" si="44"/>
        <v>BBD130</v>
      </c>
      <c r="B223" s="1" t="s">
        <v>1756</v>
      </c>
      <c r="C223" s="2" t="str">
        <f t="shared" si="40"/>
        <v>DIO1</v>
      </c>
      <c r="D223" s="2">
        <v>130</v>
      </c>
      <c r="E223" s="3">
        <f t="shared" si="41"/>
        <v>2</v>
      </c>
      <c r="F223" s="3">
        <f t="shared" si="42"/>
        <v>4</v>
      </c>
      <c r="G223" s="3">
        <v>0</v>
      </c>
      <c r="H223" s="60">
        <f t="shared" si="47"/>
        <v>3</v>
      </c>
      <c r="I223" s="54">
        <f t="shared" si="45"/>
        <v>27</v>
      </c>
      <c r="J223" s="61"/>
      <c r="K223" s="30"/>
      <c r="L223" s="1" t="s">
        <v>21</v>
      </c>
      <c r="M223" s="2"/>
      <c r="N223" s="2"/>
      <c r="R223" s="1" t="s">
        <v>302</v>
      </c>
      <c r="S223" s="24"/>
      <c r="V223" s="1" t="str">
        <f t="shared" si="43"/>
        <v>2.4\0.3:27</v>
      </c>
      <c r="Z223" s="206" t="s">
        <v>1062</v>
      </c>
      <c r="AG223" s="3" t="s">
        <v>612</v>
      </c>
      <c r="AH223" s="3">
        <v>23</v>
      </c>
      <c r="AI223" s="3">
        <v>24</v>
      </c>
      <c r="AM223" s="3"/>
    </row>
    <row r="224" spans="1:39" x14ac:dyDescent="0.3">
      <c r="A224" s="5" t="str">
        <f t="shared" si="44"/>
        <v>BBD130</v>
      </c>
      <c r="B224" s="1" t="s">
        <v>1756</v>
      </c>
      <c r="C224" s="2" t="str">
        <f t="shared" si="40"/>
        <v>DIO1</v>
      </c>
      <c r="D224" s="2">
        <v>130</v>
      </c>
      <c r="E224" s="3">
        <f t="shared" si="41"/>
        <v>2</v>
      </c>
      <c r="F224" s="3">
        <f t="shared" si="42"/>
        <v>4</v>
      </c>
      <c r="G224" s="3">
        <v>0</v>
      </c>
      <c r="H224" s="60">
        <f t="shared" si="47"/>
        <v>3</v>
      </c>
      <c r="I224" s="54">
        <f t="shared" si="45"/>
        <v>28</v>
      </c>
      <c r="J224" s="61"/>
      <c r="K224" s="30"/>
      <c r="L224" s="1" t="s">
        <v>21</v>
      </c>
      <c r="M224" s="2"/>
      <c r="N224" s="2"/>
      <c r="R224" s="1" t="s">
        <v>302</v>
      </c>
      <c r="S224" s="24"/>
      <c r="V224" s="1" t="str">
        <f t="shared" si="43"/>
        <v>2.4\0.3:28</v>
      </c>
      <c r="Z224" s="206" t="s">
        <v>1062</v>
      </c>
      <c r="AG224" s="3" t="s">
        <v>612</v>
      </c>
      <c r="AH224" s="3">
        <v>25</v>
      </c>
      <c r="AI224" s="3">
        <v>26</v>
      </c>
      <c r="AM224" s="3"/>
    </row>
    <row r="225" spans="1:39" x14ac:dyDescent="0.3">
      <c r="A225" s="5" t="str">
        <f t="shared" si="44"/>
        <v>BBD130</v>
      </c>
      <c r="B225" s="1" t="s">
        <v>1756</v>
      </c>
      <c r="C225" s="2" t="str">
        <f t="shared" si="40"/>
        <v>DIO1</v>
      </c>
      <c r="D225" s="2">
        <v>130</v>
      </c>
      <c r="E225" s="3">
        <f t="shared" si="41"/>
        <v>2</v>
      </c>
      <c r="F225" s="3">
        <f t="shared" si="42"/>
        <v>4</v>
      </c>
      <c r="G225" s="3">
        <v>0</v>
      </c>
      <c r="H225" s="60">
        <f t="shared" si="47"/>
        <v>3</v>
      </c>
      <c r="I225" s="54">
        <f t="shared" si="45"/>
        <v>29</v>
      </c>
      <c r="J225" s="61"/>
      <c r="K225" s="30"/>
      <c r="L225" s="1" t="s">
        <v>21</v>
      </c>
      <c r="M225" s="2"/>
      <c r="N225" s="2"/>
      <c r="R225" s="1" t="s">
        <v>302</v>
      </c>
      <c r="S225" s="24"/>
      <c r="V225" s="1" t="str">
        <f t="shared" si="43"/>
        <v>2.4\0.3:29</v>
      </c>
      <c r="Z225" s="206" t="s">
        <v>1062</v>
      </c>
      <c r="AG225" s="3" t="s">
        <v>612</v>
      </c>
      <c r="AH225" s="3">
        <v>27</v>
      </c>
      <c r="AI225" s="3">
        <v>28</v>
      </c>
      <c r="AM225" s="3"/>
    </row>
    <row r="226" spans="1:39" x14ac:dyDescent="0.3">
      <c r="A226" s="5" t="str">
        <f t="shared" si="44"/>
        <v>BBD130</v>
      </c>
      <c r="B226" s="1" t="s">
        <v>1756</v>
      </c>
      <c r="C226" s="2" t="str">
        <f t="shared" si="40"/>
        <v>DIO1</v>
      </c>
      <c r="D226" s="2">
        <v>130</v>
      </c>
      <c r="E226" s="3">
        <f t="shared" si="41"/>
        <v>2</v>
      </c>
      <c r="F226" s="3">
        <f t="shared" si="42"/>
        <v>4</v>
      </c>
      <c r="G226" s="3">
        <v>0</v>
      </c>
      <c r="H226" s="60">
        <f t="shared" si="47"/>
        <v>3</v>
      </c>
      <c r="I226" s="54">
        <f t="shared" si="45"/>
        <v>30</v>
      </c>
      <c r="J226" s="61"/>
      <c r="K226" s="30"/>
      <c r="L226" s="1" t="s">
        <v>21</v>
      </c>
      <c r="M226" s="2"/>
      <c r="N226" s="2"/>
      <c r="R226" s="1" t="s">
        <v>302</v>
      </c>
      <c r="S226" s="24"/>
      <c r="T226" s="24"/>
      <c r="V226" s="1" t="str">
        <f t="shared" si="43"/>
        <v>2.4\0.3:30</v>
      </c>
      <c r="Z226" s="206" t="s">
        <v>1062</v>
      </c>
      <c r="AG226" s="3" t="s">
        <v>612</v>
      </c>
      <c r="AH226" s="3">
        <v>29</v>
      </c>
      <c r="AI226" s="3">
        <v>30</v>
      </c>
      <c r="AM226" s="3"/>
    </row>
    <row r="227" spans="1:39" ht="13.5" thickBot="1" x14ac:dyDescent="0.35">
      <c r="A227" s="5" t="str">
        <f t="shared" si="44"/>
        <v>BBD130</v>
      </c>
      <c r="B227" s="1" t="s">
        <v>1756</v>
      </c>
      <c r="C227" s="2" t="str">
        <f t="shared" si="40"/>
        <v>DIO1</v>
      </c>
      <c r="D227" s="2">
        <v>130</v>
      </c>
      <c r="E227" s="3">
        <f t="shared" si="41"/>
        <v>2</v>
      </c>
      <c r="F227" s="3">
        <f t="shared" si="42"/>
        <v>4</v>
      </c>
      <c r="G227" s="3">
        <v>0</v>
      </c>
      <c r="H227" s="60">
        <f t="shared" si="47"/>
        <v>3</v>
      </c>
      <c r="I227" s="59">
        <f t="shared" si="45"/>
        <v>31</v>
      </c>
      <c r="J227" s="58"/>
      <c r="K227" s="30"/>
      <c r="L227" s="1" t="s">
        <v>21</v>
      </c>
      <c r="M227" s="2"/>
      <c r="N227" s="2"/>
      <c r="Q227" s="1" t="s">
        <v>302</v>
      </c>
      <c r="R227" s="24" t="s">
        <v>302</v>
      </c>
      <c r="S227" s="24"/>
      <c r="T227" s="24"/>
      <c r="V227" s="1" t="str">
        <f t="shared" si="43"/>
        <v>2.4\0.3:31</v>
      </c>
      <c r="Z227" s="206" t="s">
        <v>1062</v>
      </c>
      <c r="AG227" s="3" t="s">
        <v>612</v>
      </c>
      <c r="AH227" s="3">
        <v>31</v>
      </c>
      <c r="AI227" s="3">
        <v>32</v>
      </c>
      <c r="AM227" s="3"/>
    </row>
    <row r="228" spans="1:39" x14ac:dyDescent="0.3">
      <c r="A228" s="76" t="s">
        <v>1471</v>
      </c>
      <c r="B228" s="1" t="s">
        <v>1756</v>
      </c>
      <c r="C228" s="2" t="str">
        <f>+C195</f>
        <v>DIO1</v>
      </c>
      <c r="D228" s="2">
        <v>130</v>
      </c>
      <c r="E228" s="3">
        <f>+E195</f>
        <v>2</v>
      </c>
      <c r="F228" s="3">
        <f>+F195</f>
        <v>4</v>
      </c>
      <c r="G228" s="3">
        <v>0</v>
      </c>
      <c r="H228" s="62">
        <v>4</v>
      </c>
      <c r="I228" s="56">
        <v>0</v>
      </c>
      <c r="J228" s="79" t="s">
        <v>549</v>
      </c>
      <c r="K228" s="2" t="s">
        <v>548</v>
      </c>
      <c r="L228" s="30" t="s">
        <v>42</v>
      </c>
      <c r="M228" s="2">
        <v>5</v>
      </c>
      <c r="N228" s="1" t="s">
        <v>1814</v>
      </c>
      <c r="O228" s="1" t="s">
        <v>282</v>
      </c>
      <c r="P228" s="1" t="s">
        <v>1743</v>
      </c>
      <c r="Q228" s="1" t="s">
        <v>1813</v>
      </c>
      <c r="T228" s="1" t="s">
        <v>513</v>
      </c>
      <c r="V228" s="1" t="str">
        <f t="shared" ref="V228:V259" si="48">+CONCATENATE(E228,".",F228,"\",G228,".",H228,":",I228)</f>
        <v>2.4\0.4:0</v>
      </c>
      <c r="W228" s="1" t="s">
        <v>1757</v>
      </c>
      <c r="X228" s="18">
        <v>0</v>
      </c>
      <c r="Z228" s="206" t="s">
        <v>1062</v>
      </c>
      <c r="AG228" s="3" t="s">
        <v>588</v>
      </c>
      <c r="AH228" s="3">
        <v>1</v>
      </c>
      <c r="AI228" s="3">
        <v>2</v>
      </c>
      <c r="AM228" s="3"/>
    </row>
    <row r="229" spans="1:39" x14ac:dyDescent="0.3">
      <c r="A229" s="5" t="str">
        <f t="shared" ref="A229:A243" si="49">A228</f>
        <v>BBD130</v>
      </c>
      <c r="B229" s="1" t="s">
        <v>1756</v>
      </c>
      <c r="C229" s="2" t="str">
        <f t="shared" ref="C229:C243" si="50">+C228</f>
        <v>DIO1</v>
      </c>
      <c r="D229" s="2">
        <v>130</v>
      </c>
      <c r="E229" s="3">
        <f t="shared" ref="E229:E243" si="51">+E228</f>
        <v>2</v>
      </c>
      <c r="F229" s="3">
        <f t="shared" ref="F229:F243" si="52">+F228</f>
        <v>4</v>
      </c>
      <c r="G229" s="3">
        <v>0</v>
      </c>
      <c r="H229" s="60">
        <f>H228</f>
        <v>4</v>
      </c>
      <c r="I229" s="54">
        <f t="shared" ref="I229:I243" si="53">+I228+1</f>
        <v>1</v>
      </c>
      <c r="J229" s="78"/>
      <c r="K229" s="30"/>
      <c r="L229" s="30" t="s">
        <v>42</v>
      </c>
      <c r="M229" s="2">
        <v>5</v>
      </c>
      <c r="N229" s="1" t="s">
        <v>513</v>
      </c>
      <c r="O229" s="1" t="s">
        <v>52</v>
      </c>
      <c r="P229" s="1" t="s">
        <v>1743</v>
      </c>
      <c r="Q229" s="1" t="s">
        <v>1812</v>
      </c>
      <c r="T229" s="1" t="s">
        <v>513</v>
      </c>
      <c r="V229" s="1" t="str">
        <f t="shared" si="48"/>
        <v>2.4\0.4:1</v>
      </c>
      <c r="W229" s="1" t="s">
        <v>1757</v>
      </c>
      <c r="X229" s="18">
        <v>0</v>
      </c>
      <c r="Z229" s="206" t="s">
        <v>1062</v>
      </c>
      <c r="AG229" s="3" t="s">
        <v>588</v>
      </c>
      <c r="AH229" s="3">
        <v>3</v>
      </c>
      <c r="AI229" s="3">
        <v>4</v>
      </c>
      <c r="AM229" s="3"/>
    </row>
    <row r="230" spans="1:39" x14ac:dyDescent="0.3">
      <c r="A230" s="5" t="str">
        <f t="shared" si="49"/>
        <v>BBD130</v>
      </c>
      <c r="B230" s="1" t="s">
        <v>1756</v>
      </c>
      <c r="C230" s="2" t="str">
        <f t="shared" si="50"/>
        <v>DIO1</v>
      </c>
      <c r="D230" s="2">
        <v>130</v>
      </c>
      <c r="E230" s="3">
        <f t="shared" si="51"/>
        <v>2</v>
      </c>
      <c r="F230" s="3">
        <f t="shared" si="52"/>
        <v>4</v>
      </c>
      <c r="G230" s="3">
        <v>0</v>
      </c>
      <c r="H230" s="55">
        <f t="shared" ref="H230:H243" si="54">+H229</f>
        <v>4</v>
      </c>
      <c r="I230" s="54">
        <f t="shared" si="53"/>
        <v>2</v>
      </c>
      <c r="J230" s="78"/>
      <c r="K230" s="27"/>
      <c r="L230" s="30" t="s">
        <v>42</v>
      </c>
      <c r="M230" s="2">
        <v>5</v>
      </c>
      <c r="N230" s="1" t="s">
        <v>513</v>
      </c>
      <c r="O230" s="1" t="s">
        <v>82</v>
      </c>
      <c r="P230" s="1" t="s">
        <v>1743</v>
      </c>
      <c r="Q230" s="1" t="s">
        <v>1811</v>
      </c>
      <c r="T230" s="1" t="s">
        <v>513</v>
      </c>
      <c r="V230" s="1" t="str">
        <f t="shared" si="48"/>
        <v>2.4\0.4:2</v>
      </c>
      <c r="W230" s="1" t="s">
        <v>1757</v>
      </c>
      <c r="X230" s="18">
        <v>0</v>
      </c>
      <c r="Z230" s="206" t="s">
        <v>1062</v>
      </c>
      <c r="AG230" s="3" t="s">
        <v>588</v>
      </c>
      <c r="AH230" s="3">
        <v>5</v>
      </c>
      <c r="AI230" s="3">
        <v>6</v>
      </c>
      <c r="AM230" s="3"/>
    </row>
    <row r="231" spans="1:39" x14ac:dyDescent="0.3">
      <c r="A231" s="5" t="str">
        <f t="shared" si="49"/>
        <v>BBD130</v>
      </c>
      <c r="B231" s="1" t="s">
        <v>1756</v>
      </c>
      <c r="C231" s="2" t="str">
        <f t="shared" si="50"/>
        <v>DIO1</v>
      </c>
      <c r="D231" s="2">
        <v>130</v>
      </c>
      <c r="E231" s="3">
        <f t="shared" si="51"/>
        <v>2</v>
      </c>
      <c r="F231" s="3">
        <f t="shared" si="52"/>
        <v>4</v>
      </c>
      <c r="G231" s="3">
        <v>0</v>
      </c>
      <c r="H231" s="55">
        <f t="shared" si="54"/>
        <v>4</v>
      </c>
      <c r="I231" s="54">
        <f t="shared" si="53"/>
        <v>3</v>
      </c>
      <c r="J231" s="78"/>
      <c r="K231" s="27"/>
      <c r="L231" s="30" t="s">
        <v>42</v>
      </c>
      <c r="M231" s="2">
        <v>5</v>
      </c>
      <c r="N231" s="1" t="s">
        <v>513</v>
      </c>
      <c r="O231" s="1" t="s">
        <v>1810</v>
      </c>
      <c r="P231" s="1" t="s">
        <v>1743</v>
      </c>
      <c r="Q231" s="1" t="s">
        <v>1809</v>
      </c>
      <c r="T231" s="1" t="s">
        <v>513</v>
      </c>
      <c r="V231" s="1" t="str">
        <f t="shared" si="48"/>
        <v>2.4\0.4:3</v>
      </c>
      <c r="W231" s="1" t="s">
        <v>1757</v>
      </c>
      <c r="X231" s="18">
        <v>0</v>
      </c>
      <c r="Z231" s="206" t="s">
        <v>1062</v>
      </c>
      <c r="AG231" s="3" t="s">
        <v>588</v>
      </c>
      <c r="AH231" s="3">
        <v>7</v>
      </c>
      <c r="AI231" s="3">
        <v>8</v>
      </c>
      <c r="AM231" s="3"/>
    </row>
    <row r="232" spans="1:39" x14ac:dyDescent="0.3">
      <c r="A232" s="5" t="str">
        <f t="shared" si="49"/>
        <v>BBD130</v>
      </c>
      <c r="B232" s="1" t="s">
        <v>1756</v>
      </c>
      <c r="C232" s="2" t="str">
        <f t="shared" si="50"/>
        <v>DIO1</v>
      </c>
      <c r="D232" s="2">
        <v>130</v>
      </c>
      <c r="E232" s="3">
        <f t="shared" si="51"/>
        <v>2</v>
      </c>
      <c r="F232" s="3">
        <f t="shared" si="52"/>
        <v>4</v>
      </c>
      <c r="G232" s="3">
        <v>0</v>
      </c>
      <c r="H232" s="55">
        <f t="shared" si="54"/>
        <v>4</v>
      </c>
      <c r="I232" s="54">
        <f t="shared" si="53"/>
        <v>4</v>
      </c>
      <c r="J232" s="78"/>
      <c r="K232" s="27"/>
      <c r="L232" s="30" t="s">
        <v>42</v>
      </c>
      <c r="M232" s="2"/>
      <c r="V232" s="1" t="str">
        <f t="shared" si="48"/>
        <v>2.4\0.4:4</v>
      </c>
      <c r="Z232" s="206" t="s">
        <v>1062</v>
      </c>
      <c r="AG232" s="3" t="s">
        <v>588</v>
      </c>
      <c r="AH232" s="3">
        <v>9</v>
      </c>
      <c r="AI232" s="3">
        <v>10</v>
      </c>
      <c r="AM232" s="3"/>
    </row>
    <row r="233" spans="1:39" x14ac:dyDescent="0.3">
      <c r="A233" s="5" t="str">
        <f t="shared" si="49"/>
        <v>BBD130</v>
      </c>
      <c r="B233" s="1" t="s">
        <v>1756</v>
      </c>
      <c r="C233" s="2" t="str">
        <f t="shared" si="50"/>
        <v>DIO1</v>
      </c>
      <c r="D233" s="2">
        <v>130</v>
      </c>
      <c r="E233" s="3">
        <f t="shared" si="51"/>
        <v>2</v>
      </c>
      <c r="F233" s="3">
        <f t="shared" si="52"/>
        <v>4</v>
      </c>
      <c r="G233" s="3">
        <v>0</v>
      </c>
      <c r="H233" s="55">
        <f t="shared" si="54"/>
        <v>4</v>
      </c>
      <c r="I233" s="54">
        <f t="shared" si="53"/>
        <v>5</v>
      </c>
      <c r="J233" s="78"/>
      <c r="K233" s="27"/>
      <c r="L233" s="30" t="s">
        <v>42</v>
      </c>
      <c r="M233" s="2"/>
      <c r="V233" s="1" t="str">
        <f t="shared" si="48"/>
        <v>2.4\0.4:5</v>
      </c>
      <c r="Z233" s="206" t="s">
        <v>1062</v>
      </c>
      <c r="AG233" s="3" t="s">
        <v>588</v>
      </c>
      <c r="AH233" s="3">
        <v>11</v>
      </c>
      <c r="AI233" s="3">
        <v>12</v>
      </c>
      <c r="AM233" s="3"/>
    </row>
    <row r="234" spans="1:39" x14ac:dyDescent="0.3">
      <c r="A234" s="5" t="str">
        <f t="shared" si="49"/>
        <v>BBD130</v>
      </c>
      <c r="B234" s="1" t="s">
        <v>1756</v>
      </c>
      <c r="C234" s="2" t="str">
        <f t="shared" si="50"/>
        <v>DIO1</v>
      </c>
      <c r="D234" s="2">
        <v>130</v>
      </c>
      <c r="E234" s="3">
        <f t="shared" si="51"/>
        <v>2</v>
      </c>
      <c r="F234" s="3">
        <f t="shared" si="52"/>
        <v>4</v>
      </c>
      <c r="G234" s="3">
        <v>0</v>
      </c>
      <c r="H234" s="55">
        <f t="shared" si="54"/>
        <v>4</v>
      </c>
      <c r="I234" s="54">
        <f t="shared" si="53"/>
        <v>6</v>
      </c>
      <c r="J234" s="78"/>
      <c r="K234" s="27"/>
      <c r="L234" s="30" t="s">
        <v>42</v>
      </c>
      <c r="M234" s="2"/>
      <c r="V234" s="1" t="str">
        <f t="shared" si="48"/>
        <v>2.4\0.4:6</v>
      </c>
      <c r="Z234" s="206" t="s">
        <v>1062</v>
      </c>
      <c r="AG234" s="3" t="s">
        <v>588</v>
      </c>
      <c r="AH234" s="3">
        <v>13</v>
      </c>
      <c r="AI234" s="3">
        <v>14</v>
      </c>
      <c r="AM234" s="3"/>
    </row>
    <row r="235" spans="1:39" x14ac:dyDescent="0.3">
      <c r="A235" s="5" t="str">
        <f t="shared" si="49"/>
        <v>BBD130</v>
      </c>
      <c r="B235" s="1" t="s">
        <v>1756</v>
      </c>
      <c r="C235" s="2" t="str">
        <f t="shared" si="50"/>
        <v>DIO1</v>
      </c>
      <c r="D235" s="2">
        <v>130</v>
      </c>
      <c r="E235" s="3">
        <f t="shared" si="51"/>
        <v>2</v>
      </c>
      <c r="F235" s="3">
        <f t="shared" si="52"/>
        <v>4</v>
      </c>
      <c r="G235" s="3">
        <v>0</v>
      </c>
      <c r="H235" s="55">
        <f t="shared" si="54"/>
        <v>4</v>
      </c>
      <c r="I235" s="54">
        <f t="shared" si="53"/>
        <v>7</v>
      </c>
      <c r="J235" s="78"/>
      <c r="K235" s="27"/>
      <c r="L235" s="30" t="s">
        <v>42</v>
      </c>
      <c r="M235" s="2"/>
      <c r="V235" s="1" t="str">
        <f t="shared" si="48"/>
        <v>2.4\0.4:7</v>
      </c>
      <c r="Z235" s="206" t="s">
        <v>1062</v>
      </c>
      <c r="AG235" s="3" t="s">
        <v>588</v>
      </c>
      <c r="AH235" s="3">
        <v>15</v>
      </c>
      <c r="AI235" s="3">
        <v>16</v>
      </c>
      <c r="AM235" s="3"/>
    </row>
    <row r="236" spans="1:39" x14ac:dyDescent="0.3">
      <c r="A236" s="5" t="str">
        <f t="shared" si="49"/>
        <v>BBD130</v>
      </c>
      <c r="B236" s="1" t="s">
        <v>1756</v>
      </c>
      <c r="C236" s="2" t="str">
        <f t="shared" si="50"/>
        <v>DIO1</v>
      </c>
      <c r="D236" s="2">
        <v>130</v>
      </c>
      <c r="E236" s="3">
        <f t="shared" si="51"/>
        <v>2</v>
      </c>
      <c r="F236" s="3">
        <f t="shared" si="52"/>
        <v>4</v>
      </c>
      <c r="G236" s="3">
        <v>0</v>
      </c>
      <c r="H236" s="55">
        <f t="shared" si="54"/>
        <v>4</v>
      </c>
      <c r="I236" s="54">
        <f t="shared" si="53"/>
        <v>8</v>
      </c>
      <c r="J236" s="78"/>
      <c r="K236" s="27"/>
      <c r="L236" s="30" t="s">
        <v>42</v>
      </c>
      <c r="M236" s="2"/>
      <c r="V236" s="1" t="str">
        <f t="shared" si="48"/>
        <v>2.4\0.4:8</v>
      </c>
      <c r="Y236" s="7"/>
      <c r="Z236" s="206" t="s">
        <v>1062</v>
      </c>
      <c r="AA236" s="206"/>
      <c r="AG236" s="3" t="s">
        <v>588</v>
      </c>
      <c r="AH236" s="3">
        <v>17</v>
      </c>
      <c r="AI236" s="3">
        <v>18</v>
      </c>
      <c r="AM236" s="3"/>
    </row>
    <row r="237" spans="1:39" x14ac:dyDescent="0.3">
      <c r="A237" s="5" t="str">
        <f t="shared" si="49"/>
        <v>BBD130</v>
      </c>
      <c r="B237" s="1" t="s">
        <v>1756</v>
      </c>
      <c r="C237" s="2" t="str">
        <f t="shared" si="50"/>
        <v>DIO1</v>
      </c>
      <c r="D237" s="2">
        <v>130</v>
      </c>
      <c r="E237" s="3">
        <f t="shared" si="51"/>
        <v>2</v>
      </c>
      <c r="F237" s="3">
        <f t="shared" si="52"/>
        <v>4</v>
      </c>
      <c r="G237" s="3">
        <v>0</v>
      </c>
      <c r="H237" s="55">
        <f t="shared" si="54"/>
        <v>4</v>
      </c>
      <c r="I237" s="54">
        <f t="shared" si="53"/>
        <v>9</v>
      </c>
      <c r="J237" s="78"/>
      <c r="K237" s="27"/>
      <c r="L237" s="30" t="s">
        <v>42</v>
      </c>
      <c r="M237" s="2"/>
      <c r="V237" s="1" t="str">
        <f t="shared" si="48"/>
        <v>2.4\0.4:9</v>
      </c>
      <c r="Y237" s="7"/>
      <c r="Z237" s="206" t="s">
        <v>1062</v>
      </c>
      <c r="AA237" s="206"/>
      <c r="AG237" s="3" t="s">
        <v>588</v>
      </c>
      <c r="AH237" s="3">
        <v>19</v>
      </c>
      <c r="AI237" s="3">
        <v>20</v>
      </c>
      <c r="AM237" s="3"/>
    </row>
    <row r="238" spans="1:39" x14ac:dyDescent="0.3">
      <c r="A238" s="5" t="str">
        <f t="shared" si="49"/>
        <v>BBD130</v>
      </c>
      <c r="B238" s="1" t="s">
        <v>1756</v>
      </c>
      <c r="C238" s="2" t="str">
        <f t="shared" si="50"/>
        <v>DIO1</v>
      </c>
      <c r="D238" s="2">
        <v>130</v>
      </c>
      <c r="E238" s="3">
        <f t="shared" si="51"/>
        <v>2</v>
      </c>
      <c r="F238" s="3">
        <f t="shared" si="52"/>
        <v>4</v>
      </c>
      <c r="G238" s="3">
        <v>0</v>
      </c>
      <c r="H238" s="55">
        <f t="shared" si="54"/>
        <v>4</v>
      </c>
      <c r="I238" s="54">
        <f t="shared" si="53"/>
        <v>10</v>
      </c>
      <c r="J238" s="78"/>
      <c r="K238" s="27"/>
      <c r="L238" s="30" t="s">
        <v>42</v>
      </c>
      <c r="M238" s="2"/>
      <c r="R238" s="24"/>
      <c r="S238" s="24"/>
      <c r="V238" s="1" t="str">
        <f t="shared" si="48"/>
        <v>2.4\0.4:10</v>
      </c>
      <c r="Z238" s="206" t="s">
        <v>1062</v>
      </c>
      <c r="AG238" s="3" t="s">
        <v>588</v>
      </c>
      <c r="AH238" s="3">
        <v>21</v>
      </c>
      <c r="AI238" s="3">
        <v>22</v>
      </c>
      <c r="AM238" s="3"/>
    </row>
    <row r="239" spans="1:39" x14ac:dyDescent="0.3">
      <c r="A239" s="5" t="str">
        <f t="shared" si="49"/>
        <v>BBD130</v>
      </c>
      <c r="B239" s="1" t="s">
        <v>1756</v>
      </c>
      <c r="C239" s="2" t="str">
        <f t="shared" si="50"/>
        <v>DIO1</v>
      </c>
      <c r="D239" s="2">
        <v>130</v>
      </c>
      <c r="E239" s="3">
        <f t="shared" si="51"/>
        <v>2</v>
      </c>
      <c r="F239" s="3">
        <f t="shared" si="52"/>
        <v>4</v>
      </c>
      <c r="G239" s="3">
        <v>0</v>
      </c>
      <c r="H239" s="55">
        <f t="shared" si="54"/>
        <v>4</v>
      </c>
      <c r="I239" s="54">
        <f t="shared" si="53"/>
        <v>11</v>
      </c>
      <c r="J239" s="78"/>
      <c r="K239" s="27"/>
      <c r="L239" s="30" t="s">
        <v>42</v>
      </c>
      <c r="M239" s="2"/>
      <c r="R239" s="24"/>
      <c r="S239" s="24"/>
      <c r="V239" s="1" t="str">
        <f t="shared" si="48"/>
        <v>2.4\0.4:11</v>
      </c>
      <c r="Z239" s="206" t="s">
        <v>1062</v>
      </c>
      <c r="AG239" s="3" t="s">
        <v>588</v>
      </c>
      <c r="AH239" s="3">
        <v>23</v>
      </c>
      <c r="AI239" s="3">
        <v>24</v>
      </c>
      <c r="AM239" s="3"/>
    </row>
    <row r="240" spans="1:39" x14ac:dyDescent="0.3">
      <c r="A240" s="5" t="str">
        <f t="shared" si="49"/>
        <v>BBD130</v>
      </c>
      <c r="B240" s="1" t="s">
        <v>1756</v>
      </c>
      <c r="C240" s="2" t="str">
        <f t="shared" si="50"/>
        <v>DIO1</v>
      </c>
      <c r="D240" s="2">
        <v>130</v>
      </c>
      <c r="E240" s="3">
        <f t="shared" si="51"/>
        <v>2</v>
      </c>
      <c r="F240" s="3">
        <f t="shared" si="52"/>
        <v>4</v>
      </c>
      <c r="G240" s="3">
        <v>0</v>
      </c>
      <c r="H240" s="55">
        <f t="shared" si="54"/>
        <v>4</v>
      </c>
      <c r="I240" s="54">
        <f t="shared" si="53"/>
        <v>12</v>
      </c>
      <c r="J240" s="78"/>
      <c r="K240" s="27"/>
      <c r="L240" s="30" t="s">
        <v>42</v>
      </c>
      <c r="M240" s="2"/>
      <c r="R240" s="24"/>
      <c r="S240" s="24"/>
      <c r="V240" s="1" t="str">
        <f t="shared" si="48"/>
        <v>2.4\0.4:12</v>
      </c>
      <c r="Z240" s="206" t="s">
        <v>1062</v>
      </c>
      <c r="AG240" s="3" t="s">
        <v>588</v>
      </c>
      <c r="AH240" s="3">
        <v>25</v>
      </c>
      <c r="AI240" s="3">
        <v>26</v>
      </c>
      <c r="AM240" s="3"/>
    </row>
    <row r="241" spans="1:39" x14ac:dyDescent="0.3">
      <c r="A241" s="5" t="str">
        <f t="shared" si="49"/>
        <v>BBD130</v>
      </c>
      <c r="B241" s="1" t="s">
        <v>1756</v>
      </c>
      <c r="C241" s="2" t="str">
        <f t="shared" si="50"/>
        <v>DIO1</v>
      </c>
      <c r="D241" s="2">
        <v>130</v>
      </c>
      <c r="E241" s="3">
        <f t="shared" si="51"/>
        <v>2</v>
      </c>
      <c r="F241" s="3">
        <f t="shared" si="52"/>
        <v>4</v>
      </c>
      <c r="G241" s="3">
        <v>0</v>
      </c>
      <c r="H241" s="55">
        <f t="shared" si="54"/>
        <v>4</v>
      </c>
      <c r="I241" s="54">
        <f t="shared" si="53"/>
        <v>13</v>
      </c>
      <c r="J241" s="78"/>
      <c r="K241" s="27"/>
      <c r="L241" s="30" t="s">
        <v>42</v>
      </c>
      <c r="M241" s="2"/>
      <c r="R241" s="24"/>
      <c r="S241" s="24"/>
      <c r="V241" s="1" t="str">
        <f t="shared" si="48"/>
        <v>2.4\0.4:13</v>
      </c>
      <c r="Z241" s="206" t="s">
        <v>1062</v>
      </c>
      <c r="AG241" s="3" t="s">
        <v>588</v>
      </c>
      <c r="AH241" s="3">
        <v>27</v>
      </c>
      <c r="AI241" s="3">
        <v>28</v>
      </c>
      <c r="AM241" s="3"/>
    </row>
    <row r="242" spans="1:39" x14ac:dyDescent="0.3">
      <c r="A242" s="5" t="str">
        <f t="shared" si="49"/>
        <v>BBD130</v>
      </c>
      <c r="B242" s="1" t="s">
        <v>1756</v>
      </c>
      <c r="C242" s="2" t="str">
        <f t="shared" si="50"/>
        <v>DIO1</v>
      </c>
      <c r="D242" s="2">
        <v>130</v>
      </c>
      <c r="E242" s="3">
        <f t="shared" si="51"/>
        <v>2</v>
      </c>
      <c r="F242" s="3">
        <f t="shared" si="52"/>
        <v>4</v>
      </c>
      <c r="G242" s="3">
        <v>0</v>
      </c>
      <c r="H242" s="55">
        <f t="shared" si="54"/>
        <v>4</v>
      </c>
      <c r="I242" s="54">
        <f t="shared" si="53"/>
        <v>14</v>
      </c>
      <c r="J242" s="78"/>
      <c r="K242" s="27"/>
      <c r="L242" s="30" t="s">
        <v>42</v>
      </c>
      <c r="M242" s="2">
        <v>5</v>
      </c>
      <c r="N242" s="1" t="s">
        <v>1808</v>
      </c>
      <c r="O242" s="1" t="s">
        <v>1265</v>
      </c>
      <c r="P242" s="1" t="s">
        <v>1747</v>
      </c>
      <c r="Q242" s="1" t="s">
        <v>1497</v>
      </c>
      <c r="T242" s="1" t="s">
        <v>526</v>
      </c>
      <c r="V242" s="1" t="str">
        <f t="shared" si="48"/>
        <v>2.4\0.4:14</v>
      </c>
      <c r="W242" s="1" t="s">
        <v>1757</v>
      </c>
      <c r="X242" s="18">
        <v>0</v>
      </c>
      <c r="Z242" s="206" t="s">
        <v>1062</v>
      </c>
      <c r="AG242" s="3" t="s">
        <v>588</v>
      </c>
      <c r="AH242" s="3">
        <v>29</v>
      </c>
      <c r="AI242" s="3">
        <v>30</v>
      </c>
      <c r="AM242" s="3"/>
    </row>
    <row r="243" spans="1:39" ht="13.5" thickBot="1" x14ac:dyDescent="0.35">
      <c r="A243" s="5" t="str">
        <f t="shared" si="49"/>
        <v>BBD130</v>
      </c>
      <c r="B243" s="1" t="s">
        <v>1756</v>
      </c>
      <c r="C243" s="2" t="str">
        <f t="shared" si="50"/>
        <v>DIO1</v>
      </c>
      <c r="D243" s="2">
        <v>130</v>
      </c>
      <c r="E243" s="3">
        <f t="shared" si="51"/>
        <v>2</v>
      </c>
      <c r="F243" s="3">
        <f t="shared" si="52"/>
        <v>4</v>
      </c>
      <c r="G243" s="3">
        <v>0</v>
      </c>
      <c r="H243" s="55">
        <f t="shared" si="54"/>
        <v>4</v>
      </c>
      <c r="I243" s="59">
        <f t="shared" si="53"/>
        <v>15</v>
      </c>
      <c r="J243" s="77"/>
      <c r="K243" s="27"/>
      <c r="L243" s="30" t="s">
        <v>42</v>
      </c>
      <c r="M243" s="2">
        <v>5</v>
      </c>
      <c r="N243" s="1" t="s">
        <v>1807</v>
      </c>
      <c r="O243" s="1" t="s">
        <v>1806</v>
      </c>
      <c r="P243" s="1" t="s">
        <v>1747</v>
      </c>
      <c r="Q243" s="1" t="s">
        <v>1805</v>
      </c>
      <c r="T243" s="1" t="s">
        <v>1471</v>
      </c>
      <c r="V243" s="1" t="str">
        <f t="shared" si="48"/>
        <v>2.4\0.4:15</v>
      </c>
      <c r="W243" s="1" t="s">
        <v>1757</v>
      </c>
      <c r="X243" s="18">
        <v>0</v>
      </c>
      <c r="Z243" s="206" t="s">
        <v>1062</v>
      </c>
      <c r="AG243" s="3" t="s">
        <v>588</v>
      </c>
      <c r="AH243" s="3">
        <v>31</v>
      </c>
      <c r="AI243" s="3">
        <v>32</v>
      </c>
      <c r="AM243" s="3"/>
    </row>
    <row r="244" spans="1:39" x14ac:dyDescent="0.3">
      <c r="A244" s="76" t="s">
        <v>1471</v>
      </c>
      <c r="B244" s="1" t="s">
        <v>1756</v>
      </c>
      <c r="C244" s="2" t="str">
        <f>+C211</f>
        <v>DIO1</v>
      </c>
      <c r="D244" s="2">
        <v>130</v>
      </c>
      <c r="E244" s="3">
        <f>+E211</f>
        <v>2</v>
      </c>
      <c r="F244" s="3">
        <f>+F211</f>
        <v>4</v>
      </c>
      <c r="G244" s="3">
        <v>0</v>
      </c>
      <c r="H244" s="62">
        <v>5</v>
      </c>
      <c r="I244" s="56">
        <v>0</v>
      </c>
      <c r="J244" s="79" t="s">
        <v>549</v>
      </c>
      <c r="K244" s="2" t="s">
        <v>548</v>
      </c>
      <c r="L244" s="30" t="s">
        <v>42</v>
      </c>
      <c r="M244" s="2">
        <v>5</v>
      </c>
      <c r="N244" s="1" t="s">
        <v>1804</v>
      </c>
      <c r="O244" s="1" t="s">
        <v>1134</v>
      </c>
      <c r="P244" s="35" t="s">
        <v>1749</v>
      </c>
      <c r="Q244" s="1" t="s">
        <v>1803</v>
      </c>
      <c r="T244" s="1" t="s">
        <v>1781</v>
      </c>
      <c r="V244" s="1" t="str">
        <f t="shared" si="48"/>
        <v>2.4\0.5:0</v>
      </c>
      <c r="W244" s="1" t="s">
        <v>1757</v>
      </c>
      <c r="X244" s="18">
        <v>0</v>
      </c>
      <c r="Z244" s="206" t="s">
        <v>1062</v>
      </c>
      <c r="AG244" s="3" t="s">
        <v>570</v>
      </c>
      <c r="AH244" s="3">
        <v>33</v>
      </c>
      <c r="AI244" s="3">
        <v>34</v>
      </c>
      <c r="AM244" s="3"/>
    </row>
    <row r="245" spans="1:39" x14ac:dyDescent="0.3">
      <c r="A245" s="5" t="str">
        <f t="shared" ref="A245:A259" si="55">A244</f>
        <v>BBD130</v>
      </c>
      <c r="B245" s="1" t="s">
        <v>1756</v>
      </c>
      <c r="C245" s="2" t="str">
        <f t="shared" ref="C245:C259" si="56">+C244</f>
        <v>DIO1</v>
      </c>
      <c r="D245" s="2">
        <v>130</v>
      </c>
      <c r="E245" s="3">
        <f t="shared" ref="E245:E259" si="57">+E244</f>
        <v>2</v>
      </c>
      <c r="F245" s="3">
        <f t="shared" ref="F245:F259" si="58">+F244</f>
        <v>4</v>
      </c>
      <c r="G245" s="3">
        <v>0</v>
      </c>
      <c r="H245" s="60">
        <f>H244</f>
        <v>5</v>
      </c>
      <c r="I245" s="54">
        <f t="shared" ref="I245:I259" si="59">+I244+1</f>
        <v>1</v>
      </c>
      <c r="J245" s="78"/>
      <c r="K245" s="30"/>
      <c r="L245" s="30" t="s">
        <v>42</v>
      </c>
      <c r="M245" s="2">
        <v>5</v>
      </c>
      <c r="N245" s="1" t="s">
        <v>1802</v>
      </c>
      <c r="O245" s="1" t="s">
        <v>1126</v>
      </c>
      <c r="P245" s="35" t="s">
        <v>1749</v>
      </c>
      <c r="Q245" s="1" t="s">
        <v>1673</v>
      </c>
      <c r="T245" s="1" t="s">
        <v>1781</v>
      </c>
      <c r="V245" s="1" t="str">
        <f t="shared" si="48"/>
        <v>2.4\0.5:1</v>
      </c>
      <c r="W245" s="1" t="s">
        <v>1757</v>
      </c>
      <c r="X245" s="18">
        <v>0</v>
      </c>
      <c r="Z245" s="206" t="s">
        <v>1062</v>
      </c>
      <c r="AG245" s="3" t="s">
        <v>570</v>
      </c>
      <c r="AH245" s="3">
        <v>35</v>
      </c>
      <c r="AI245" s="3">
        <v>36</v>
      </c>
      <c r="AM245" s="3"/>
    </row>
    <row r="246" spans="1:39" x14ac:dyDescent="0.3">
      <c r="A246" s="5" t="str">
        <f t="shared" si="55"/>
        <v>BBD130</v>
      </c>
      <c r="B246" s="1" t="s">
        <v>1756</v>
      </c>
      <c r="C246" s="2" t="str">
        <f t="shared" si="56"/>
        <v>DIO1</v>
      </c>
      <c r="D246" s="2">
        <v>130</v>
      </c>
      <c r="E246" s="3">
        <f t="shared" si="57"/>
        <v>2</v>
      </c>
      <c r="F246" s="3">
        <f t="shared" si="58"/>
        <v>4</v>
      </c>
      <c r="G246" s="3">
        <v>0</v>
      </c>
      <c r="H246" s="55">
        <f t="shared" ref="H246:H259" si="60">+H245</f>
        <v>5</v>
      </c>
      <c r="I246" s="54">
        <f t="shared" si="59"/>
        <v>2</v>
      </c>
      <c r="J246" s="78"/>
      <c r="K246" s="27"/>
      <c r="L246" s="30" t="s">
        <v>42</v>
      </c>
      <c r="M246" s="2">
        <v>5</v>
      </c>
      <c r="N246" s="1" t="s">
        <v>1801</v>
      </c>
      <c r="O246" s="1" t="s">
        <v>1670</v>
      </c>
      <c r="P246" s="35" t="s">
        <v>1749</v>
      </c>
      <c r="Q246" s="1" t="s">
        <v>1669</v>
      </c>
      <c r="T246" s="1" t="s">
        <v>1781</v>
      </c>
      <c r="V246" s="1" t="str">
        <f t="shared" si="48"/>
        <v>2.4\0.5:2</v>
      </c>
      <c r="W246" s="1" t="s">
        <v>1757</v>
      </c>
      <c r="X246" s="18">
        <v>0</v>
      </c>
      <c r="Z246" s="206" t="s">
        <v>1062</v>
      </c>
      <c r="AG246" s="3" t="s">
        <v>570</v>
      </c>
      <c r="AH246" s="3">
        <v>37</v>
      </c>
      <c r="AI246" s="3">
        <v>38</v>
      </c>
      <c r="AM246" s="3"/>
    </row>
    <row r="247" spans="1:39" x14ac:dyDescent="0.3">
      <c r="A247" s="5" t="str">
        <f t="shared" si="55"/>
        <v>BBD130</v>
      </c>
      <c r="B247" s="1" t="s">
        <v>1756</v>
      </c>
      <c r="C247" s="2" t="str">
        <f t="shared" si="56"/>
        <v>DIO1</v>
      </c>
      <c r="D247" s="2">
        <v>130</v>
      </c>
      <c r="E247" s="3">
        <f t="shared" si="57"/>
        <v>2</v>
      </c>
      <c r="F247" s="3">
        <f t="shared" si="58"/>
        <v>4</v>
      </c>
      <c r="G247" s="3">
        <v>0</v>
      </c>
      <c r="H247" s="55">
        <f t="shared" si="60"/>
        <v>5</v>
      </c>
      <c r="I247" s="54">
        <f t="shared" si="59"/>
        <v>3</v>
      </c>
      <c r="J247" s="78"/>
      <c r="K247" s="27"/>
      <c r="L247" s="30" t="s">
        <v>42</v>
      </c>
      <c r="M247" s="2">
        <v>5</v>
      </c>
      <c r="N247" s="1" t="s">
        <v>1800</v>
      </c>
      <c r="O247" s="1" t="s">
        <v>1397</v>
      </c>
      <c r="P247" s="35" t="s">
        <v>1749</v>
      </c>
      <c r="Q247" s="1" t="s">
        <v>1799</v>
      </c>
      <c r="T247" s="1" t="s">
        <v>1781</v>
      </c>
      <c r="V247" s="1" t="str">
        <f t="shared" si="48"/>
        <v>2.4\0.5:3</v>
      </c>
      <c r="W247" s="1" t="s">
        <v>1757</v>
      </c>
      <c r="X247" s="18">
        <v>0</v>
      </c>
      <c r="Z247" s="206" t="s">
        <v>1062</v>
      </c>
      <c r="AG247" s="3" t="s">
        <v>570</v>
      </c>
      <c r="AH247" s="3">
        <v>39</v>
      </c>
      <c r="AI247" s="3">
        <v>40</v>
      </c>
      <c r="AM247" s="3"/>
    </row>
    <row r="248" spans="1:39" x14ac:dyDescent="0.3">
      <c r="A248" s="5" t="str">
        <f t="shared" si="55"/>
        <v>BBD130</v>
      </c>
      <c r="B248" s="1" t="s">
        <v>1756</v>
      </c>
      <c r="C248" s="2" t="str">
        <f t="shared" si="56"/>
        <v>DIO1</v>
      </c>
      <c r="D248" s="2">
        <v>130</v>
      </c>
      <c r="E248" s="3">
        <f t="shared" si="57"/>
        <v>2</v>
      </c>
      <c r="F248" s="3">
        <f t="shared" si="58"/>
        <v>4</v>
      </c>
      <c r="G248" s="3">
        <v>0</v>
      </c>
      <c r="H248" s="55">
        <f t="shared" si="60"/>
        <v>5</v>
      </c>
      <c r="I248" s="54">
        <f t="shared" si="59"/>
        <v>4</v>
      </c>
      <c r="J248" s="78"/>
      <c r="K248" s="27"/>
      <c r="L248" s="30" t="s">
        <v>42</v>
      </c>
      <c r="M248" s="2">
        <v>5</v>
      </c>
      <c r="N248" s="1" t="s">
        <v>1798</v>
      </c>
      <c r="O248" s="1" t="s">
        <v>1491</v>
      </c>
      <c r="P248" s="35" t="s">
        <v>1749</v>
      </c>
      <c r="Q248" s="1" t="s">
        <v>1797</v>
      </c>
      <c r="T248" s="1" t="s">
        <v>1781</v>
      </c>
      <c r="V248" s="1" t="str">
        <f t="shared" si="48"/>
        <v>2.4\0.5:4</v>
      </c>
      <c r="W248" s="1" t="s">
        <v>1757</v>
      </c>
      <c r="X248" s="18">
        <v>0</v>
      </c>
      <c r="Z248" s="206" t="s">
        <v>1062</v>
      </c>
      <c r="AG248" s="3" t="s">
        <v>570</v>
      </c>
      <c r="AH248" s="3">
        <v>41</v>
      </c>
      <c r="AI248" s="3">
        <v>42</v>
      </c>
      <c r="AM248" s="3"/>
    </row>
    <row r="249" spans="1:39" x14ac:dyDescent="0.3">
      <c r="A249" s="5" t="str">
        <f t="shared" si="55"/>
        <v>BBD130</v>
      </c>
      <c r="B249" s="1" t="s">
        <v>1756</v>
      </c>
      <c r="C249" s="2" t="str">
        <f t="shared" si="56"/>
        <v>DIO1</v>
      </c>
      <c r="D249" s="2">
        <v>130</v>
      </c>
      <c r="E249" s="3">
        <f t="shared" si="57"/>
        <v>2</v>
      </c>
      <c r="F249" s="3">
        <f t="shared" si="58"/>
        <v>4</v>
      </c>
      <c r="G249" s="3">
        <v>0</v>
      </c>
      <c r="H249" s="55">
        <f t="shared" si="60"/>
        <v>5</v>
      </c>
      <c r="I249" s="54">
        <f t="shared" si="59"/>
        <v>5</v>
      </c>
      <c r="J249" s="78"/>
      <c r="K249" s="27"/>
      <c r="L249" s="30" t="s">
        <v>42</v>
      </c>
      <c r="M249" s="2">
        <v>5</v>
      </c>
      <c r="N249" s="1" t="s">
        <v>1796</v>
      </c>
      <c r="O249" s="1" t="s">
        <v>1488</v>
      </c>
      <c r="P249" s="35" t="s">
        <v>1749</v>
      </c>
      <c r="Q249" s="1" t="s">
        <v>1795</v>
      </c>
      <c r="T249" s="1" t="s">
        <v>1781</v>
      </c>
      <c r="V249" s="1" t="str">
        <f t="shared" si="48"/>
        <v>2.4\0.5:5</v>
      </c>
      <c r="W249" s="1" t="s">
        <v>1757</v>
      </c>
      <c r="X249" s="18">
        <v>0</v>
      </c>
      <c r="Z249" s="206" t="s">
        <v>1062</v>
      </c>
      <c r="AG249" s="3" t="s">
        <v>570</v>
      </c>
      <c r="AH249" s="3">
        <v>43</v>
      </c>
      <c r="AI249" s="3">
        <v>44</v>
      </c>
      <c r="AM249" s="3"/>
    </row>
    <row r="250" spans="1:39" x14ac:dyDescent="0.3">
      <c r="A250" s="5" t="str">
        <f t="shared" si="55"/>
        <v>BBD130</v>
      </c>
      <c r="B250" s="1" t="s">
        <v>1756</v>
      </c>
      <c r="C250" s="2" t="str">
        <f t="shared" si="56"/>
        <v>DIO1</v>
      </c>
      <c r="D250" s="2">
        <v>130</v>
      </c>
      <c r="E250" s="3">
        <f t="shared" si="57"/>
        <v>2</v>
      </c>
      <c r="F250" s="3">
        <f t="shared" si="58"/>
        <v>4</v>
      </c>
      <c r="G250" s="3">
        <v>0</v>
      </c>
      <c r="H250" s="55">
        <f t="shared" si="60"/>
        <v>5</v>
      </c>
      <c r="I250" s="54">
        <f t="shared" si="59"/>
        <v>6</v>
      </c>
      <c r="J250" s="78"/>
      <c r="K250" s="27"/>
      <c r="L250" s="30" t="s">
        <v>42</v>
      </c>
      <c r="M250" s="2"/>
      <c r="Q250" s="1" t="s">
        <v>302</v>
      </c>
      <c r="V250" s="1" t="str">
        <f t="shared" si="48"/>
        <v>2.4\0.5:6</v>
      </c>
      <c r="Z250" s="206" t="s">
        <v>1062</v>
      </c>
      <c r="AG250" s="3" t="s">
        <v>570</v>
      </c>
      <c r="AH250" s="3">
        <v>45</v>
      </c>
      <c r="AI250" s="3">
        <v>46</v>
      </c>
      <c r="AM250" s="3"/>
    </row>
    <row r="251" spans="1:39" x14ac:dyDescent="0.3">
      <c r="A251" s="5" t="str">
        <f t="shared" si="55"/>
        <v>BBD130</v>
      </c>
      <c r="B251" s="1" t="s">
        <v>1756</v>
      </c>
      <c r="C251" s="2" t="str">
        <f t="shared" si="56"/>
        <v>DIO1</v>
      </c>
      <c r="D251" s="2">
        <v>130</v>
      </c>
      <c r="E251" s="3">
        <f t="shared" si="57"/>
        <v>2</v>
      </c>
      <c r="F251" s="3">
        <f t="shared" si="58"/>
        <v>4</v>
      </c>
      <c r="G251" s="3">
        <v>0</v>
      </c>
      <c r="H251" s="55">
        <f t="shared" si="60"/>
        <v>5</v>
      </c>
      <c r="I251" s="54">
        <f t="shared" si="59"/>
        <v>7</v>
      </c>
      <c r="J251" s="78"/>
      <c r="K251" s="27"/>
      <c r="L251" s="30" t="s">
        <v>42</v>
      </c>
      <c r="M251" s="2"/>
      <c r="Q251" s="1" t="s">
        <v>302</v>
      </c>
      <c r="V251" s="1" t="str">
        <f t="shared" si="48"/>
        <v>2.4\0.5:7</v>
      </c>
      <c r="Z251" s="206" t="s">
        <v>1062</v>
      </c>
      <c r="AG251" s="3" t="s">
        <v>570</v>
      </c>
      <c r="AH251" s="3">
        <v>47</v>
      </c>
      <c r="AI251" s="3">
        <v>48</v>
      </c>
      <c r="AM251" s="3"/>
    </row>
    <row r="252" spans="1:39" x14ac:dyDescent="0.3">
      <c r="A252" s="5" t="str">
        <f t="shared" si="55"/>
        <v>BBD130</v>
      </c>
      <c r="B252" s="1" t="s">
        <v>1756</v>
      </c>
      <c r="C252" s="2" t="str">
        <f t="shared" si="56"/>
        <v>DIO1</v>
      </c>
      <c r="D252" s="2">
        <v>130</v>
      </c>
      <c r="E252" s="3">
        <f t="shared" si="57"/>
        <v>2</v>
      </c>
      <c r="F252" s="3">
        <f t="shared" si="58"/>
        <v>4</v>
      </c>
      <c r="G252" s="3">
        <v>0</v>
      </c>
      <c r="H252" s="55">
        <f t="shared" si="60"/>
        <v>5</v>
      </c>
      <c r="I252" s="54">
        <f t="shared" si="59"/>
        <v>8</v>
      </c>
      <c r="J252" s="78"/>
      <c r="K252" s="27"/>
      <c r="L252" s="30" t="s">
        <v>42</v>
      </c>
      <c r="M252" s="2"/>
      <c r="P252" s="35"/>
      <c r="Q252" s="1" t="s">
        <v>302</v>
      </c>
      <c r="V252" s="1" t="str">
        <f t="shared" si="48"/>
        <v>2.4\0.5:8</v>
      </c>
      <c r="Y252" s="7"/>
      <c r="Z252" s="206" t="s">
        <v>1062</v>
      </c>
      <c r="AA252" s="206"/>
      <c r="AG252" s="3" t="s">
        <v>668</v>
      </c>
      <c r="AH252" s="3">
        <v>33</v>
      </c>
      <c r="AI252" s="3">
        <v>34</v>
      </c>
      <c r="AM252" s="3"/>
    </row>
    <row r="253" spans="1:39" x14ac:dyDescent="0.3">
      <c r="A253" s="5" t="str">
        <f t="shared" si="55"/>
        <v>BBD130</v>
      </c>
      <c r="B253" s="1" t="s">
        <v>1756</v>
      </c>
      <c r="C253" s="2" t="str">
        <f t="shared" si="56"/>
        <v>DIO1</v>
      </c>
      <c r="D253" s="2">
        <v>130</v>
      </c>
      <c r="E253" s="3">
        <f t="shared" si="57"/>
        <v>2</v>
      </c>
      <c r="F253" s="3">
        <f t="shared" si="58"/>
        <v>4</v>
      </c>
      <c r="G253" s="3">
        <v>0</v>
      </c>
      <c r="H253" s="55">
        <f t="shared" si="60"/>
        <v>5</v>
      </c>
      <c r="I253" s="54">
        <f t="shared" si="59"/>
        <v>9</v>
      </c>
      <c r="J253" s="78"/>
      <c r="K253" s="27"/>
      <c r="L253" s="30" t="s">
        <v>42</v>
      </c>
      <c r="M253" s="2"/>
      <c r="P253" s="35"/>
      <c r="Q253" s="1" t="s">
        <v>302</v>
      </c>
      <c r="V253" s="1" t="str">
        <f t="shared" si="48"/>
        <v>2.4\0.5:9</v>
      </c>
      <c r="Y253" s="7"/>
      <c r="Z253" s="206" t="s">
        <v>1062</v>
      </c>
      <c r="AA253" s="206"/>
      <c r="AG253" s="3" t="s">
        <v>668</v>
      </c>
      <c r="AH253" s="3">
        <v>35</v>
      </c>
      <c r="AI253" s="3">
        <v>36</v>
      </c>
      <c r="AM253" s="3"/>
    </row>
    <row r="254" spans="1:39" x14ac:dyDescent="0.3">
      <c r="A254" s="5" t="str">
        <f t="shared" si="55"/>
        <v>BBD130</v>
      </c>
      <c r="B254" s="1" t="s">
        <v>1756</v>
      </c>
      <c r="C254" s="2" t="str">
        <f t="shared" si="56"/>
        <v>DIO1</v>
      </c>
      <c r="D254" s="2">
        <v>130</v>
      </c>
      <c r="E254" s="3">
        <f t="shared" si="57"/>
        <v>2</v>
      </c>
      <c r="F254" s="3">
        <f t="shared" si="58"/>
        <v>4</v>
      </c>
      <c r="G254" s="3">
        <v>0</v>
      </c>
      <c r="H254" s="55">
        <f t="shared" si="60"/>
        <v>5</v>
      </c>
      <c r="I254" s="54">
        <f t="shared" si="59"/>
        <v>10</v>
      </c>
      <c r="J254" s="78"/>
      <c r="K254" s="27"/>
      <c r="L254" s="30" t="s">
        <v>42</v>
      </c>
      <c r="M254" s="2"/>
      <c r="P254" s="35"/>
      <c r="Q254" s="1" t="s">
        <v>302</v>
      </c>
      <c r="R254" s="24"/>
      <c r="S254" s="24"/>
      <c r="V254" s="1" t="str">
        <f t="shared" si="48"/>
        <v>2.4\0.5:10</v>
      </c>
      <c r="Z254" s="206" t="s">
        <v>1062</v>
      </c>
      <c r="AG254" s="3" t="s">
        <v>668</v>
      </c>
      <c r="AH254" s="3">
        <v>37</v>
      </c>
      <c r="AI254" s="3">
        <v>38</v>
      </c>
      <c r="AM254" s="3"/>
    </row>
    <row r="255" spans="1:39" x14ac:dyDescent="0.3">
      <c r="A255" s="5" t="str">
        <f t="shared" si="55"/>
        <v>BBD130</v>
      </c>
      <c r="B255" s="1" t="s">
        <v>1756</v>
      </c>
      <c r="C255" s="2" t="str">
        <f t="shared" si="56"/>
        <v>DIO1</v>
      </c>
      <c r="D255" s="2">
        <v>130</v>
      </c>
      <c r="E255" s="3">
        <f t="shared" si="57"/>
        <v>2</v>
      </c>
      <c r="F255" s="3">
        <f t="shared" si="58"/>
        <v>4</v>
      </c>
      <c r="G255" s="3">
        <v>0</v>
      </c>
      <c r="H255" s="55">
        <f t="shared" si="60"/>
        <v>5</v>
      </c>
      <c r="I255" s="54">
        <f t="shared" si="59"/>
        <v>11</v>
      </c>
      <c r="J255" s="78"/>
      <c r="K255" s="27"/>
      <c r="L255" s="30" t="s">
        <v>42</v>
      </c>
      <c r="M255" s="2"/>
      <c r="P255" s="35"/>
      <c r="Q255" s="1" t="s">
        <v>302</v>
      </c>
      <c r="R255" s="24"/>
      <c r="S255" s="24"/>
      <c r="V255" s="1" t="str">
        <f t="shared" si="48"/>
        <v>2.4\0.5:11</v>
      </c>
      <c r="Z255" s="206" t="s">
        <v>1062</v>
      </c>
      <c r="AG255" s="3" t="s">
        <v>668</v>
      </c>
      <c r="AH255" s="3">
        <v>39</v>
      </c>
      <c r="AI255" s="3">
        <v>40</v>
      </c>
      <c r="AM255" s="3"/>
    </row>
    <row r="256" spans="1:39" x14ac:dyDescent="0.3">
      <c r="A256" s="5" t="str">
        <f t="shared" si="55"/>
        <v>BBD130</v>
      </c>
      <c r="B256" s="1" t="s">
        <v>1756</v>
      </c>
      <c r="C256" s="2" t="str">
        <f t="shared" si="56"/>
        <v>DIO1</v>
      </c>
      <c r="D256" s="2">
        <v>130</v>
      </c>
      <c r="E256" s="3">
        <f t="shared" si="57"/>
        <v>2</v>
      </c>
      <c r="F256" s="3">
        <f t="shared" si="58"/>
        <v>4</v>
      </c>
      <c r="G256" s="3">
        <v>0</v>
      </c>
      <c r="H256" s="55">
        <f t="shared" si="60"/>
        <v>5</v>
      </c>
      <c r="I256" s="54">
        <f t="shared" si="59"/>
        <v>12</v>
      </c>
      <c r="J256" s="78"/>
      <c r="K256" s="27"/>
      <c r="L256" s="30" t="s">
        <v>42</v>
      </c>
      <c r="M256" s="2"/>
      <c r="P256" s="35"/>
      <c r="Q256" s="1" t="s">
        <v>302</v>
      </c>
      <c r="R256" s="24"/>
      <c r="S256" s="24"/>
      <c r="V256" s="1" t="str">
        <f t="shared" si="48"/>
        <v>2.4\0.5:12</v>
      </c>
      <c r="Z256" s="206" t="s">
        <v>1062</v>
      </c>
      <c r="AG256" s="3" t="s">
        <v>668</v>
      </c>
      <c r="AH256" s="3">
        <v>41</v>
      </c>
      <c r="AI256" s="3">
        <v>42</v>
      </c>
      <c r="AM256" s="3"/>
    </row>
    <row r="257" spans="1:39" x14ac:dyDescent="0.3">
      <c r="A257" s="5" t="str">
        <f t="shared" si="55"/>
        <v>BBD130</v>
      </c>
      <c r="B257" s="1" t="s">
        <v>1756</v>
      </c>
      <c r="C257" s="2" t="str">
        <f t="shared" si="56"/>
        <v>DIO1</v>
      </c>
      <c r="D257" s="2">
        <v>130</v>
      </c>
      <c r="E257" s="3">
        <f t="shared" si="57"/>
        <v>2</v>
      </c>
      <c r="F257" s="3">
        <f t="shared" si="58"/>
        <v>4</v>
      </c>
      <c r="G257" s="3">
        <v>0</v>
      </c>
      <c r="H257" s="55">
        <f t="shared" si="60"/>
        <v>5</v>
      </c>
      <c r="I257" s="54">
        <f t="shared" si="59"/>
        <v>13</v>
      </c>
      <c r="J257" s="78"/>
      <c r="K257" s="27"/>
      <c r="L257" s="30" t="s">
        <v>42</v>
      </c>
      <c r="M257" s="2"/>
      <c r="P257" s="35"/>
      <c r="Q257" s="1" t="s">
        <v>302</v>
      </c>
      <c r="R257" s="24"/>
      <c r="S257" s="24"/>
      <c r="V257" s="1" t="str">
        <f t="shared" si="48"/>
        <v>2.4\0.5:13</v>
      </c>
      <c r="Z257" s="206" t="s">
        <v>1062</v>
      </c>
      <c r="AG257" s="3" t="s">
        <v>668</v>
      </c>
      <c r="AH257" s="3">
        <v>43</v>
      </c>
      <c r="AI257" s="3">
        <v>44</v>
      </c>
      <c r="AM257" s="3"/>
    </row>
    <row r="258" spans="1:39" x14ac:dyDescent="0.3">
      <c r="A258" s="5" t="str">
        <f t="shared" si="55"/>
        <v>BBD130</v>
      </c>
      <c r="B258" s="1" t="s">
        <v>1756</v>
      </c>
      <c r="C258" s="2" t="str">
        <f t="shared" si="56"/>
        <v>DIO1</v>
      </c>
      <c r="D258" s="2">
        <v>130</v>
      </c>
      <c r="E258" s="3">
        <f t="shared" si="57"/>
        <v>2</v>
      </c>
      <c r="F258" s="3">
        <f t="shared" si="58"/>
        <v>4</v>
      </c>
      <c r="G258" s="3">
        <v>0</v>
      </c>
      <c r="H258" s="55">
        <f t="shared" si="60"/>
        <v>5</v>
      </c>
      <c r="I258" s="54">
        <f t="shared" si="59"/>
        <v>14</v>
      </c>
      <c r="J258" s="78"/>
      <c r="K258" s="27"/>
      <c r="L258" s="30" t="s">
        <v>42</v>
      </c>
      <c r="M258" s="2"/>
      <c r="Q258" s="1" t="s">
        <v>302</v>
      </c>
      <c r="V258" s="1" t="str">
        <f t="shared" si="48"/>
        <v>2.4\0.5:14</v>
      </c>
      <c r="Z258" s="206" t="s">
        <v>1062</v>
      </c>
      <c r="AG258" s="3" t="s">
        <v>668</v>
      </c>
      <c r="AH258" s="3">
        <v>45</v>
      </c>
      <c r="AI258" s="3">
        <v>46</v>
      </c>
      <c r="AM258" s="3"/>
    </row>
    <row r="259" spans="1:39" ht="13.5" thickBot="1" x14ac:dyDescent="0.35">
      <c r="A259" s="5" t="str">
        <f t="shared" si="55"/>
        <v>BBD130</v>
      </c>
      <c r="B259" s="1" t="s">
        <v>1756</v>
      </c>
      <c r="C259" s="2" t="str">
        <f t="shared" si="56"/>
        <v>DIO1</v>
      </c>
      <c r="D259" s="2">
        <v>130</v>
      </c>
      <c r="E259" s="3">
        <f t="shared" si="57"/>
        <v>2</v>
      </c>
      <c r="F259" s="3">
        <f t="shared" si="58"/>
        <v>4</v>
      </c>
      <c r="G259" s="3">
        <v>0</v>
      </c>
      <c r="H259" s="55">
        <f t="shared" si="60"/>
        <v>5</v>
      </c>
      <c r="I259" s="59">
        <f t="shared" si="59"/>
        <v>15</v>
      </c>
      <c r="J259" s="77"/>
      <c r="K259" s="27"/>
      <c r="L259" s="30" t="s">
        <v>42</v>
      </c>
      <c r="M259" s="2">
        <v>5</v>
      </c>
      <c r="N259" s="1" t="s">
        <v>389</v>
      </c>
      <c r="O259" s="1" t="s">
        <v>52</v>
      </c>
      <c r="P259" s="35"/>
      <c r="Q259" s="1" t="s">
        <v>540</v>
      </c>
      <c r="R259" s="1" t="s">
        <v>1794</v>
      </c>
      <c r="T259" s="1" t="s">
        <v>389</v>
      </c>
      <c r="V259" s="1" t="str">
        <f t="shared" si="48"/>
        <v>2.4\0.5:15</v>
      </c>
      <c r="W259" s="1" t="s">
        <v>1757</v>
      </c>
      <c r="X259" s="18">
        <v>0</v>
      </c>
      <c r="Z259" s="206" t="s">
        <v>1062</v>
      </c>
      <c r="AG259" s="3" t="s">
        <v>668</v>
      </c>
      <c r="AH259" s="3">
        <v>47</v>
      </c>
      <c r="AI259" s="3">
        <v>48</v>
      </c>
      <c r="AM259" s="3"/>
    </row>
    <row r="260" spans="1:39" x14ac:dyDescent="0.3">
      <c r="A260" s="76" t="s">
        <v>1471</v>
      </c>
      <c r="B260" s="1" t="s">
        <v>1756</v>
      </c>
      <c r="C260" s="2" t="str">
        <f>+C243</f>
        <v>DIO1</v>
      </c>
      <c r="D260" s="2">
        <v>130</v>
      </c>
      <c r="E260" s="3">
        <f>+E243</f>
        <v>2</v>
      </c>
      <c r="F260" s="3">
        <f>+F243</f>
        <v>4</v>
      </c>
      <c r="G260" s="3">
        <v>0</v>
      </c>
      <c r="H260" s="62">
        <v>6</v>
      </c>
      <c r="I260" s="56">
        <v>0</v>
      </c>
      <c r="J260" s="218" t="s">
        <v>879</v>
      </c>
      <c r="K260" s="1" t="s">
        <v>896</v>
      </c>
      <c r="L260" s="30" t="s">
        <v>880</v>
      </c>
      <c r="M260" s="2">
        <v>5</v>
      </c>
      <c r="N260" s="1" t="s">
        <v>1793</v>
      </c>
      <c r="O260" s="1" t="s">
        <v>894</v>
      </c>
      <c r="P260" s="1" t="s">
        <v>1749</v>
      </c>
      <c r="Q260" s="2" t="s">
        <v>1792</v>
      </c>
      <c r="R260" s="2"/>
      <c r="S260" s="1" t="s">
        <v>1641</v>
      </c>
      <c r="T260" s="1" t="s">
        <v>1781</v>
      </c>
      <c r="U260" s="1" t="s">
        <v>868</v>
      </c>
      <c r="V260" s="1" t="str">
        <f t="shared" ref="V260:V295" si="61">+CONCATENATE(E260,".",F260,"\",G260,".",H260,":",I260)</f>
        <v>2.4\0.6:0</v>
      </c>
      <c r="W260" s="1" t="s">
        <v>1772</v>
      </c>
      <c r="X260" s="18">
        <v>0</v>
      </c>
      <c r="Z260" s="206" t="s">
        <v>1062</v>
      </c>
      <c r="AB260" s="1">
        <v>0</v>
      </c>
      <c r="AC260" s="1">
        <v>5000</v>
      </c>
      <c r="AD260" s="1">
        <v>0</v>
      </c>
      <c r="AE260" s="1">
        <v>5000</v>
      </c>
      <c r="AF260" s="1" t="s">
        <v>874</v>
      </c>
      <c r="AG260" s="3" t="s">
        <v>612</v>
      </c>
      <c r="AH260" s="3">
        <v>33</v>
      </c>
      <c r="AI260" s="3">
        <v>34</v>
      </c>
      <c r="AM260" s="3"/>
    </row>
    <row r="261" spans="1:39" x14ac:dyDescent="0.3">
      <c r="A261" s="5" t="str">
        <f t="shared" ref="A261:A267" si="62">A260</f>
        <v>BBD130</v>
      </c>
      <c r="B261" s="1" t="s">
        <v>1756</v>
      </c>
      <c r="C261" s="2" t="str">
        <f t="shared" ref="C261:C295" si="63">+C260</f>
        <v>DIO1</v>
      </c>
      <c r="D261" s="2">
        <v>130</v>
      </c>
      <c r="E261" s="3">
        <f t="shared" ref="E261:E295" si="64">+E260</f>
        <v>2</v>
      </c>
      <c r="F261" s="3">
        <f t="shared" ref="F261:F295" si="65">+F260</f>
        <v>4</v>
      </c>
      <c r="G261" s="3">
        <v>0</v>
      </c>
      <c r="H261" s="55">
        <f t="shared" ref="H261:H267" si="66">+H260</f>
        <v>6</v>
      </c>
      <c r="I261" s="54">
        <f t="shared" ref="I261:I267" si="67">+I260+1</f>
        <v>1</v>
      </c>
      <c r="J261" s="217"/>
      <c r="K261" s="2"/>
      <c r="L261" s="30" t="s">
        <v>880</v>
      </c>
      <c r="M261" s="2">
        <v>5</v>
      </c>
      <c r="N261" s="1" t="s">
        <v>1791</v>
      </c>
      <c r="O261" s="1" t="s">
        <v>890</v>
      </c>
      <c r="P261" s="1" t="s">
        <v>1749</v>
      </c>
      <c r="Q261" s="1" t="s">
        <v>1790</v>
      </c>
      <c r="S261" s="1" t="s">
        <v>1641</v>
      </c>
      <c r="T261" s="1" t="s">
        <v>1781</v>
      </c>
      <c r="U261" s="1" t="s">
        <v>868</v>
      </c>
      <c r="V261" s="1" t="str">
        <f t="shared" si="61"/>
        <v>2.4\0.6:1</v>
      </c>
      <c r="W261" s="1" t="s">
        <v>1772</v>
      </c>
      <c r="X261" s="18">
        <v>0</v>
      </c>
      <c r="Z261" s="206" t="s">
        <v>1062</v>
      </c>
      <c r="AB261" s="1">
        <v>0</v>
      </c>
      <c r="AC261" s="1">
        <v>5000</v>
      </c>
      <c r="AD261" s="1">
        <v>0</v>
      </c>
      <c r="AE261" s="1">
        <v>5000</v>
      </c>
      <c r="AF261" s="1" t="s">
        <v>874</v>
      </c>
      <c r="AG261" s="3" t="s">
        <v>612</v>
      </c>
      <c r="AH261" s="3">
        <v>35</v>
      </c>
      <c r="AI261" s="3">
        <v>36</v>
      </c>
      <c r="AM261" s="3"/>
    </row>
    <row r="262" spans="1:39" x14ac:dyDescent="0.3">
      <c r="A262" s="5" t="str">
        <f t="shared" si="62"/>
        <v>BBD130</v>
      </c>
      <c r="B262" s="1" t="s">
        <v>1756</v>
      </c>
      <c r="C262" s="2" t="str">
        <f t="shared" si="63"/>
        <v>DIO1</v>
      </c>
      <c r="D262" s="2">
        <v>130</v>
      </c>
      <c r="E262" s="3">
        <f t="shared" si="64"/>
        <v>2</v>
      </c>
      <c r="F262" s="3">
        <f t="shared" si="65"/>
        <v>4</v>
      </c>
      <c r="G262" s="3">
        <v>0</v>
      </c>
      <c r="H262" s="55">
        <f t="shared" si="66"/>
        <v>6</v>
      </c>
      <c r="I262" s="54">
        <f t="shared" si="67"/>
        <v>2</v>
      </c>
      <c r="J262" s="217"/>
      <c r="K262" s="2"/>
      <c r="L262" s="30" t="s">
        <v>880</v>
      </c>
      <c r="M262" s="2">
        <v>5</v>
      </c>
      <c r="N262" s="1" t="s">
        <v>1789</v>
      </c>
      <c r="O262" s="1" t="s">
        <v>1649</v>
      </c>
      <c r="P262" s="1" t="s">
        <v>1749</v>
      </c>
      <c r="Q262" s="1" t="s">
        <v>1788</v>
      </c>
      <c r="R262" s="2"/>
      <c r="S262" s="1" t="s">
        <v>1641</v>
      </c>
      <c r="T262" s="1" t="s">
        <v>1781</v>
      </c>
      <c r="U262" s="1" t="s">
        <v>868</v>
      </c>
      <c r="V262" s="1" t="str">
        <f t="shared" si="61"/>
        <v>2.4\0.6:2</v>
      </c>
      <c r="W262" s="1" t="s">
        <v>1772</v>
      </c>
      <c r="X262" s="18">
        <v>0</v>
      </c>
      <c r="Z262" s="206" t="s">
        <v>1062</v>
      </c>
      <c r="AB262" s="1">
        <v>0</v>
      </c>
      <c r="AC262" s="1">
        <v>500</v>
      </c>
      <c r="AD262" s="1">
        <v>0</v>
      </c>
      <c r="AE262" s="1">
        <v>500</v>
      </c>
      <c r="AF262" s="1" t="s">
        <v>874</v>
      </c>
      <c r="AG262" s="3" t="s">
        <v>612</v>
      </c>
      <c r="AH262" s="3">
        <v>37</v>
      </c>
      <c r="AI262" s="3">
        <v>38</v>
      </c>
      <c r="AM262" s="3"/>
    </row>
    <row r="263" spans="1:39" x14ac:dyDescent="0.3">
      <c r="A263" s="5" t="str">
        <f t="shared" si="62"/>
        <v>BBD130</v>
      </c>
      <c r="B263" s="1" t="s">
        <v>1756</v>
      </c>
      <c r="C263" s="2" t="str">
        <f t="shared" si="63"/>
        <v>DIO1</v>
      </c>
      <c r="D263" s="2">
        <v>130</v>
      </c>
      <c r="E263" s="3">
        <f t="shared" si="64"/>
        <v>2</v>
      </c>
      <c r="F263" s="3">
        <f t="shared" si="65"/>
        <v>4</v>
      </c>
      <c r="G263" s="3">
        <v>0</v>
      </c>
      <c r="H263" s="55">
        <f t="shared" si="66"/>
        <v>6</v>
      </c>
      <c r="I263" s="54">
        <f t="shared" si="67"/>
        <v>3</v>
      </c>
      <c r="J263" s="217"/>
      <c r="K263" s="2"/>
      <c r="L263" s="30" t="s">
        <v>880</v>
      </c>
      <c r="M263" s="2">
        <v>5</v>
      </c>
      <c r="N263" s="1" t="s">
        <v>1787</v>
      </c>
      <c r="O263" s="1" t="s">
        <v>1646</v>
      </c>
      <c r="P263" s="1" t="s">
        <v>1749</v>
      </c>
      <c r="Q263" s="1" t="s">
        <v>1786</v>
      </c>
      <c r="R263" s="2"/>
      <c r="S263" s="1" t="s">
        <v>1641</v>
      </c>
      <c r="T263" s="1" t="s">
        <v>1781</v>
      </c>
      <c r="U263" s="1" t="s">
        <v>868</v>
      </c>
      <c r="V263" s="1" t="str">
        <f t="shared" si="61"/>
        <v>2.4\0.6:3</v>
      </c>
      <c r="W263" s="1" t="s">
        <v>1772</v>
      </c>
      <c r="X263" s="18">
        <v>0</v>
      </c>
      <c r="Z263" s="206" t="s">
        <v>1062</v>
      </c>
      <c r="AB263" s="1">
        <v>0</v>
      </c>
      <c r="AC263" s="1">
        <v>5000</v>
      </c>
      <c r="AD263" s="1">
        <v>0</v>
      </c>
      <c r="AE263" s="1">
        <v>5000</v>
      </c>
      <c r="AF263" s="1" t="s">
        <v>874</v>
      </c>
      <c r="AG263" s="3" t="s">
        <v>612</v>
      </c>
      <c r="AH263" s="3">
        <v>39</v>
      </c>
      <c r="AI263" s="3">
        <v>40</v>
      </c>
      <c r="AM263" s="3"/>
    </row>
    <row r="264" spans="1:39" x14ac:dyDescent="0.3">
      <c r="A264" s="5" t="str">
        <f t="shared" si="62"/>
        <v>BBD130</v>
      </c>
      <c r="B264" s="1" t="s">
        <v>1756</v>
      </c>
      <c r="C264" s="2" t="str">
        <f t="shared" si="63"/>
        <v>DIO1</v>
      </c>
      <c r="D264" s="2">
        <v>130</v>
      </c>
      <c r="E264" s="3">
        <f t="shared" si="64"/>
        <v>2</v>
      </c>
      <c r="F264" s="3">
        <f t="shared" si="65"/>
        <v>4</v>
      </c>
      <c r="G264" s="3">
        <v>0</v>
      </c>
      <c r="H264" s="55">
        <f t="shared" si="66"/>
        <v>6</v>
      </c>
      <c r="I264" s="54">
        <f t="shared" si="67"/>
        <v>4</v>
      </c>
      <c r="J264" s="217"/>
      <c r="K264" s="2"/>
      <c r="L264" s="30" t="s">
        <v>880</v>
      </c>
      <c r="M264" s="2">
        <v>5</v>
      </c>
      <c r="N264" s="1" t="s">
        <v>1785</v>
      </c>
      <c r="O264" s="1" t="s">
        <v>1643</v>
      </c>
      <c r="P264" s="1" t="s">
        <v>1749</v>
      </c>
      <c r="Q264" s="1" t="s">
        <v>1784</v>
      </c>
      <c r="S264" s="1" t="s">
        <v>1641</v>
      </c>
      <c r="T264" s="1" t="s">
        <v>1781</v>
      </c>
      <c r="U264" s="1" t="s">
        <v>868</v>
      </c>
      <c r="V264" s="1" t="str">
        <f t="shared" si="61"/>
        <v>2.4\0.6:4</v>
      </c>
      <c r="W264" s="1" t="s">
        <v>1772</v>
      </c>
      <c r="X264" s="18">
        <v>0</v>
      </c>
      <c r="Z264" s="206" t="s">
        <v>1062</v>
      </c>
      <c r="AB264" s="1">
        <v>0</v>
      </c>
      <c r="AC264" s="1">
        <v>5000</v>
      </c>
      <c r="AD264" s="1">
        <v>0</v>
      </c>
      <c r="AE264" s="1">
        <v>5000</v>
      </c>
      <c r="AF264" s="1" t="s">
        <v>874</v>
      </c>
      <c r="AG264" s="3" t="s">
        <v>612</v>
      </c>
      <c r="AH264" s="3">
        <v>41</v>
      </c>
      <c r="AI264" s="3">
        <v>42</v>
      </c>
      <c r="AM264" s="3"/>
    </row>
    <row r="265" spans="1:39" x14ac:dyDescent="0.3">
      <c r="A265" s="5" t="str">
        <f t="shared" si="62"/>
        <v>BBD130</v>
      </c>
      <c r="B265" s="1" t="s">
        <v>1756</v>
      </c>
      <c r="C265" s="2" t="str">
        <f t="shared" si="63"/>
        <v>DIO1</v>
      </c>
      <c r="D265" s="2">
        <v>130</v>
      </c>
      <c r="E265" s="3">
        <f t="shared" si="64"/>
        <v>2</v>
      </c>
      <c r="F265" s="3">
        <f t="shared" si="65"/>
        <v>4</v>
      </c>
      <c r="G265" s="3">
        <v>0</v>
      </c>
      <c r="H265" s="55">
        <f t="shared" si="66"/>
        <v>6</v>
      </c>
      <c r="I265" s="54">
        <f t="shared" si="67"/>
        <v>5</v>
      </c>
      <c r="J265" s="217"/>
      <c r="K265" s="2"/>
      <c r="L265" s="30" t="s">
        <v>880</v>
      </c>
      <c r="M265" s="2">
        <v>5</v>
      </c>
      <c r="N265" s="1" t="s">
        <v>1783</v>
      </c>
      <c r="O265" s="1" t="s">
        <v>1113</v>
      </c>
      <c r="P265" s="1" t="s">
        <v>1749</v>
      </c>
      <c r="Q265" s="1" t="s">
        <v>1782</v>
      </c>
      <c r="R265" s="2"/>
      <c r="S265" s="1" t="s">
        <v>869</v>
      </c>
      <c r="T265" s="1" t="s">
        <v>1781</v>
      </c>
      <c r="U265" s="1" t="s">
        <v>868</v>
      </c>
      <c r="V265" s="1" t="str">
        <f t="shared" si="61"/>
        <v>2.4\0.6:5</v>
      </c>
      <c r="W265" s="1" t="s">
        <v>1772</v>
      </c>
      <c r="X265" s="18">
        <v>0</v>
      </c>
      <c r="Z265" s="206" t="s">
        <v>1062</v>
      </c>
      <c r="AB265" s="1">
        <v>0</v>
      </c>
      <c r="AC265" s="1">
        <v>100</v>
      </c>
      <c r="AD265" s="1">
        <v>0</v>
      </c>
      <c r="AE265" s="1">
        <v>100</v>
      </c>
      <c r="AF265" s="1" t="s">
        <v>874</v>
      </c>
      <c r="AG265" s="3" t="s">
        <v>612</v>
      </c>
      <c r="AH265" s="3">
        <v>43</v>
      </c>
      <c r="AI265" s="3">
        <v>44</v>
      </c>
      <c r="AM265" s="3"/>
    </row>
    <row r="266" spans="1:39" x14ac:dyDescent="0.3">
      <c r="A266" s="5" t="str">
        <f t="shared" si="62"/>
        <v>BBD130</v>
      </c>
      <c r="B266" s="1" t="s">
        <v>1756</v>
      </c>
      <c r="C266" s="2" t="str">
        <f t="shared" si="63"/>
        <v>DIO1</v>
      </c>
      <c r="D266" s="2">
        <v>130</v>
      </c>
      <c r="E266" s="3">
        <f t="shared" si="64"/>
        <v>2</v>
      </c>
      <c r="F266" s="3">
        <f t="shared" si="65"/>
        <v>4</v>
      </c>
      <c r="G266" s="3">
        <v>0</v>
      </c>
      <c r="H266" s="55">
        <f t="shared" si="66"/>
        <v>6</v>
      </c>
      <c r="I266" s="54">
        <f t="shared" si="67"/>
        <v>6</v>
      </c>
      <c r="J266" s="217"/>
      <c r="K266" s="2"/>
      <c r="L266" s="30" t="s">
        <v>880</v>
      </c>
      <c r="M266" s="2">
        <v>5</v>
      </c>
      <c r="N266" s="1" t="s">
        <v>1780</v>
      </c>
      <c r="O266" s="1" t="s">
        <v>1633</v>
      </c>
      <c r="P266" s="1" t="s">
        <v>1621</v>
      </c>
      <c r="Q266" s="1" t="s">
        <v>1779</v>
      </c>
      <c r="R266" s="2"/>
      <c r="S266" s="1" t="s">
        <v>780</v>
      </c>
      <c r="T266" s="1" t="s">
        <v>513</v>
      </c>
      <c r="U266" s="1" t="s">
        <v>868</v>
      </c>
      <c r="V266" s="1" t="str">
        <f t="shared" si="61"/>
        <v>2.4\0.6:6</v>
      </c>
      <c r="W266" s="1" t="s">
        <v>1760</v>
      </c>
      <c r="X266" s="18">
        <v>0</v>
      </c>
      <c r="Z266" s="206" t="s">
        <v>1062</v>
      </c>
      <c r="AB266" s="1">
        <v>0</v>
      </c>
      <c r="AC266" s="1">
        <v>100</v>
      </c>
      <c r="AD266" s="1">
        <v>0</v>
      </c>
      <c r="AE266" s="1">
        <v>100</v>
      </c>
      <c r="AF266" s="1" t="s">
        <v>874</v>
      </c>
      <c r="AG266" s="3" t="s">
        <v>612</v>
      </c>
      <c r="AH266" s="3">
        <v>45</v>
      </c>
      <c r="AI266" s="3">
        <v>46</v>
      </c>
      <c r="AM266" s="3"/>
    </row>
    <row r="267" spans="1:39" ht="13.5" thickBot="1" x14ac:dyDescent="0.35">
      <c r="A267" s="5" t="str">
        <f t="shared" si="62"/>
        <v>BBD130</v>
      </c>
      <c r="B267" s="1" t="s">
        <v>1756</v>
      </c>
      <c r="C267" s="2" t="str">
        <f t="shared" si="63"/>
        <v>DIO1</v>
      </c>
      <c r="D267" s="2">
        <v>130</v>
      </c>
      <c r="E267" s="3">
        <f t="shared" si="64"/>
        <v>2</v>
      </c>
      <c r="F267" s="3">
        <f t="shared" si="65"/>
        <v>4</v>
      </c>
      <c r="G267" s="3">
        <v>0</v>
      </c>
      <c r="H267" s="55">
        <f t="shared" si="66"/>
        <v>6</v>
      </c>
      <c r="I267" s="59">
        <f t="shared" si="67"/>
        <v>7</v>
      </c>
      <c r="J267" s="216"/>
      <c r="K267" s="2"/>
      <c r="L267" s="30" t="s">
        <v>880</v>
      </c>
      <c r="M267" s="2">
        <v>5</v>
      </c>
      <c r="N267" s="1" t="s">
        <v>1778</v>
      </c>
      <c r="O267" s="1" t="s">
        <v>1630</v>
      </c>
      <c r="P267" s="1" t="s">
        <v>1621</v>
      </c>
      <c r="Q267" s="1" t="s">
        <v>1777</v>
      </c>
      <c r="R267" s="2"/>
      <c r="S267" s="1" t="s">
        <v>780</v>
      </c>
      <c r="T267" s="1" t="s">
        <v>513</v>
      </c>
      <c r="U267" s="1" t="s">
        <v>868</v>
      </c>
      <c r="V267" s="1" t="str">
        <f t="shared" si="61"/>
        <v>2.4\0.6:7</v>
      </c>
      <c r="W267" s="1" t="s">
        <v>1760</v>
      </c>
      <c r="X267" s="18">
        <v>0</v>
      </c>
      <c r="Z267" s="206" t="s">
        <v>1062</v>
      </c>
      <c r="AB267" s="1">
        <v>0</v>
      </c>
      <c r="AC267" s="1">
        <v>100</v>
      </c>
      <c r="AD267" s="1">
        <v>0</v>
      </c>
      <c r="AE267" s="1">
        <v>100</v>
      </c>
      <c r="AF267" s="1" t="s">
        <v>874</v>
      </c>
      <c r="AG267" s="3" t="s">
        <v>612</v>
      </c>
      <c r="AH267" s="3">
        <v>47</v>
      </c>
      <c r="AI267" s="3">
        <v>48</v>
      </c>
      <c r="AM267" s="3"/>
    </row>
    <row r="268" spans="1:39" x14ac:dyDescent="0.3">
      <c r="A268" s="76" t="s">
        <v>1471</v>
      </c>
      <c r="B268" s="1" t="s">
        <v>1756</v>
      </c>
      <c r="C268" s="2" t="str">
        <f t="shared" si="63"/>
        <v>DIO1</v>
      </c>
      <c r="D268" s="2">
        <v>130</v>
      </c>
      <c r="E268" s="3">
        <f t="shared" si="64"/>
        <v>2</v>
      </c>
      <c r="F268" s="3">
        <f t="shared" si="65"/>
        <v>4</v>
      </c>
      <c r="G268" s="3">
        <v>0</v>
      </c>
      <c r="H268" s="62">
        <v>7</v>
      </c>
      <c r="I268" s="56">
        <v>0</v>
      </c>
      <c r="J268" s="218" t="s">
        <v>879</v>
      </c>
      <c r="K268" s="1" t="s">
        <v>896</v>
      </c>
      <c r="L268" s="30" t="s">
        <v>880</v>
      </c>
      <c r="M268" s="2">
        <v>5</v>
      </c>
      <c r="N268" s="1" t="s">
        <v>1776</v>
      </c>
      <c r="O268" s="1" t="s">
        <v>1113</v>
      </c>
      <c r="P268" s="1" t="s">
        <v>1743</v>
      </c>
      <c r="Q268" s="2" t="s">
        <v>1775</v>
      </c>
      <c r="R268" s="2"/>
      <c r="S268" s="1" t="s">
        <v>869</v>
      </c>
      <c r="T268" s="1" t="s">
        <v>513</v>
      </c>
      <c r="U268" s="1" t="s">
        <v>868</v>
      </c>
      <c r="V268" s="1" t="str">
        <f t="shared" si="61"/>
        <v>2.4\0.7:0</v>
      </c>
      <c r="W268" s="1" t="s">
        <v>1772</v>
      </c>
      <c r="X268" s="18">
        <v>0</v>
      </c>
      <c r="Z268" s="206" t="s">
        <v>1062</v>
      </c>
      <c r="AB268" s="1">
        <v>0</v>
      </c>
      <c r="AC268" s="1">
        <v>100</v>
      </c>
      <c r="AD268" s="1">
        <v>0</v>
      </c>
      <c r="AE268" s="1">
        <v>100</v>
      </c>
      <c r="AF268" s="1" t="s">
        <v>874</v>
      </c>
      <c r="AG268" s="3" t="s">
        <v>588</v>
      </c>
      <c r="AH268" s="3">
        <v>33</v>
      </c>
      <c r="AI268" s="3">
        <v>34</v>
      </c>
      <c r="AM268" s="3"/>
    </row>
    <row r="269" spans="1:39" x14ac:dyDescent="0.3">
      <c r="A269" s="5" t="str">
        <f t="shared" ref="A269:A275" si="68">A268</f>
        <v>BBD130</v>
      </c>
      <c r="B269" s="1" t="s">
        <v>1756</v>
      </c>
      <c r="C269" s="2" t="str">
        <f t="shared" si="63"/>
        <v>DIO1</v>
      </c>
      <c r="D269" s="2">
        <v>130</v>
      </c>
      <c r="E269" s="3">
        <f t="shared" si="64"/>
        <v>2</v>
      </c>
      <c r="F269" s="3">
        <f t="shared" si="65"/>
        <v>4</v>
      </c>
      <c r="G269" s="3">
        <v>0</v>
      </c>
      <c r="H269" s="55">
        <f t="shared" ref="H269:H275" si="69">+H268</f>
        <v>7</v>
      </c>
      <c r="I269" s="54">
        <f t="shared" ref="I269:I275" si="70">+I268+1</f>
        <v>1</v>
      </c>
      <c r="J269" s="217"/>
      <c r="K269" s="2"/>
      <c r="L269" s="30" t="s">
        <v>880</v>
      </c>
      <c r="M269" s="2">
        <v>5</v>
      </c>
      <c r="N269" s="1" t="s">
        <v>1774</v>
      </c>
      <c r="O269" s="1" t="s">
        <v>899</v>
      </c>
      <c r="P269" s="1" t="s">
        <v>1743</v>
      </c>
      <c r="Q269" s="1" t="s">
        <v>1773</v>
      </c>
      <c r="S269" s="1" t="s">
        <v>869</v>
      </c>
      <c r="T269" s="1" t="s">
        <v>513</v>
      </c>
      <c r="U269" s="1" t="s">
        <v>868</v>
      </c>
      <c r="V269" s="1" t="str">
        <f t="shared" si="61"/>
        <v>2.4\0.7:1</v>
      </c>
      <c r="W269" s="1" t="s">
        <v>1772</v>
      </c>
      <c r="X269" s="18">
        <v>0</v>
      </c>
      <c r="Z269" s="206" t="s">
        <v>1062</v>
      </c>
      <c r="AB269" s="1">
        <v>0</v>
      </c>
      <c r="AC269" s="1">
        <v>100</v>
      </c>
      <c r="AD269" s="1">
        <v>0</v>
      </c>
      <c r="AE269" s="1">
        <v>100</v>
      </c>
      <c r="AF269" s="1" t="s">
        <v>874</v>
      </c>
      <c r="AG269" s="3" t="s">
        <v>588</v>
      </c>
      <c r="AH269" s="3">
        <v>35</v>
      </c>
      <c r="AI269" s="3">
        <v>36</v>
      </c>
      <c r="AM269" s="3"/>
    </row>
    <row r="270" spans="1:39" x14ac:dyDescent="0.3">
      <c r="A270" s="5" t="str">
        <f t="shared" si="68"/>
        <v>BBD130</v>
      </c>
      <c r="B270" s="1" t="s">
        <v>1756</v>
      </c>
      <c r="C270" s="2" t="str">
        <f t="shared" si="63"/>
        <v>DIO1</v>
      </c>
      <c r="D270" s="2">
        <v>130</v>
      </c>
      <c r="E270" s="3">
        <f t="shared" si="64"/>
        <v>2</v>
      </c>
      <c r="F270" s="3">
        <f t="shared" si="65"/>
        <v>4</v>
      </c>
      <c r="G270" s="3">
        <v>0</v>
      </c>
      <c r="H270" s="55">
        <f t="shared" si="69"/>
        <v>7</v>
      </c>
      <c r="I270" s="54">
        <f t="shared" si="70"/>
        <v>2</v>
      </c>
      <c r="J270" s="217"/>
      <c r="K270" s="2"/>
      <c r="L270" s="30" t="s">
        <v>880</v>
      </c>
      <c r="M270" s="2"/>
      <c r="Q270" s="1" t="s">
        <v>302</v>
      </c>
      <c r="R270" s="2"/>
      <c r="V270" s="1" t="str">
        <f t="shared" si="61"/>
        <v>2.4\0.7:2</v>
      </c>
      <c r="Z270" s="206" t="s">
        <v>1062</v>
      </c>
      <c r="AG270" s="3" t="s">
        <v>588</v>
      </c>
      <c r="AH270" s="3">
        <v>37</v>
      </c>
      <c r="AI270" s="3">
        <v>38</v>
      </c>
      <c r="AM270" s="3"/>
    </row>
    <row r="271" spans="1:39" x14ac:dyDescent="0.3">
      <c r="A271" s="5" t="str">
        <f t="shared" si="68"/>
        <v>BBD130</v>
      </c>
      <c r="B271" s="1" t="s">
        <v>1756</v>
      </c>
      <c r="C271" s="2" t="str">
        <f t="shared" si="63"/>
        <v>DIO1</v>
      </c>
      <c r="D271" s="2">
        <v>130</v>
      </c>
      <c r="E271" s="3">
        <f t="shared" si="64"/>
        <v>2</v>
      </c>
      <c r="F271" s="3">
        <f t="shared" si="65"/>
        <v>4</v>
      </c>
      <c r="G271" s="3">
        <v>0</v>
      </c>
      <c r="H271" s="55">
        <f t="shared" si="69"/>
        <v>7</v>
      </c>
      <c r="I271" s="54">
        <f t="shared" si="70"/>
        <v>3</v>
      </c>
      <c r="J271" s="217"/>
      <c r="K271" s="2"/>
      <c r="L271" s="30" t="s">
        <v>880</v>
      </c>
      <c r="M271" s="2"/>
      <c r="Q271" s="1" t="s">
        <v>302</v>
      </c>
      <c r="R271" s="2"/>
      <c r="V271" s="1" t="str">
        <f t="shared" si="61"/>
        <v>2.4\0.7:3</v>
      </c>
      <c r="Z271" s="206" t="s">
        <v>1062</v>
      </c>
      <c r="AG271" s="3" t="s">
        <v>588</v>
      </c>
      <c r="AH271" s="3">
        <v>39</v>
      </c>
      <c r="AI271" s="3">
        <v>40</v>
      </c>
      <c r="AM271" s="3"/>
    </row>
    <row r="272" spans="1:39" x14ac:dyDescent="0.3">
      <c r="A272" s="5" t="str">
        <f t="shared" si="68"/>
        <v>BBD130</v>
      </c>
      <c r="B272" s="1" t="s">
        <v>1756</v>
      </c>
      <c r="C272" s="2" t="str">
        <f t="shared" si="63"/>
        <v>DIO1</v>
      </c>
      <c r="D272" s="2">
        <v>130</v>
      </c>
      <c r="E272" s="3">
        <f t="shared" si="64"/>
        <v>2</v>
      </c>
      <c r="F272" s="3">
        <f t="shared" si="65"/>
        <v>4</v>
      </c>
      <c r="G272" s="3">
        <v>0</v>
      </c>
      <c r="H272" s="55">
        <f t="shared" si="69"/>
        <v>7</v>
      </c>
      <c r="I272" s="54">
        <f t="shared" si="70"/>
        <v>4</v>
      </c>
      <c r="J272" s="217"/>
      <c r="K272" s="2"/>
      <c r="L272" s="30" t="s">
        <v>880</v>
      </c>
      <c r="M272" s="2">
        <v>5</v>
      </c>
      <c r="N272" s="1" t="s">
        <v>1771</v>
      </c>
      <c r="O272" s="1" t="s">
        <v>1770</v>
      </c>
      <c r="P272" s="1" t="s">
        <v>1769</v>
      </c>
      <c r="Q272" s="1" t="s">
        <v>1768</v>
      </c>
      <c r="S272" s="1" t="s">
        <v>883</v>
      </c>
      <c r="T272" s="1" t="s">
        <v>1471</v>
      </c>
      <c r="U272" s="1" t="s">
        <v>868</v>
      </c>
      <c r="V272" s="1" t="str">
        <f t="shared" si="61"/>
        <v>2.4\0.7:4</v>
      </c>
      <c r="W272" s="1" t="s">
        <v>1767</v>
      </c>
      <c r="X272" s="18">
        <v>0</v>
      </c>
      <c r="Z272" s="206" t="s">
        <v>1062</v>
      </c>
      <c r="AB272" s="1">
        <v>0</v>
      </c>
      <c r="AC272" s="1">
        <v>3.9</v>
      </c>
      <c r="AD272" s="1">
        <v>0</v>
      </c>
      <c r="AE272" s="1">
        <v>3.9</v>
      </c>
      <c r="AF272" s="1" t="s">
        <v>865</v>
      </c>
      <c r="AG272" s="3" t="s">
        <v>588</v>
      </c>
      <c r="AH272" s="3">
        <v>41</v>
      </c>
      <c r="AI272" s="3">
        <v>42</v>
      </c>
      <c r="AM272" s="3"/>
    </row>
    <row r="273" spans="1:39" x14ac:dyDescent="0.3">
      <c r="A273" s="5" t="str">
        <f t="shared" si="68"/>
        <v>BBD130</v>
      </c>
      <c r="B273" s="1" t="s">
        <v>1756</v>
      </c>
      <c r="C273" s="2" t="str">
        <f t="shared" si="63"/>
        <v>DIO1</v>
      </c>
      <c r="D273" s="2">
        <v>130</v>
      </c>
      <c r="E273" s="3">
        <f t="shared" si="64"/>
        <v>2</v>
      </c>
      <c r="F273" s="3">
        <f t="shared" si="65"/>
        <v>4</v>
      </c>
      <c r="G273" s="3">
        <v>0</v>
      </c>
      <c r="H273" s="55">
        <f t="shared" si="69"/>
        <v>7</v>
      </c>
      <c r="I273" s="54">
        <f t="shared" si="70"/>
        <v>5</v>
      </c>
      <c r="J273" s="217"/>
      <c r="K273" s="2"/>
      <c r="L273" s="30" t="s">
        <v>880</v>
      </c>
      <c r="M273" s="2">
        <v>5</v>
      </c>
      <c r="N273" s="1" t="s">
        <v>1766</v>
      </c>
      <c r="O273" s="1" t="s">
        <v>885</v>
      </c>
      <c r="P273" s="1" t="s">
        <v>1621</v>
      </c>
      <c r="Q273" s="1" t="s">
        <v>1765</v>
      </c>
      <c r="R273" s="2"/>
      <c r="S273" s="1" t="s">
        <v>883</v>
      </c>
      <c r="T273" s="1" t="s">
        <v>1740</v>
      </c>
      <c r="U273" s="1" t="s">
        <v>868</v>
      </c>
      <c r="V273" s="1" t="str">
        <f t="shared" si="61"/>
        <v>2.4\0.7:5</v>
      </c>
      <c r="W273" s="1" t="s">
        <v>1760</v>
      </c>
      <c r="X273" s="18">
        <v>0</v>
      </c>
      <c r="Z273" s="206" t="s">
        <v>1062</v>
      </c>
      <c r="AB273" s="1">
        <v>0</v>
      </c>
      <c r="AD273" s="1">
        <v>0</v>
      </c>
      <c r="AF273" s="1" t="s">
        <v>865</v>
      </c>
      <c r="AG273" s="3" t="s">
        <v>588</v>
      </c>
      <c r="AH273" s="3">
        <v>43</v>
      </c>
      <c r="AI273" s="3">
        <v>44</v>
      </c>
      <c r="AM273" s="3"/>
    </row>
    <row r="274" spans="1:39" x14ac:dyDescent="0.3">
      <c r="A274" s="5" t="str">
        <f t="shared" si="68"/>
        <v>BBD130</v>
      </c>
      <c r="B274" s="1" t="s">
        <v>1756</v>
      </c>
      <c r="C274" s="2" t="str">
        <f t="shared" si="63"/>
        <v>DIO1</v>
      </c>
      <c r="D274" s="2">
        <v>130</v>
      </c>
      <c r="E274" s="3">
        <f t="shared" si="64"/>
        <v>2</v>
      </c>
      <c r="F274" s="3">
        <f t="shared" si="65"/>
        <v>4</v>
      </c>
      <c r="G274" s="3">
        <v>0</v>
      </c>
      <c r="H274" s="55">
        <f t="shared" si="69"/>
        <v>7</v>
      </c>
      <c r="I274" s="54">
        <f t="shared" si="70"/>
        <v>6</v>
      </c>
      <c r="J274" s="217"/>
      <c r="K274" s="2"/>
      <c r="L274" s="30" t="s">
        <v>880</v>
      </c>
      <c r="M274" s="2">
        <v>5</v>
      </c>
      <c r="N274" s="1" t="s">
        <v>1764</v>
      </c>
      <c r="O274" s="1" t="s">
        <v>906</v>
      </c>
      <c r="P274" s="1" t="s">
        <v>1621</v>
      </c>
      <c r="Q274" s="1" t="s">
        <v>1763</v>
      </c>
      <c r="R274" s="2"/>
      <c r="S274" s="1" t="s">
        <v>883</v>
      </c>
      <c r="T274" s="1" t="s">
        <v>1740</v>
      </c>
      <c r="U274" s="1" t="s">
        <v>868</v>
      </c>
      <c r="V274" s="1" t="str">
        <f t="shared" si="61"/>
        <v>2.4\0.7:6</v>
      </c>
      <c r="W274" s="1" t="s">
        <v>1760</v>
      </c>
      <c r="X274" s="18">
        <v>0</v>
      </c>
      <c r="Z274" s="206" t="s">
        <v>1062</v>
      </c>
      <c r="AB274" s="1">
        <v>0</v>
      </c>
      <c r="AD274" s="1">
        <v>0</v>
      </c>
      <c r="AF274" s="1" t="s">
        <v>865</v>
      </c>
      <c r="AG274" s="3" t="s">
        <v>588</v>
      </c>
      <c r="AH274" s="3">
        <v>45</v>
      </c>
      <c r="AI274" s="3">
        <v>46</v>
      </c>
      <c r="AM274" s="3"/>
    </row>
    <row r="275" spans="1:39" ht="13.5" thickBot="1" x14ac:dyDescent="0.35">
      <c r="A275" s="5" t="str">
        <f t="shared" si="68"/>
        <v>BBD130</v>
      </c>
      <c r="B275" s="1" t="s">
        <v>1756</v>
      </c>
      <c r="C275" s="2" t="str">
        <f t="shared" si="63"/>
        <v>DIO1</v>
      </c>
      <c r="D275" s="2">
        <v>130</v>
      </c>
      <c r="E275" s="3">
        <f t="shared" si="64"/>
        <v>2</v>
      </c>
      <c r="F275" s="3">
        <f t="shared" si="65"/>
        <v>4</v>
      </c>
      <c r="G275" s="3">
        <v>0</v>
      </c>
      <c r="H275" s="55">
        <f t="shared" si="69"/>
        <v>7</v>
      </c>
      <c r="I275" s="59">
        <f t="shared" si="70"/>
        <v>7</v>
      </c>
      <c r="J275" s="217"/>
      <c r="K275" s="2"/>
      <c r="L275" s="30" t="s">
        <v>880</v>
      </c>
      <c r="M275" s="2">
        <v>5</v>
      </c>
      <c r="N275" s="1" t="s">
        <v>1762</v>
      </c>
      <c r="O275" s="1" t="s">
        <v>1103</v>
      </c>
      <c r="P275" s="1" t="s">
        <v>1621</v>
      </c>
      <c r="Q275" s="1" t="s">
        <v>1761</v>
      </c>
      <c r="R275" s="2"/>
      <c r="S275" s="1" t="s">
        <v>883</v>
      </c>
      <c r="T275" s="1" t="s">
        <v>1740</v>
      </c>
      <c r="U275" s="1" t="s">
        <v>868</v>
      </c>
      <c r="V275" s="1" t="str">
        <f t="shared" si="61"/>
        <v>2.4\0.7:7</v>
      </c>
      <c r="W275" s="1" t="s">
        <v>1760</v>
      </c>
      <c r="X275" s="18">
        <v>0</v>
      </c>
      <c r="Z275" s="206" t="s">
        <v>1062</v>
      </c>
      <c r="AB275" s="1">
        <v>0</v>
      </c>
      <c r="AD275" s="1">
        <v>0</v>
      </c>
      <c r="AF275" s="1" t="s">
        <v>865</v>
      </c>
      <c r="AG275" s="3" t="s">
        <v>588</v>
      </c>
      <c r="AH275" s="3">
        <v>47</v>
      </c>
      <c r="AI275" s="3">
        <v>48</v>
      </c>
      <c r="AM275" s="3"/>
    </row>
    <row r="276" spans="1:39" x14ac:dyDescent="0.3">
      <c r="A276" s="76" t="s">
        <v>1471</v>
      </c>
      <c r="B276" s="1" t="s">
        <v>1756</v>
      </c>
      <c r="C276" s="2" t="str">
        <f t="shared" si="63"/>
        <v>DIO1</v>
      </c>
      <c r="D276" s="2">
        <v>130</v>
      </c>
      <c r="E276" s="3">
        <f t="shared" si="64"/>
        <v>2</v>
      </c>
      <c r="F276" s="3">
        <f t="shared" si="65"/>
        <v>4</v>
      </c>
      <c r="G276" s="3">
        <v>0</v>
      </c>
      <c r="H276" s="57">
        <v>8</v>
      </c>
      <c r="I276" s="56">
        <v>0</v>
      </c>
      <c r="J276" s="238" t="s">
        <v>549</v>
      </c>
      <c r="K276" s="2" t="s">
        <v>1386</v>
      </c>
      <c r="L276" s="39" t="s">
        <v>1378</v>
      </c>
      <c r="M276" s="2">
        <v>5</v>
      </c>
      <c r="N276" s="1" t="s">
        <v>1759</v>
      </c>
      <c r="O276" s="1" t="s">
        <v>1384</v>
      </c>
      <c r="P276" s="1" t="s">
        <v>1743</v>
      </c>
      <c r="Q276" s="1" t="s">
        <v>1383</v>
      </c>
      <c r="S276" s="1" t="s">
        <v>1384</v>
      </c>
      <c r="T276" s="1" t="s">
        <v>513</v>
      </c>
      <c r="V276" s="1" t="str">
        <f t="shared" si="61"/>
        <v>2.4\0.8:0</v>
      </c>
      <c r="W276" s="1" t="s">
        <v>1757</v>
      </c>
      <c r="X276" s="18">
        <v>0</v>
      </c>
      <c r="Z276" s="206" t="s">
        <v>1062</v>
      </c>
      <c r="AG276" s="3" t="s">
        <v>732</v>
      </c>
      <c r="AH276" s="3">
        <v>37</v>
      </c>
      <c r="AI276" s="3">
        <v>38</v>
      </c>
      <c r="AM276" s="3"/>
    </row>
    <row r="277" spans="1:39" x14ac:dyDescent="0.3">
      <c r="A277" s="5" t="str">
        <f t="shared" ref="A277:A283" si="71">A276</f>
        <v>BBD130</v>
      </c>
      <c r="B277" s="1" t="s">
        <v>1756</v>
      </c>
      <c r="C277" s="2" t="str">
        <f t="shared" si="63"/>
        <v>DIO1</v>
      </c>
      <c r="D277" s="2">
        <v>130</v>
      </c>
      <c r="E277" s="3">
        <f t="shared" si="64"/>
        <v>2</v>
      </c>
      <c r="F277" s="3">
        <f t="shared" si="65"/>
        <v>4</v>
      </c>
      <c r="G277" s="3">
        <v>0</v>
      </c>
      <c r="H277" s="55">
        <f t="shared" ref="H277:H283" si="72">+H276</f>
        <v>8</v>
      </c>
      <c r="I277" s="54">
        <f t="shared" ref="I277:I283" si="73">+I276+1</f>
        <v>1</v>
      </c>
      <c r="J277" s="237"/>
      <c r="K277" s="2"/>
      <c r="L277" s="39" t="s">
        <v>1378</v>
      </c>
      <c r="M277" s="2">
        <v>5</v>
      </c>
      <c r="N277" s="1" t="s">
        <v>1759</v>
      </c>
      <c r="O277" s="1" t="s">
        <v>1381</v>
      </c>
      <c r="P277" s="1" t="s">
        <v>1743</v>
      </c>
      <c r="Q277" s="1" t="s">
        <v>1380</v>
      </c>
      <c r="S277" s="1" t="s">
        <v>1384</v>
      </c>
      <c r="T277" s="1" t="s">
        <v>513</v>
      </c>
      <c r="V277" s="1" t="str">
        <f t="shared" si="61"/>
        <v>2.4\0.8:1</v>
      </c>
      <c r="W277" s="1" t="s">
        <v>1757</v>
      </c>
      <c r="X277" s="18">
        <v>0</v>
      </c>
      <c r="Z277" s="206" t="s">
        <v>1062</v>
      </c>
      <c r="AG277" s="3" t="s">
        <v>732</v>
      </c>
      <c r="AH277" s="3">
        <v>39</v>
      </c>
      <c r="AI277" s="3">
        <v>40</v>
      </c>
      <c r="AM277" s="3"/>
    </row>
    <row r="278" spans="1:39" x14ac:dyDescent="0.3">
      <c r="A278" s="5" t="str">
        <f t="shared" si="71"/>
        <v>BBD130</v>
      </c>
      <c r="B278" s="1" t="s">
        <v>1756</v>
      </c>
      <c r="C278" s="2" t="str">
        <f t="shared" si="63"/>
        <v>DIO1</v>
      </c>
      <c r="D278" s="2">
        <v>130</v>
      </c>
      <c r="E278" s="3">
        <f t="shared" si="64"/>
        <v>2</v>
      </c>
      <c r="F278" s="3">
        <f t="shared" si="65"/>
        <v>4</v>
      </c>
      <c r="G278" s="3">
        <v>0</v>
      </c>
      <c r="H278" s="55">
        <f t="shared" si="72"/>
        <v>8</v>
      </c>
      <c r="I278" s="54">
        <f t="shared" si="73"/>
        <v>2</v>
      </c>
      <c r="J278" s="237"/>
      <c r="K278" s="2"/>
      <c r="L278" s="39" t="s">
        <v>1378</v>
      </c>
      <c r="M278" s="2">
        <v>5</v>
      </c>
      <c r="N278" s="1" t="s">
        <v>1758</v>
      </c>
      <c r="O278" s="1" t="s">
        <v>1384</v>
      </c>
      <c r="P278" s="1" t="s">
        <v>1747</v>
      </c>
      <c r="Q278" s="1" t="s">
        <v>1383</v>
      </c>
      <c r="S278" s="1" t="s">
        <v>1384</v>
      </c>
      <c r="T278" s="1" t="s">
        <v>526</v>
      </c>
      <c r="V278" s="1" t="str">
        <f t="shared" si="61"/>
        <v>2.4\0.8:2</v>
      </c>
      <c r="W278" s="1" t="s">
        <v>1757</v>
      </c>
      <c r="X278" s="18">
        <v>0</v>
      </c>
      <c r="Z278" s="206" t="s">
        <v>1062</v>
      </c>
      <c r="AG278" s="3" t="s">
        <v>732</v>
      </c>
      <c r="AH278" s="3">
        <v>41</v>
      </c>
      <c r="AI278" s="3">
        <v>42</v>
      </c>
      <c r="AM278" s="3"/>
    </row>
    <row r="279" spans="1:39" x14ac:dyDescent="0.3">
      <c r="A279" s="5" t="str">
        <f t="shared" si="71"/>
        <v>BBD130</v>
      </c>
      <c r="B279" s="1" t="s">
        <v>1756</v>
      </c>
      <c r="C279" s="2" t="str">
        <f t="shared" si="63"/>
        <v>DIO1</v>
      </c>
      <c r="D279" s="2">
        <v>130</v>
      </c>
      <c r="E279" s="3">
        <f t="shared" si="64"/>
        <v>2</v>
      </c>
      <c r="F279" s="3">
        <f t="shared" si="65"/>
        <v>4</v>
      </c>
      <c r="G279" s="3">
        <v>0</v>
      </c>
      <c r="H279" s="55">
        <f t="shared" si="72"/>
        <v>8</v>
      </c>
      <c r="I279" s="54">
        <f t="shared" si="73"/>
        <v>3</v>
      </c>
      <c r="J279" s="237"/>
      <c r="K279" s="2"/>
      <c r="L279" s="39" t="s">
        <v>1378</v>
      </c>
      <c r="M279" s="2">
        <v>5</v>
      </c>
      <c r="N279" s="1" t="s">
        <v>1758</v>
      </c>
      <c r="O279" s="1" t="s">
        <v>1381</v>
      </c>
      <c r="P279" s="1" t="s">
        <v>1747</v>
      </c>
      <c r="Q279" s="1" t="s">
        <v>1380</v>
      </c>
      <c r="S279" s="1" t="s">
        <v>1384</v>
      </c>
      <c r="T279" s="1" t="s">
        <v>526</v>
      </c>
      <c r="V279" s="1" t="str">
        <f t="shared" si="61"/>
        <v>2.4\0.8:3</v>
      </c>
      <c r="W279" s="1" t="s">
        <v>1757</v>
      </c>
      <c r="X279" s="18">
        <v>0</v>
      </c>
      <c r="Z279" s="206" t="s">
        <v>1062</v>
      </c>
      <c r="AG279" s="3" t="s">
        <v>732</v>
      </c>
      <c r="AH279" s="3">
        <v>43</v>
      </c>
      <c r="AI279" s="3">
        <v>44</v>
      </c>
      <c r="AM279" s="3"/>
    </row>
    <row r="280" spans="1:39" x14ac:dyDescent="0.3">
      <c r="A280" s="5" t="str">
        <f t="shared" si="71"/>
        <v>BBD130</v>
      </c>
      <c r="B280" s="1" t="s">
        <v>1756</v>
      </c>
      <c r="C280" s="2" t="str">
        <f t="shared" si="63"/>
        <v>DIO1</v>
      </c>
      <c r="D280" s="2">
        <v>130</v>
      </c>
      <c r="E280" s="3">
        <f t="shared" si="64"/>
        <v>2</v>
      </c>
      <c r="F280" s="3">
        <f t="shared" si="65"/>
        <v>4</v>
      </c>
      <c r="G280" s="3">
        <v>0</v>
      </c>
      <c r="H280" s="55">
        <f t="shared" si="72"/>
        <v>8</v>
      </c>
      <c r="I280" s="54">
        <f t="shared" si="73"/>
        <v>4</v>
      </c>
      <c r="J280" s="237"/>
      <c r="K280" s="2"/>
      <c r="L280" s="39" t="s">
        <v>1378</v>
      </c>
      <c r="M280" s="2"/>
      <c r="N280" s="2"/>
      <c r="V280" s="1" t="str">
        <f t="shared" si="61"/>
        <v>2.4\0.8:4</v>
      </c>
      <c r="Z280" s="206" t="s">
        <v>1062</v>
      </c>
      <c r="AG280" s="3" t="s">
        <v>732</v>
      </c>
      <c r="AH280" s="3">
        <v>45</v>
      </c>
      <c r="AI280" s="3">
        <v>46</v>
      </c>
      <c r="AM280" s="3"/>
    </row>
    <row r="281" spans="1:39" x14ac:dyDescent="0.3">
      <c r="A281" s="5" t="str">
        <f t="shared" si="71"/>
        <v>BBD130</v>
      </c>
      <c r="B281" s="1" t="s">
        <v>1756</v>
      </c>
      <c r="C281" s="2" t="str">
        <f t="shared" si="63"/>
        <v>DIO1</v>
      </c>
      <c r="D281" s="2">
        <v>130</v>
      </c>
      <c r="E281" s="3">
        <f t="shared" si="64"/>
        <v>2</v>
      </c>
      <c r="F281" s="3">
        <f t="shared" si="65"/>
        <v>4</v>
      </c>
      <c r="G281" s="3">
        <v>0</v>
      </c>
      <c r="H281" s="55">
        <f t="shared" si="72"/>
        <v>8</v>
      </c>
      <c r="I281" s="54">
        <f t="shared" si="73"/>
        <v>5</v>
      </c>
      <c r="J281" s="237"/>
      <c r="K281" s="2"/>
      <c r="L281" s="39" t="s">
        <v>1378</v>
      </c>
      <c r="M281" s="2"/>
      <c r="N281" s="2"/>
      <c r="V281" s="1" t="str">
        <f t="shared" si="61"/>
        <v>2.4\0.8:5</v>
      </c>
      <c r="Z281" s="206" t="s">
        <v>1062</v>
      </c>
      <c r="AG281" s="3" t="s">
        <v>732</v>
      </c>
      <c r="AH281" s="3">
        <v>47</v>
      </c>
      <c r="AI281" s="3">
        <v>48</v>
      </c>
      <c r="AM281" s="3"/>
    </row>
    <row r="282" spans="1:39" x14ac:dyDescent="0.3">
      <c r="A282" s="5" t="str">
        <f t="shared" si="71"/>
        <v>BBD130</v>
      </c>
      <c r="B282" s="1" t="s">
        <v>1756</v>
      </c>
      <c r="C282" s="2" t="str">
        <f t="shared" si="63"/>
        <v>DIO1</v>
      </c>
      <c r="D282" s="2">
        <v>130</v>
      </c>
      <c r="E282" s="3">
        <f t="shared" si="64"/>
        <v>2</v>
      </c>
      <c r="F282" s="3">
        <f t="shared" si="65"/>
        <v>4</v>
      </c>
      <c r="G282" s="3">
        <v>0</v>
      </c>
      <c r="H282" s="55">
        <f t="shared" si="72"/>
        <v>8</v>
      </c>
      <c r="I282" s="54">
        <f t="shared" si="73"/>
        <v>6</v>
      </c>
      <c r="J282" s="237"/>
      <c r="K282" s="2"/>
      <c r="L282" s="39" t="s">
        <v>1378</v>
      </c>
      <c r="M282" s="2"/>
      <c r="N282" s="2"/>
      <c r="V282" s="1" t="str">
        <f t="shared" si="61"/>
        <v>2.4\0.8:6</v>
      </c>
      <c r="Z282" s="206" t="s">
        <v>1062</v>
      </c>
      <c r="AG282" s="3" t="s">
        <v>732</v>
      </c>
      <c r="AH282" s="3">
        <v>49</v>
      </c>
      <c r="AI282" s="3">
        <v>50</v>
      </c>
      <c r="AM282" s="3"/>
    </row>
    <row r="283" spans="1:39" ht="13.5" thickBot="1" x14ac:dyDescent="0.35">
      <c r="A283" s="5" t="str">
        <f t="shared" si="71"/>
        <v>BBD130</v>
      </c>
      <c r="B283" s="1" t="s">
        <v>1756</v>
      </c>
      <c r="C283" s="2" t="str">
        <f t="shared" si="63"/>
        <v>DIO1</v>
      </c>
      <c r="D283" s="2">
        <v>130</v>
      </c>
      <c r="E283" s="3">
        <f t="shared" si="64"/>
        <v>2</v>
      </c>
      <c r="F283" s="3">
        <f t="shared" si="65"/>
        <v>4</v>
      </c>
      <c r="G283" s="3">
        <v>0</v>
      </c>
      <c r="H283" s="55">
        <f t="shared" si="72"/>
        <v>8</v>
      </c>
      <c r="I283" s="59">
        <f t="shared" si="73"/>
        <v>7</v>
      </c>
      <c r="J283" s="236"/>
      <c r="K283" s="27"/>
      <c r="L283" s="39" t="s">
        <v>1378</v>
      </c>
      <c r="M283" s="2"/>
      <c r="N283" s="2"/>
      <c r="V283" s="1" t="str">
        <f t="shared" si="61"/>
        <v>2.4\0.8:7</v>
      </c>
      <c r="Z283" s="206" t="s">
        <v>1062</v>
      </c>
      <c r="AG283" s="3" t="s">
        <v>732</v>
      </c>
      <c r="AH283" s="3">
        <v>51</v>
      </c>
      <c r="AI283" s="3">
        <v>52</v>
      </c>
      <c r="AM283" s="3"/>
    </row>
    <row r="284" spans="1:39" x14ac:dyDescent="0.3">
      <c r="A284" s="76" t="s">
        <v>1471</v>
      </c>
      <c r="B284" s="1" t="s">
        <v>1756</v>
      </c>
      <c r="C284" s="2" t="str">
        <f t="shared" si="63"/>
        <v>DIO1</v>
      </c>
      <c r="D284" s="2">
        <v>130</v>
      </c>
      <c r="E284" s="3">
        <f t="shared" si="64"/>
        <v>2</v>
      </c>
      <c r="F284" s="3">
        <f t="shared" si="65"/>
        <v>4</v>
      </c>
      <c r="G284" s="3">
        <v>0</v>
      </c>
      <c r="H284" s="62">
        <v>9</v>
      </c>
      <c r="I284" s="56"/>
      <c r="J284" s="209"/>
      <c r="K284" s="41" t="s">
        <v>300</v>
      </c>
      <c r="M284" s="2"/>
      <c r="N284" s="2"/>
      <c r="R284" s="2"/>
      <c r="V284" s="1" t="str">
        <f t="shared" si="61"/>
        <v>2.4\0.9:</v>
      </c>
      <c r="AE284" s="8"/>
      <c r="AF284" s="8"/>
      <c r="AM284" s="3"/>
    </row>
    <row r="285" spans="1:39" x14ac:dyDescent="0.3">
      <c r="A285" s="5" t="str">
        <f>A284</f>
        <v>BBD130</v>
      </c>
      <c r="B285" s="1" t="s">
        <v>1756</v>
      </c>
      <c r="C285" s="2" t="str">
        <f t="shared" si="63"/>
        <v>DIO1</v>
      </c>
      <c r="D285" s="2">
        <v>130</v>
      </c>
      <c r="E285" s="3">
        <f t="shared" si="64"/>
        <v>2</v>
      </c>
      <c r="F285" s="3">
        <f t="shared" si="65"/>
        <v>4</v>
      </c>
      <c r="G285" s="3">
        <v>0</v>
      </c>
      <c r="H285" s="55">
        <f>+H284</f>
        <v>9</v>
      </c>
      <c r="I285" s="54"/>
      <c r="J285" s="208"/>
      <c r="K285" s="2"/>
      <c r="M285" s="2"/>
      <c r="N285" s="2"/>
      <c r="R285" s="2"/>
      <c r="V285" s="1" t="str">
        <f t="shared" si="61"/>
        <v>2.4\0.9:</v>
      </c>
      <c r="AE285" s="8"/>
      <c r="AF285" s="8"/>
      <c r="AM285" s="3"/>
    </row>
    <row r="286" spans="1:39" x14ac:dyDescent="0.3">
      <c r="A286" s="5" t="str">
        <f>A285</f>
        <v>BBD130</v>
      </c>
      <c r="B286" s="1" t="s">
        <v>1756</v>
      </c>
      <c r="C286" s="2" t="str">
        <f t="shared" si="63"/>
        <v>DIO1</v>
      </c>
      <c r="D286" s="2">
        <v>130</v>
      </c>
      <c r="E286" s="3">
        <f t="shared" si="64"/>
        <v>2</v>
      </c>
      <c r="F286" s="3">
        <f t="shared" si="65"/>
        <v>4</v>
      </c>
      <c r="G286" s="3">
        <v>0</v>
      </c>
      <c r="H286" s="55">
        <f>+H285</f>
        <v>9</v>
      </c>
      <c r="I286" s="54"/>
      <c r="J286" s="208"/>
      <c r="K286" s="2"/>
      <c r="M286" s="2"/>
      <c r="N286" s="2"/>
      <c r="R286" s="2"/>
      <c r="V286" s="1" t="str">
        <f t="shared" si="61"/>
        <v>2.4\0.9:</v>
      </c>
      <c r="AM286" s="3"/>
    </row>
    <row r="287" spans="1:39" ht="13.5" thickBot="1" x14ac:dyDescent="0.35">
      <c r="A287" s="5" t="str">
        <f>A286</f>
        <v>BBD130</v>
      </c>
      <c r="B287" s="1" t="s">
        <v>1756</v>
      </c>
      <c r="C287" s="2" t="str">
        <f t="shared" si="63"/>
        <v>DIO1</v>
      </c>
      <c r="D287" s="2">
        <v>130</v>
      </c>
      <c r="E287" s="3">
        <f t="shared" si="64"/>
        <v>2</v>
      </c>
      <c r="F287" s="3">
        <f t="shared" si="65"/>
        <v>4</v>
      </c>
      <c r="G287" s="3">
        <v>0</v>
      </c>
      <c r="H287" s="55">
        <f>+H286</f>
        <v>9</v>
      </c>
      <c r="I287" s="59"/>
      <c r="J287" s="207"/>
      <c r="K287" s="2"/>
      <c r="M287" s="2"/>
      <c r="N287" s="2"/>
      <c r="R287" s="2"/>
      <c r="V287" s="1" t="str">
        <f t="shared" si="61"/>
        <v>2.4\0.9:</v>
      </c>
      <c r="AM287" s="3"/>
    </row>
    <row r="288" spans="1:39" x14ac:dyDescent="0.3">
      <c r="A288" s="76" t="s">
        <v>1471</v>
      </c>
      <c r="B288" s="1" t="s">
        <v>1756</v>
      </c>
      <c r="C288" s="2" t="str">
        <f t="shared" si="63"/>
        <v>DIO1</v>
      </c>
      <c r="D288" s="2">
        <v>130</v>
      </c>
      <c r="E288" s="3">
        <f t="shared" si="64"/>
        <v>2</v>
      </c>
      <c r="F288" s="3">
        <f t="shared" si="65"/>
        <v>4</v>
      </c>
      <c r="G288" s="3">
        <v>0</v>
      </c>
      <c r="H288" s="57">
        <v>10</v>
      </c>
      <c r="I288" s="56"/>
      <c r="J288" s="209"/>
      <c r="K288" s="41" t="s">
        <v>300</v>
      </c>
      <c r="M288" s="2"/>
      <c r="N288" s="2"/>
      <c r="R288" s="2"/>
      <c r="V288" s="1" t="str">
        <f t="shared" si="61"/>
        <v>2.4\0.10:</v>
      </c>
      <c r="AM288" s="3"/>
    </row>
    <row r="289" spans="1:39" x14ac:dyDescent="0.3">
      <c r="A289" s="5" t="str">
        <f>A288</f>
        <v>BBD130</v>
      </c>
      <c r="B289" s="1" t="s">
        <v>1756</v>
      </c>
      <c r="C289" s="2" t="str">
        <f t="shared" si="63"/>
        <v>DIO1</v>
      </c>
      <c r="D289" s="2">
        <v>130</v>
      </c>
      <c r="E289" s="3">
        <f t="shared" si="64"/>
        <v>2</v>
      </c>
      <c r="F289" s="3">
        <f t="shared" si="65"/>
        <v>4</v>
      </c>
      <c r="G289" s="3">
        <v>0</v>
      </c>
      <c r="H289" s="55">
        <f>+H288</f>
        <v>10</v>
      </c>
      <c r="I289" s="54"/>
      <c r="J289" s="208"/>
      <c r="K289" s="2"/>
      <c r="M289" s="2"/>
      <c r="N289" s="2"/>
      <c r="R289" s="2"/>
      <c r="V289" s="1" t="str">
        <f t="shared" si="61"/>
        <v>2.4\0.10:</v>
      </c>
      <c r="AM289" s="3"/>
    </row>
    <row r="290" spans="1:39" x14ac:dyDescent="0.3">
      <c r="A290" s="5" t="str">
        <f>A289</f>
        <v>BBD130</v>
      </c>
      <c r="B290" s="1" t="s">
        <v>1756</v>
      </c>
      <c r="C290" s="2" t="str">
        <f t="shared" si="63"/>
        <v>DIO1</v>
      </c>
      <c r="D290" s="2">
        <v>130</v>
      </c>
      <c r="E290" s="3">
        <f t="shared" si="64"/>
        <v>2</v>
      </c>
      <c r="F290" s="3">
        <f t="shared" si="65"/>
        <v>4</v>
      </c>
      <c r="G290" s="3">
        <v>0</v>
      </c>
      <c r="H290" s="55">
        <f>+H289</f>
        <v>10</v>
      </c>
      <c r="I290" s="54"/>
      <c r="J290" s="208"/>
      <c r="K290" s="2"/>
      <c r="M290" s="2"/>
      <c r="N290" s="2"/>
      <c r="R290" s="2"/>
      <c r="V290" s="1" t="str">
        <f t="shared" si="61"/>
        <v>2.4\0.10:</v>
      </c>
      <c r="AM290" s="3"/>
    </row>
    <row r="291" spans="1:39" ht="13.5" thickBot="1" x14ac:dyDescent="0.35">
      <c r="A291" s="5" t="str">
        <f>A290</f>
        <v>BBD130</v>
      </c>
      <c r="B291" s="1" t="s">
        <v>1756</v>
      </c>
      <c r="C291" s="2" t="str">
        <f t="shared" si="63"/>
        <v>DIO1</v>
      </c>
      <c r="D291" s="2">
        <v>130</v>
      </c>
      <c r="E291" s="3">
        <f t="shared" si="64"/>
        <v>2</v>
      </c>
      <c r="F291" s="3">
        <f t="shared" si="65"/>
        <v>4</v>
      </c>
      <c r="G291" s="3">
        <v>0</v>
      </c>
      <c r="H291" s="55">
        <f>+H290</f>
        <v>10</v>
      </c>
      <c r="I291" s="59"/>
      <c r="J291" s="207"/>
      <c r="K291" s="2"/>
      <c r="M291" s="2"/>
      <c r="N291" s="2"/>
      <c r="R291" s="2"/>
      <c r="V291" s="1" t="str">
        <f t="shared" si="61"/>
        <v>2.4\0.10:</v>
      </c>
      <c r="AM291" s="3"/>
    </row>
    <row r="292" spans="1:39" x14ac:dyDescent="0.3">
      <c r="A292" s="76" t="s">
        <v>1471</v>
      </c>
      <c r="B292" s="1" t="s">
        <v>1756</v>
      </c>
      <c r="C292" s="2" t="str">
        <f t="shared" si="63"/>
        <v>DIO1</v>
      </c>
      <c r="D292" s="2">
        <v>130</v>
      </c>
      <c r="E292" s="3">
        <f t="shared" si="64"/>
        <v>2</v>
      </c>
      <c r="F292" s="3">
        <f t="shared" si="65"/>
        <v>4</v>
      </c>
      <c r="G292" s="3">
        <v>0</v>
      </c>
      <c r="H292" s="57">
        <v>11</v>
      </c>
      <c r="I292" s="56"/>
      <c r="J292" s="209"/>
      <c r="K292" s="41" t="s">
        <v>300</v>
      </c>
      <c r="M292" s="2"/>
      <c r="N292" s="2"/>
      <c r="R292" s="2"/>
      <c r="V292" s="1" t="str">
        <f t="shared" si="61"/>
        <v>2.4\0.11:</v>
      </c>
      <c r="AM292" s="3"/>
    </row>
    <row r="293" spans="1:39" x14ac:dyDescent="0.3">
      <c r="A293" s="5" t="str">
        <f>A292</f>
        <v>BBD130</v>
      </c>
      <c r="B293" s="1" t="s">
        <v>1756</v>
      </c>
      <c r="C293" s="2" t="str">
        <f t="shared" si="63"/>
        <v>DIO1</v>
      </c>
      <c r="D293" s="2">
        <v>130</v>
      </c>
      <c r="E293" s="3">
        <f t="shared" si="64"/>
        <v>2</v>
      </c>
      <c r="F293" s="3">
        <f t="shared" si="65"/>
        <v>4</v>
      </c>
      <c r="G293" s="3">
        <v>0</v>
      </c>
      <c r="H293" s="55">
        <f>+H292</f>
        <v>11</v>
      </c>
      <c r="I293" s="54"/>
      <c r="J293" s="208"/>
      <c r="K293" s="2"/>
      <c r="M293" s="2"/>
      <c r="N293" s="2"/>
      <c r="R293" s="2"/>
      <c r="V293" s="1" t="str">
        <f t="shared" si="61"/>
        <v>2.4\0.11:</v>
      </c>
      <c r="AM293" s="3"/>
    </row>
    <row r="294" spans="1:39" x14ac:dyDescent="0.3">
      <c r="A294" s="5" t="str">
        <f>A293</f>
        <v>BBD130</v>
      </c>
      <c r="B294" s="1" t="s">
        <v>1756</v>
      </c>
      <c r="C294" s="2" t="str">
        <f t="shared" si="63"/>
        <v>DIO1</v>
      </c>
      <c r="D294" s="2">
        <v>130</v>
      </c>
      <c r="E294" s="3">
        <f t="shared" si="64"/>
        <v>2</v>
      </c>
      <c r="F294" s="3">
        <f t="shared" si="65"/>
        <v>4</v>
      </c>
      <c r="G294" s="3">
        <v>0</v>
      </c>
      <c r="H294" s="55">
        <f>+H293</f>
        <v>11</v>
      </c>
      <c r="I294" s="54"/>
      <c r="J294" s="208"/>
      <c r="K294" s="2"/>
      <c r="M294" s="2"/>
      <c r="N294" s="2"/>
      <c r="R294" s="2"/>
      <c r="V294" s="1" t="str">
        <f t="shared" si="61"/>
        <v>2.4\0.11:</v>
      </c>
      <c r="AM294" s="3"/>
    </row>
    <row r="295" spans="1:39" ht="13.5" thickBot="1" x14ac:dyDescent="0.35">
      <c r="A295" s="5" t="str">
        <f>A294</f>
        <v>BBD130</v>
      </c>
      <c r="B295" s="1" t="s">
        <v>1756</v>
      </c>
      <c r="C295" s="2" t="str">
        <f t="shared" si="63"/>
        <v>DIO1</v>
      </c>
      <c r="D295" s="2">
        <v>130</v>
      </c>
      <c r="E295" s="3">
        <f t="shared" si="64"/>
        <v>2</v>
      </c>
      <c r="F295" s="3">
        <f t="shared" si="65"/>
        <v>4</v>
      </c>
      <c r="G295" s="3">
        <v>0</v>
      </c>
      <c r="H295" s="55">
        <f>+H294</f>
        <v>11</v>
      </c>
      <c r="I295" s="59"/>
      <c r="J295" s="207"/>
      <c r="K295" s="2"/>
      <c r="M295" s="2"/>
      <c r="N295" s="2"/>
      <c r="R295" s="2"/>
      <c r="V295" s="1" t="str">
        <f t="shared" si="61"/>
        <v>2.4\0.11:</v>
      </c>
      <c r="AM295" s="3"/>
    </row>
    <row r="296" spans="1:39" x14ac:dyDescent="0.3">
      <c r="B296" s="1"/>
      <c r="C296" s="254"/>
      <c r="D296" s="2"/>
      <c r="E296" s="3"/>
      <c r="F296" s="3"/>
      <c r="G296" s="3"/>
      <c r="H296" s="55"/>
      <c r="I296" s="55"/>
      <c r="J296" s="3"/>
      <c r="K296" s="2"/>
      <c r="M296" s="2"/>
      <c r="N296" s="2"/>
      <c r="R296" s="2"/>
      <c r="AM296" s="3"/>
    </row>
    <row r="297" spans="1:39" x14ac:dyDescent="0.3">
      <c r="B297" s="1"/>
      <c r="C297" s="254"/>
      <c r="D297" s="2"/>
      <c r="E297" s="3"/>
      <c r="F297" s="3"/>
      <c r="G297" s="3"/>
      <c r="H297" s="55"/>
      <c r="I297" s="55"/>
      <c r="J297" s="3"/>
      <c r="K297" s="2"/>
      <c r="M297" s="2"/>
      <c r="N297" s="2"/>
      <c r="R297" s="2"/>
      <c r="AM297" s="3"/>
    </row>
    <row r="298" spans="1:39" ht="14.5" x14ac:dyDescent="0.35">
      <c r="K298" s="30" t="s">
        <v>843</v>
      </c>
      <c r="M298" s="2">
        <v>4</v>
      </c>
      <c r="N298" s="40" t="s">
        <v>513</v>
      </c>
      <c r="P298" s="40" t="s">
        <v>1621</v>
      </c>
      <c r="Q298" s="1" t="s">
        <v>1755</v>
      </c>
      <c r="S298" s="1" t="s">
        <v>839</v>
      </c>
      <c r="T298" s="1" t="s">
        <v>1740</v>
      </c>
      <c r="W298" s="1" t="s">
        <v>562</v>
      </c>
      <c r="X298" s="18">
        <v>0</v>
      </c>
      <c r="AG298" s="202" t="s">
        <v>539</v>
      </c>
      <c r="AH298" s="202">
        <v>1</v>
      </c>
      <c r="AI298" s="202">
        <v>2</v>
      </c>
      <c r="AJ298" s="202">
        <v>3</v>
      </c>
      <c r="AK298" s="202">
        <v>4</v>
      </c>
      <c r="AL298" s="1"/>
      <c r="AM298" s="2"/>
    </row>
    <row r="299" spans="1:39" ht="14.5" x14ac:dyDescent="0.35">
      <c r="K299" s="30" t="s">
        <v>843</v>
      </c>
      <c r="M299" s="2">
        <v>4</v>
      </c>
      <c r="N299" s="40" t="s">
        <v>1754</v>
      </c>
      <c r="O299" s="1" t="s">
        <v>1035</v>
      </c>
      <c r="P299" s="40" t="s">
        <v>1753</v>
      </c>
      <c r="Q299" s="1" t="s">
        <v>1752</v>
      </c>
      <c r="S299" s="1" t="s">
        <v>1751</v>
      </c>
      <c r="T299" s="1" t="s">
        <v>1740</v>
      </c>
      <c r="W299" s="1" t="s">
        <v>562</v>
      </c>
      <c r="X299" s="18">
        <v>0</v>
      </c>
      <c r="AG299" s="202" t="s">
        <v>539</v>
      </c>
      <c r="AH299" s="202">
        <v>5</v>
      </c>
      <c r="AI299" s="202">
        <v>6</v>
      </c>
      <c r="AJ299" s="202">
        <v>7</v>
      </c>
      <c r="AK299" s="202">
        <v>8</v>
      </c>
      <c r="AL299" s="1"/>
      <c r="AM299" s="2"/>
    </row>
    <row r="300" spans="1:39" ht="14.5" x14ac:dyDescent="0.35">
      <c r="K300" s="30" t="s">
        <v>843</v>
      </c>
      <c r="M300" s="2">
        <v>4</v>
      </c>
      <c r="N300" s="40" t="s">
        <v>1750</v>
      </c>
      <c r="O300" s="1" t="s">
        <v>1035</v>
      </c>
      <c r="P300" s="40" t="s">
        <v>1749</v>
      </c>
      <c r="Q300" s="1" t="s">
        <v>1028</v>
      </c>
      <c r="S300" s="1" t="s">
        <v>839</v>
      </c>
      <c r="T300" s="1" t="s">
        <v>491</v>
      </c>
      <c r="W300" s="1" t="s">
        <v>490</v>
      </c>
      <c r="X300" s="18">
        <v>0</v>
      </c>
      <c r="AG300" s="202" t="s">
        <v>539</v>
      </c>
      <c r="AH300" s="202">
        <v>9</v>
      </c>
      <c r="AI300" s="202">
        <v>10</v>
      </c>
      <c r="AJ300" s="202">
        <v>11</v>
      </c>
      <c r="AK300" s="202">
        <v>12</v>
      </c>
      <c r="AL300" s="1"/>
      <c r="AM300" s="2"/>
    </row>
    <row r="301" spans="1:39" ht="15" thickBot="1" x14ac:dyDescent="0.4">
      <c r="B301" s="1"/>
      <c r="D301" s="2"/>
      <c r="J301" s="1"/>
      <c r="K301" s="30" t="s">
        <v>843</v>
      </c>
      <c r="L301" s="8"/>
      <c r="M301" s="2">
        <v>4</v>
      </c>
      <c r="N301" s="40" t="s">
        <v>1748</v>
      </c>
      <c r="O301" s="1" t="s">
        <v>1035</v>
      </c>
      <c r="P301" s="40" t="s">
        <v>1747</v>
      </c>
      <c r="Q301" s="1" t="s">
        <v>1028</v>
      </c>
      <c r="S301" s="1" t="s">
        <v>839</v>
      </c>
      <c r="T301" s="1" t="s">
        <v>526</v>
      </c>
      <c r="W301" s="1" t="s">
        <v>471</v>
      </c>
      <c r="X301" s="18">
        <v>0</v>
      </c>
      <c r="AG301" s="202" t="s">
        <v>539</v>
      </c>
      <c r="AH301" s="202">
        <v>13</v>
      </c>
      <c r="AI301" s="202">
        <v>14</v>
      </c>
      <c r="AJ301" s="202">
        <v>15</v>
      </c>
      <c r="AK301" s="202">
        <v>16</v>
      </c>
      <c r="AL301" s="1"/>
      <c r="AM301" s="2"/>
    </row>
    <row r="302" spans="1:39" ht="15" thickBot="1" x14ac:dyDescent="0.4">
      <c r="B302" s="1"/>
      <c r="C302" s="1"/>
      <c r="D302" s="2"/>
      <c r="E302" s="3"/>
      <c r="F302" s="3"/>
      <c r="G302" s="3"/>
      <c r="H302" s="1"/>
      <c r="I302" s="74"/>
      <c r="J302" s="73"/>
      <c r="K302" s="1" t="s">
        <v>117</v>
      </c>
      <c r="L302" s="40" t="s">
        <v>1032</v>
      </c>
      <c r="M302" s="2">
        <v>4</v>
      </c>
      <c r="N302" s="40" t="s">
        <v>1746</v>
      </c>
      <c r="O302" s="1" t="s">
        <v>1050</v>
      </c>
      <c r="P302" s="40" t="s">
        <v>1743</v>
      </c>
      <c r="Q302" s="1" t="s">
        <v>1049</v>
      </c>
      <c r="S302" s="1" t="s">
        <v>510</v>
      </c>
      <c r="T302" s="1" t="s">
        <v>513</v>
      </c>
      <c r="W302" s="1" t="s">
        <v>1739</v>
      </c>
      <c r="X302" s="18">
        <v>0</v>
      </c>
      <c r="AG302" s="202" t="s">
        <v>539</v>
      </c>
      <c r="AH302" s="202">
        <v>17</v>
      </c>
      <c r="AI302" s="202">
        <v>18</v>
      </c>
      <c r="AJ302" s="202">
        <v>19</v>
      </c>
      <c r="AK302" s="202">
        <v>20</v>
      </c>
      <c r="AL302" s="1"/>
      <c r="AM302" s="2"/>
    </row>
    <row r="303" spans="1:39" ht="15" thickBot="1" x14ac:dyDescent="0.4">
      <c r="B303" s="1"/>
      <c r="C303" s="1"/>
      <c r="D303" s="2"/>
      <c r="E303" s="3"/>
      <c r="F303" s="3"/>
      <c r="G303" s="3"/>
      <c r="H303" s="1"/>
      <c r="I303" s="74"/>
      <c r="J303" s="73"/>
      <c r="K303" s="2" t="s">
        <v>117</v>
      </c>
      <c r="L303" s="40" t="s">
        <v>1032</v>
      </c>
      <c r="M303" s="2">
        <v>4</v>
      </c>
      <c r="N303" s="40" t="s">
        <v>1745</v>
      </c>
      <c r="O303" s="1" t="s">
        <v>1047</v>
      </c>
      <c r="P303" s="40" t="s">
        <v>1743</v>
      </c>
      <c r="Q303" s="1" t="s">
        <v>1046</v>
      </c>
      <c r="S303" s="1" t="s">
        <v>1045</v>
      </c>
      <c r="T303" s="1" t="s">
        <v>513</v>
      </c>
      <c r="W303" s="1" t="s">
        <v>1739</v>
      </c>
      <c r="X303" s="18">
        <v>0</v>
      </c>
      <c r="AG303" s="202" t="s">
        <v>539</v>
      </c>
      <c r="AH303" s="203">
        <v>21</v>
      </c>
      <c r="AI303" s="203">
        <v>22</v>
      </c>
      <c r="AJ303" s="203">
        <v>23</v>
      </c>
      <c r="AK303" s="203">
        <v>24</v>
      </c>
      <c r="AL303" s="1"/>
      <c r="AM303" s="2"/>
    </row>
    <row r="304" spans="1:39" ht="15" thickBot="1" x14ac:dyDescent="0.4">
      <c r="A304" s="2"/>
      <c r="B304" s="2"/>
      <c r="C304" s="2"/>
      <c r="D304" s="2"/>
      <c r="E304" s="2"/>
      <c r="F304" s="3"/>
      <c r="G304" s="3"/>
      <c r="H304" s="1"/>
      <c r="I304" s="74"/>
      <c r="J304" s="73"/>
      <c r="K304" s="1" t="s">
        <v>117</v>
      </c>
      <c r="L304" s="40" t="s">
        <v>1032</v>
      </c>
      <c r="M304" s="2">
        <v>4</v>
      </c>
      <c r="N304" s="40" t="s">
        <v>1744</v>
      </c>
      <c r="O304" s="1" t="s">
        <v>1035</v>
      </c>
      <c r="P304" s="40" t="s">
        <v>1743</v>
      </c>
      <c r="Q304" s="1" t="s">
        <v>1028</v>
      </c>
      <c r="S304" s="1" t="s">
        <v>1033</v>
      </c>
      <c r="T304" s="1" t="s">
        <v>513</v>
      </c>
      <c r="W304" s="1" t="s">
        <v>1739</v>
      </c>
      <c r="X304" s="18">
        <v>0</v>
      </c>
      <c r="AG304" s="202" t="s">
        <v>539</v>
      </c>
      <c r="AH304" s="202">
        <v>25</v>
      </c>
      <c r="AI304" s="202">
        <v>26</v>
      </c>
      <c r="AJ304" s="202">
        <v>27</v>
      </c>
      <c r="AK304" s="202">
        <v>28</v>
      </c>
      <c r="AL304" s="1"/>
      <c r="AM304" s="2"/>
    </row>
    <row r="305" spans="1:51" ht="15" thickBot="1" x14ac:dyDescent="0.4">
      <c r="A305" s="2"/>
      <c r="B305" s="2"/>
      <c r="C305" s="2"/>
      <c r="D305" s="2"/>
      <c r="E305" s="2"/>
      <c r="F305" s="27"/>
      <c r="G305" s="27"/>
      <c r="I305" s="74"/>
      <c r="J305" s="73"/>
      <c r="K305" s="1" t="s">
        <v>117</v>
      </c>
      <c r="L305" s="40" t="s">
        <v>1032</v>
      </c>
      <c r="M305" s="2">
        <v>4</v>
      </c>
      <c r="N305" s="40" t="s">
        <v>1742</v>
      </c>
      <c r="O305" s="1" t="s">
        <v>1035</v>
      </c>
      <c r="P305" s="40" t="s">
        <v>1621</v>
      </c>
      <c r="Q305" s="1" t="s">
        <v>1028</v>
      </c>
      <c r="R305" s="2"/>
      <c r="S305" s="1" t="s">
        <v>1741</v>
      </c>
      <c r="T305" s="1" t="s">
        <v>1740</v>
      </c>
      <c r="W305" s="1" t="s">
        <v>1739</v>
      </c>
      <c r="X305" s="18">
        <v>0</v>
      </c>
      <c r="AG305" s="202" t="s">
        <v>539</v>
      </c>
      <c r="AH305" s="202">
        <v>29</v>
      </c>
      <c r="AI305" s="202">
        <v>30</v>
      </c>
      <c r="AJ305" s="202">
        <v>31</v>
      </c>
      <c r="AK305" s="202">
        <v>32</v>
      </c>
      <c r="AL305" s="1"/>
      <c r="AM305" s="2"/>
    </row>
    <row r="306" spans="1:51" ht="14.5" x14ac:dyDescent="0.35">
      <c r="A306" s="2"/>
      <c r="B306" s="2"/>
      <c r="C306" s="2"/>
      <c r="D306" s="2"/>
      <c r="E306" s="2"/>
      <c r="F306" s="27"/>
      <c r="G306" s="27"/>
      <c r="L306" s="30"/>
      <c r="O306" s="2"/>
      <c r="P306" s="2"/>
      <c r="Q306" s="2"/>
      <c r="AG306" s="202" t="s">
        <v>539</v>
      </c>
      <c r="AH306" s="202">
        <v>33</v>
      </c>
      <c r="AI306" s="202">
        <v>34</v>
      </c>
      <c r="AJ306" s="202">
        <v>35</v>
      </c>
      <c r="AK306" s="202">
        <v>36</v>
      </c>
      <c r="AL306" s="1"/>
      <c r="AM306" s="2"/>
    </row>
    <row r="307" spans="1:51" ht="14.5" x14ac:dyDescent="0.35">
      <c r="A307" s="2"/>
      <c r="B307" s="2"/>
      <c r="C307" s="2"/>
      <c r="D307" s="2"/>
      <c r="E307" s="2"/>
      <c r="L307" s="8"/>
      <c r="AG307" s="202" t="s">
        <v>539</v>
      </c>
      <c r="AH307" s="202">
        <v>37</v>
      </c>
      <c r="AI307" s="202">
        <v>38</v>
      </c>
      <c r="AJ307" s="202">
        <v>39</v>
      </c>
      <c r="AK307" s="202">
        <v>40</v>
      </c>
      <c r="AL307" s="1"/>
      <c r="AM307" s="2"/>
    </row>
    <row r="308" spans="1:51" ht="14.5" x14ac:dyDescent="0.35">
      <c r="B308" s="1"/>
      <c r="C308" s="1"/>
      <c r="D308" s="2"/>
      <c r="E308" s="3"/>
      <c r="F308" s="3"/>
      <c r="G308" s="3"/>
      <c r="H308" s="1"/>
      <c r="I308" s="1"/>
      <c r="J308" s="1"/>
      <c r="AG308" s="202" t="s">
        <v>539</v>
      </c>
      <c r="AH308" s="202">
        <v>41</v>
      </c>
      <c r="AI308" s="202">
        <v>42</v>
      </c>
      <c r="AJ308" s="202">
        <v>43</v>
      </c>
      <c r="AK308" s="202">
        <v>44</v>
      </c>
      <c r="AL308" s="1"/>
      <c r="AM308" s="2"/>
    </row>
    <row r="309" spans="1:51" ht="14.5" x14ac:dyDescent="0.35">
      <c r="B309" s="1"/>
      <c r="C309" s="1"/>
      <c r="D309" s="2"/>
      <c r="E309" s="3"/>
      <c r="F309" s="3"/>
      <c r="G309" s="3"/>
      <c r="H309" s="1"/>
      <c r="I309" s="1"/>
      <c r="J309" s="1"/>
      <c r="AG309" s="202" t="s">
        <v>539</v>
      </c>
      <c r="AH309" s="202">
        <v>45</v>
      </c>
      <c r="AI309" s="202">
        <v>46</v>
      </c>
      <c r="AJ309" s="202">
        <v>47</v>
      </c>
      <c r="AK309" s="202">
        <v>48</v>
      </c>
      <c r="AL309" s="1"/>
      <c r="AM309" s="2"/>
    </row>
    <row r="310" spans="1:51" x14ac:dyDescent="0.3">
      <c r="B310" s="1"/>
      <c r="C310" s="1"/>
      <c r="D310" s="2"/>
      <c r="E310" s="3"/>
      <c r="F310" s="3"/>
      <c r="G310" s="3"/>
      <c r="H310" s="1"/>
      <c r="I310" s="1"/>
      <c r="J310" s="1"/>
      <c r="AG310" s="1"/>
      <c r="AH310" s="1"/>
      <c r="AI310" s="1"/>
      <c r="AJ310" s="1"/>
      <c r="AK310" s="1"/>
      <c r="AL310" s="1"/>
      <c r="AM310" s="2"/>
    </row>
    <row r="311" spans="1:51" x14ac:dyDescent="0.3">
      <c r="B311" s="1"/>
      <c r="C311" s="1"/>
      <c r="D311" s="2"/>
      <c r="E311" s="3"/>
      <c r="F311" s="3"/>
      <c r="G311" s="3"/>
      <c r="H311" s="1"/>
      <c r="I311" s="1"/>
      <c r="J311" s="1"/>
      <c r="AG311" s="1"/>
      <c r="AH311" s="1"/>
      <c r="AI311" s="1"/>
      <c r="AJ311" s="1"/>
      <c r="AK311" s="1"/>
      <c r="AM311" s="3"/>
    </row>
    <row r="312" spans="1:51" x14ac:dyDescent="0.3">
      <c r="D312" s="2"/>
      <c r="AG312" s="1"/>
      <c r="AH312" s="1"/>
      <c r="AI312" s="1"/>
      <c r="AJ312" s="1"/>
      <c r="AK312" s="1"/>
    </row>
    <row r="313" spans="1:51" s="6" customFormat="1" ht="15.5" x14ac:dyDescent="0.35">
      <c r="A313" s="71"/>
      <c r="B313" s="53" t="s">
        <v>1738</v>
      </c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226"/>
      <c r="T313" s="226"/>
      <c r="U313" s="226"/>
      <c r="V313" s="71"/>
      <c r="W313" s="226"/>
      <c r="X313" s="227"/>
      <c r="Y313" s="226"/>
      <c r="Z313" s="225"/>
      <c r="AA313" s="225"/>
      <c r="AB313" s="7"/>
      <c r="AC313" s="7"/>
      <c r="AD313" s="7"/>
      <c r="AE313" s="7"/>
      <c r="AF313" s="7"/>
      <c r="AG313" s="8"/>
      <c r="AH313" s="8"/>
      <c r="AI313" s="8"/>
      <c r="AJ313" s="8"/>
      <c r="AK313" s="8"/>
      <c r="AL313" s="200"/>
      <c r="AM313" s="50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</row>
    <row r="314" spans="1:51" s="6" customFormat="1" ht="13.5" thickBot="1" x14ac:dyDescent="0.35">
      <c r="E314" s="51"/>
      <c r="F314" s="50"/>
      <c r="G314" s="50"/>
      <c r="S314" s="1"/>
      <c r="T314" s="1"/>
      <c r="U314" s="1"/>
      <c r="W314" s="1"/>
      <c r="X314" s="18"/>
      <c r="Y314" s="7"/>
      <c r="Z314" s="225"/>
      <c r="AA314" s="225"/>
      <c r="AB314" s="7"/>
      <c r="AC314" s="7"/>
      <c r="AD314" s="7"/>
      <c r="AE314" s="7"/>
      <c r="AF314" s="7"/>
      <c r="AG314" s="8"/>
      <c r="AH314" s="8"/>
      <c r="AI314" s="8"/>
      <c r="AJ314" s="8"/>
      <c r="AK314" s="8"/>
      <c r="AL314" s="200"/>
      <c r="AM314" s="50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</row>
    <row r="315" spans="1:51" ht="13.5" thickBot="1" x14ac:dyDescent="0.35">
      <c r="A315" s="31" t="s">
        <v>1737</v>
      </c>
      <c r="B315" s="1" t="s">
        <v>1622</v>
      </c>
      <c r="C315" s="2" t="s">
        <v>459</v>
      </c>
      <c r="D315" s="2">
        <v>130</v>
      </c>
      <c r="E315" s="3">
        <v>2</v>
      </c>
      <c r="F315" s="3">
        <v>5</v>
      </c>
      <c r="G315" s="3">
        <v>0</v>
      </c>
      <c r="H315" s="62"/>
      <c r="I315" s="263"/>
      <c r="J315" s="264"/>
      <c r="K315" s="2"/>
      <c r="L315" s="6"/>
      <c r="M315" s="6"/>
      <c r="N315" s="6"/>
      <c r="O315" s="6"/>
      <c r="P315" s="6"/>
      <c r="Q315" s="6"/>
      <c r="R315" s="6"/>
      <c r="V315" s="6"/>
      <c r="Y315" s="7"/>
      <c r="Z315" s="206"/>
      <c r="AA315" s="206"/>
      <c r="AB315" s="7"/>
      <c r="AC315" s="7"/>
      <c r="AD315" s="7"/>
      <c r="AE315" s="7"/>
      <c r="AF315" s="7"/>
    </row>
    <row r="316" spans="1:51" ht="13.5" thickBot="1" x14ac:dyDescent="0.35">
      <c r="A316" s="76" t="s">
        <v>1471</v>
      </c>
      <c r="B316" s="1" t="s">
        <v>1622</v>
      </c>
      <c r="C316" s="2" t="s">
        <v>459</v>
      </c>
      <c r="D316" s="2">
        <v>130</v>
      </c>
      <c r="E316" s="3">
        <f t="shared" ref="E316:E347" si="74">+E315</f>
        <v>2</v>
      </c>
      <c r="F316" s="3">
        <f t="shared" ref="F316:F347" si="75">+F315</f>
        <v>5</v>
      </c>
      <c r="G316" s="3">
        <v>0</v>
      </c>
      <c r="H316" s="6"/>
      <c r="I316" s="263" t="s">
        <v>458</v>
      </c>
      <c r="J316" s="265"/>
      <c r="K316" s="1" t="s">
        <v>457</v>
      </c>
      <c r="L316" s="6"/>
      <c r="M316" s="6"/>
      <c r="N316" s="6"/>
      <c r="O316" s="6"/>
      <c r="P316" s="6"/>
      <c r="Q316" s="6"/>
      <c r="R316" s="6"/>
      <c r="V316" s="6"/>
      <c r="Y316" s="7"/>
      <c r="Z316" s="206"/>
      <c r="AA316" s="206"/>
      <c r="AB316" s="7"/>
      <c r="AC316" s="7"/>
      <c r="AD316" s="7"/>
      <c r="AE316" s="7"/>
      <c r="AF316" s="7"/>
    </row>
    <row r="317" spans="1:51" ht="13.5" thickBot="1" x14ac:dyDescent="0.35">
      <c r="A317" s="76" t="s">
        <v>1471</v>
      </c>
      <c r="B317" s="1" t="s">
        <v>1622</v>
      </c>
      <c r="C317" s="2" t="str">
        <f t="shared" ref="C317:C348" si="76">+C316</f>
        <v>DIO1</v>
      </c>
      <c r="D317" s="2">
        <v>130</v>
      </c>
      <c r="E317" s="3">
        <f t="shared" si="74"/>
        <v>2</v>
      </c>
      <c r="F317" s="3">
        <f t="shared" si="75"/>
        <v>5</v>
      </c>
      <c r="G317" s="3">
        <v>0</v>
      </c>
      <c r="H317" s="6"/>
      <c r="I317" s="263" t="s">
        <v>456</v>
      </c>
      <c r="J317" s="265"/>
      <c r="K317" s="2" t="s">
        <v>455</v>
      </c>
      <c r="L317" s="6"/>
      <c r="M317" s="70" t="s">
        <v>454</v>
      </c>
      <c r="N317" s="70"/>
      <c r="O317" s="70" t="s">
        <v>453</v>
      </c>
      <c r="P317" s="70"/>
      <c r="Q317" s="70" t="s">
        <v>452</v>
      </c>
      <c r="R317" s="6"/>
      <c r="V317" s="6"/>
      <c r="Y317" s="7"/>
      <c r="Z317" s="206"/>
      <c r="AA317" s="206"/>
      <c r="AB317" s="7"/>
      <c r="AC317" s="7"/>
      <c r="AD317" s="7"/>
      <c r="AE317" s="7"/>
      <c r="AF317" s="7"/>
    </row>
    <row r="318" spans="1:51" ht="13.5" thickBot="1" x14ac:dyDescent="0.35">
      <c r="A318" s="76" t="s">
        <v>1471</v>
      </c>
      <c r="B318" s="1" t="s">
        <v>1622</v>
      </c>
      <c r="C318" s="2" t="str">
        <f t="shared" si="76"/>
        <v>DIO1</v>
      </c>
      <c r="D318" s="2">
        <v>130</v>
      </c>
      <c r="E318" s="3">
        <f t="shared" si="74"/>
        <v>2</v>
      </c>
      <c r="F318" s="3">
        <f t="shared" si="75"/>
        <v>5</v>
      </c>
      <c r="G318" s="3">
        <v>0</v>
      </c>
      <c r="H318" s="27">
        <v>0</v>
      </c>
      <c r="I318" s="263" t="s">
        <v>451</v>
      </c>
      <c r="J318" s="264"/>
      <c r="K318" s="1" t="s">
        <v>450</v>
      </c>
      <c r="L318" s="14" t="s">
        <v>1020</v>
      </c>
      <c r="M318" s="70">
        <f>+COUNTA(L319:L446)</f>
        <v>112</v>
      </c>
      <c r="N318" s="70"/>
      <c r="O318" s="70">
        <f>+COUNTBLANK(O319:O446)</f>
        <v>61</v>
      </c>
      <c r="P318" s="70"/>
      <c r="Q318" s="69">
        <f>+O318/M318</f>
        <v>0.5446428571428571</v>
      </c>
      <c r="Y318" s="7"/>
      <c r="Z318" s="206"/>
      <c r="AA318" s="206"/>
      <c r="AB318" s="7"/>
      <c r="AC318" s="7"/>
      <c r="AD318" s="7"/>
      <c r="AE318" s="7"/>
      <c r="AF318" s="7"/>
    </row>
    <row r="319" spans="1:51" x14ac:dyDescent="0.3">
      <c r="A319" s="76" t="s">
        <v>1471</v>
      </c>
      <c r="B319" s="1" t="s">
        <v>1622</v>
      </c>
      <c r="C319" s="2" t="str">
        <f t="shared" si="76"/>
        <v>DIO1</v>
      </c>
      <c r="D319" s="2">
        <v>130</v>
      </c>
      <c r="E319" s="3">
        <f t="shared" si="74"/>
        <v>2</v>
      </c>
      <c r="F319" s="3">
        <f t="shared" si="75"/>
        <v>5</v>
      </c>
      <c r="G319" s="3">
        <v>0</v>
      </c>
      <c r="H319" s="62">
        <f>+H318+1</f>
        <v>1</v>
      </c>
      <c r="I319" s="56">
        <v>0</v>
      </c>
      <c r="J319" s="61" t="s">
        <v>316</v>
      </c>
      <c r="K319" s="2" t="s">
        <v>315</v>
      </c>
      <c r="L319" s="1" t="s">
        <v>21</v>
      </c>
      <c r="M319" s="2">
        <v>4</v>
      </c>
      <c r="N319" s="8" t="s">
        <v>1731</v>
      </c>
      <c r="O319" s="1" t="s">
        <v>72</v>
      </c>
      <c r="Q319" s="13" t="s">
        <v>950</v>
      </c>
      <c r="R319" s="2" t="s">
        <v>24</v>
      </c>
      <c r="S319" s="13" t="s">
        <v>1219</v>
      </c>
      <c r="T319" s="12" t="s">
        <v>1731</v>
      </c>
      <c r="U319" s="12"/>
      <c r="V319" s="1" t="str">
        <f t="shared" ref="V319:V340" si="77">+CONCATENATE(E319,".",F319,"\",G319,".",H319,":",I319)</f>
        <v>2.5\0.1:0</v>
      </c>
      <c r="W319" s="1" t="s">
        <v>1730</v>
      </c>
      <c r="X319" s="18">
        <v>0</v>
      </c>
      <c r="Y319" s="7"/>
      <c r="Z319" s="206" t="s">
        <v>1198</v>
      </c>
      <c r="AA319" s="206"/>
      <c r="AB319" s="7"/>
      <c r="AC319" s="7"/>
      <c r="AD319" s="7"/>
      <c r="AE319" s="7"/>
      <c r="AG319" s="3" t="s">
        <v>768</v>
      </c>
      <c r="AH319" s="3"/>
      <c r="AI319" s="3">
        <v>1</v>
      </c>
      <c r="AJ319" s="200"/>
      <c r="AM319" s="3"/>
    </row>
    <row r="320" spans="1:51" x14ac:dyDescent="0.3">
      <c r="A320" s="76" t="s">
        <v>1471</v>
      </c>
      <c r="B320" s="1" t="s">
        <v>1622</v>
      </c>
      <c r="C320" s="2" t="str">
        <f t="shared" si="76"/>
        <v>DIO1</v>
      </c>
      <c r="D320" s="2">
        <v>130</v>
      </c>
      <c r="E320" s="3">
        <f t="shared" si="74"/>
        <v>2</v>
      </c>
      <c r="F320" s="3">
        <f t="shared" si="75"/>
        <v>5</v>
      </c>
      <c r="G320" s="3">
        <v>0</v>
      </c>
      <c r="H320" s="60">
        <f>H319</f>
        <v>1</v>
      </c>
      <c r="I320" s="54">
        <f t="shared" ref="I320:I350" si="78">+I319+1</f>
        <v>1</v>
      </c>
      <c r="J320" s="61"/>
      <c r="L320" s="1" t="s">
        <v>21</v>
      </c>
      <c r="M320" s="2">
        <v>4</v>
      </c>
      <c r="N320" s="8" t="s">
        <v>1731</v>
      </c>
      <c r="O320" s="12" t="s">
        <v>320</v>
      </c>
      <c r="P320" s="12"/>
      <c r="Q320" s="13" t="s">
        <v>1218</v>
      </c>
      <c r="R320" s="12" t="s">
        <v>18</v>
      </c>
      <c r="S320" s="13" t="s">
        <v>1217</v>
      </c>
      <c r="T320" s="12" t="s">
        <v>1731</v>
      </c>
      <c r="U320" s="12"/>
      <c r="V320" s="1" t="str">
        <f t="shared" si="77"/>
        <v>2.5\0.1:1</v>
      </c>
      <c r="W320" s="1" t="s">
        <v>1730</v>
      </c>
      <c r="X320" s="18">
        <v>0</v>
      </c>
      <c r="Y320" s="7"/>
      <c r="Z320" s="206" t="s">
        <v>1198</v>
      </c>
      <c r="AA320" s="206"/>
      <c r="AB320" s="7"/>
      <c r="AC320" s="7"/>
      <c r="AD320" s="7"/>
      <c r="AE320" s="7"/>
      <c r="AG320" s="3" t="s">
        <v>768</v>
      </c>
      <c r="AH320" s="3"/>
      <c r="AI320" s="3">
        <v>2</v>
      </c>
      <c r="AJ320" s="242"/>
      <c r="AM320" s="3"/>
    </row>
    <row r="321" spans="1:39" x14ac:dyDescent="0.3">
      <c r="A321" s="5" t="str">
        <f t="shared" ref="A321:A350" si="79">A320</f>
        <v>BBD130</v>
      </c>
      <c r="B321" s="1" t="s">
        <v>1622</v>
      </c>
      <c r="C321" s="2" t="str">
        <f t="shared" si="76"/>
        <v>DIO1</v>
      </c>
      <c r="D321" s="2">
        <v>130</v>
      </c>
      <c r="E321" s="3">
        <f t="shared" si="74"/>
        <v>2</v>
      </c>
      <c r="F321" s="3">
        <f t="shared" si="75"/>
        <v>5</v>
      </c>
      <c r="G321" s="3">
        <v>0</v>
      </c>
      <c r="H321" s="60">
        <f>H319</f>
        <v>1</v>
      </c>
      <c r="I321" s="54">
        <f t="shared" si="78"/>
        <v>2</v>
      </c>
      <c r="J321" s="61"/>
      <c r="K321" s="30"/>
      <c r="L321" s="1" t="s">
        <v>21</v>
      </c>
      <c r="M321" s="2">
        <v>4</v>
      </c>
      <c r="N321" s="8" t="s">
        <v>1731</v>
      </c>
      <c r="O321" s="12" t="s">
        <v>350</v>
      </c>
      <c r="P321" s="12"/>
      <c r="Q321" s="13" t="s">
        <v>1216</v>
      </c>
      <c r="R321" s="12" t="s">
        <v>18</v>
      </c>
      <c r="S321" s="13" t="s">
        <v>1215</v>
      </c>
      <c r="T321" s="12" t="s">
        <v>1731</v>
      </c>
      <c r="U321" s="12"/>
      <c r="V321" s="1" t="str">
        <f t="shared" si="77"/>
        <v>2.5\0.1:2</v>
      </c>
      <c r="W321" s="1" t="s">
        <v>1730</v>
      </c>
      <c r="X321" s="18">
        <v>0</v>
      </c>
      <c r="Y321" s="7"/>
      <c r="Z321" s="206" t="s">
        <v>1198</v>
      </c>
      <c r="AA321" s="206"/>
      <c r="AB321" s="7"/>
      <c r="AC321" s="7"/>
      <c r="AD321" s="7"/>
      <c r="AE321" s="7"/>
      <c r="AG321" s="3" t="s">
        <v>768</v>
      </c>
      <c r="AH321" s="3"/>
      <c r="AI321" s="3">
        <v>3</v>
      </c>
      <c r="AJ321" s="242"/>
      <c r="AM321" s="3"/>
    </row>
    <row r="322" spans="1:39" x14ac:dyDescent="0.3">
      <c r="A322" s="5" t="str">
        <f t="shared" si="79"/>
        <v>BBD130</v>
      </c>
      <c r="B322" s="1" t="s">
        <v>1622</v>
      </c>
      <c r="C322" s="2" t="str">
        <f t="shared" si="76"/>
        <v>DIO1</v>
      </c>
      <c r="D322" s="2">
        <v>130</v>
      </c>
      <c r="E322" s="3">
        <f t="shared" si="74"/>
        <v>2</v>
      </c>
      <c r="F322" s="3">
        <f t="shared" si="75"/>
        <v>5</v>
      </c>
      <c r="G322" s="3">
        <v>0</v>
      </c>
      <c r="H322" s="60">
        <f t="shared" ref="H322:H333" si="80">H319</f>
        <v>1</v>
      </c>
      <c r="I322" s="54">
        <f t="shared" si="78"/>
        <v>3</v>
      </c>
      <c r="J322" s="61"/>
      <c r="K322" s="30"/>
      <c r="L322" s="1" t="s">
        <v>21</v>
      </c>
      <c r="M322" s="2">
        <v>4</v>
      </c>
      <c r="N322" s="8" t="s">
        <v>1731</v>
      </c>
      <c r="O322" s="12" t="s">
        <v>348</v>
      </c>
      <c r="P322" s="12"/>
      <c r="Q322" s="13" t="s">
        <v>1214</v>
      </c>
      <c r="R322" s="12" t="s">
        <v>18</v>
      </c>
      <c r="S322" s="13" t="s">
        <v>1213</v>
      </c>
      <c r="T322" s="12" t="s">
        <v>1731</v>
      </c>
      <c r="U322" s="12"/>
      <c r="V322" s="1" t="str">
        <f t="shared" si="77"/>
        <v>2.5\0.1:3</v>
      </c>
      <c r="W322" s="1" t="s">
        <v>1730</v>
      </c>
      <c r="X322" s="18">
        <v>0</v>
      </c>
      <c r="Y322" s="7"/>
      <c r="Z322" s="206" t="s">
        <v>1198</v>
      </c>
      <c r="AA322" s="206"/>
      <c r="AB322" s="7"/>
      <c r="AC322" s="7"/>
      <c r="AD322" s="7"/>
      <c r="AE322" s="7"/>
      <c r="AG322" s="3" t="s">
        <v>768</v>
      </c>
      <c r="AH322" s="3"/>
      <c r="AI322" s="3">
        <v>4</v>
      </c>
      <c r="AJ322" s="242"/>
      <c r="AM322" s="3"/>
    </row>
    <row r="323" spans="1:39" x14ac:dyDescent="0.3">
      <c r="A323" s="5" t="str">
        <f t="shared" si="79"/>
        <v>BBD130</v>
      </c>
      <c r="B323" s="1" t="s">
        <v>1622</v>
      </c>
      <c r="C323" s="2" t="str">
        <f t="shared" si="76"/>
        <v>DIO1</v>
      </c>
      <c r="D323" s="2">
        <v>130</v>
      </c>
      <c r="E323" s="3">
        <f t="shared" si="74"/>
        <v>2</v>
      </c>
      <c r="F323" s="3">
        <f t="shared" si="75"/>
        <v>5</v>
      </c>
      <c r="G323" s="3">
        <v>0</v>
      </c>
      <c r="H323" s="60">
        <f t="shared" si="80"/>
        <v>1</v>
      </c>
      <c r="I323" s="54">
        <f t="shared" si="78"/>
        <v>4</v>
      </c>
      <c r="J323" s="61"/>
      <c r="K323" s="30"/>
      <c r="L323" s="1" t="s">
        <v>21</v>
      </c>
      <c r="M323" s="2">
        <v>4</v>
      </c>
      <c r="N323" s="8" t="s">
        <v>1731</v>
      </c>
      <c r="O323" s="12" t="s">
        <v>345</v>
      </c>
      <c r="P323" s="12"/>
      <c r="Q323" s="13" t="s">
        <v>1212</v>
      </c>
      <c r="R323" s="12" t="s">
        <v>18</v>
      </c>
      <c r="S323" s="13" t="s">
        <v>1211</v>
      </c>
      <c r="T323" s="12" t="s">
        <v>1731</v>
      </c>
      <c r="U323" s="12"/>
      <c r="V323" s="1" t="str">
        <f t="shared" si="77"/>
        <v>2.5\0.1:4</v>
      </c>
      <c r="W323" s="1" t="s">
        <v>1730</v>
      </c>
      <c r="X323" s="18">
        <v>0</v>
      </c>
      <c r="Y323" s="7"/>
      <c r="Z323" s="206" t="s">
        <v>1198</v>
      </c>
      <c r="AA323" s="206"/>
      <c r="AB323" s="7"/>
      <c r="AC323" s="7"/>
      <c r="AD323" s="7"/>
      <c r="AE323" s="7"/>
      <c r="AG323" s="3" t="s">
        <v>768</v>
      </c>
      <c r="AH323" s="3"/>
      <c r="AI323" s="3">
        <v>5</v>
      </c>
      <c r="AJ323" s="200"/>
      <c r="AM323" s="3"/>
    </row>
    <row r="324" spans="1:39" x14ac:dyDescent="0.3">
      <c r="A324" s="5" t="str">
        <f t="shared" si="79"/>
        <v>BBD130</v>
      </c>
      <c r="B324" s="1" t="s">
        <v>1622</v>
      </c>
      <c r="C324" s="2" t="str">
        <f t="shared" si="76"/>
        <v>DIO1</v>
      </c>
      <c r="D324" s="2">
        <v>130</v>
      </c>
      <c r="E324" s="3">
        <f t="shared" si="74"/>
        <v>2</v>
      </c>
      <c r="F324" s="3">
        <f t="shared" si="75"/>
        <v>5</v>
      </c>
      <c r="G324" s="3">
        <v>0</v>
      </c>
      <c r="H324" s="60">
        <f t="shared" si="80"/>
        <v>1</v>
      </c>
      <c r="I324" s="54">
        <f t="shared" si="78"/>
        <v>5</v>
      </c>
      <c r="J324" s="61"/>
      <c r="K324" s="30"/>
      <c r="L324" s="1" t="s">
        <v>21</v>
      </c>
      <c r="M324" s="2">
        <v>4</v>
      </c>
      <c r="N324" s="8" t="s">
        <v>1731</v>
      </c>
      <c r="O324" s="12" t="s">
        <v>342</v>
      </c>
      <c r="P324" s="12"/>
      <c r="Q324" s="13" t="s">
        <v>1736</v>
      </c>
      <c r="R324" s="12" t="s">
        <v>18</v>
      </c>
      <c r="S324" s="13" t="s">
        <v>1008</v>
      </c>
      <c r="T324" s="12" t="s">
        <v>1731</v>
      </c>
      <c r="U324" s="12"/>
      <c r="V324" s="1" t="str">
        <f t="shared" si="77"/>
        <v>2.5\0.1:5</v>
      </c>
      <c r="W324" s="1" t="s">
        <v>1730</v>
      </c>
      <c r="X324" s="18">
        <v>0</v>
      </c>
      <c r="Y324" s="7"/>
      <c r="Z324" s="206" t="s">
        <v>1198</v>
      </c>
      <c r="AA324" s="206"/>
      <c r="AB324" s="7"/>
      <c r="AC324" s="7"/>
      <c r="AD324" s="7"/>
      <c r="AE324" s="7"/>
      <c r="AG324" s="3" t="s">
        <v>768</v>
      </c>
      <c r="AH324" s="3"/>
      <c r="AI324" s="3">
        <v>6</v>
      </c>
      <c r="AJ324" s="200"/>
      <c r="AM324" s="3"/>
    </row>
    <row r="325" spans="1:39" x14ac:dyDescent="0.3">
      <c r="A325" s="5" t="str">
        <f t="shared" si="79"/>
        <v>BBD130</v>
      </c>
      <c r="B325" s="1" t="s">
        <v>1622</v>
      </c>
      <c r="C325" s="2" t="str">
        <f t="shared" si="76"/>
        <v>DIO1</v>
      </c>
      <c r="D325" s="2">
        <v>130</v>
      </c>
      <c r="E325" s="3">
        <f t="shared" si="74"/>
        <v>2</v>
      </c>
      <c r="F325" s="3">
        <f t="shared" si="75"/>
        <v>5</v>
      </c>
      <c r="G325" s="3">
        <v>0</v>
      </c>
      <c r="H325" s="60">
        <f t="shared" si="80"/>
        <v>1</v>
      </c>
      <c r="I325" s="54">
        <f t="shared" si="78"/>
        <v>6</v>
      </c>
      <c r="J325" s="61"/>
      <c r="K325" s="30"/>
      <c r="L325" s="1" t="s">
        <v>21</v>
      </c>
      <c r="M325" s="2">
        <v>5</v>
      </c>
      <c r="N325" s="8" t="s">
        <v>1731</v>
      </c>
      <c r="O325" s="12" t="s">
        <v>339</v>
      </c>
      <c r="P325" s="12"/>
      <c r="Q325" s="1" t="s">
        <v>1735</v>
      </c>
      <c r="R325" s="12" t="s">
        <v>18</v>
      </c>
      <c r="S325" s="13" t="s">
        <v>1207</v>
      </c>
      <c r="T325" s="12" t="s">
        <v>1731</v>
      </c>
      <c r="U325" s="12"/>
      <c r="V325" s="1" t="str">
        <f t="shared" si="77"/>
        <v>2.5\0.1:6</v>
      </c>
      <c r="W325" s="1" t="s">
        <v>1730</v>
      </c>
      <c r="X325" s="18">
        <v>0</v>
      </c>
      <c r="Y325" s="7"/>
      <c r="Z325" s="206" t="s">
        <v>1198</v>
      </c>
      <c r="AA325" s="206"/>
      <c r="AB325" s="7"/>
      <c r="AC325" s="7"/>
      <c r="AD325" s="7"/>
      <c r="AE325" s="7"/>
      <c r="AG325" s="3" t="s">
        <v>768</v>
      </c>
      <c r="AH325" s="3"/>
      <c r="AI325" s="3">
        <v>7</v>
      </c>
      <c r="AJ325" s="200"/>
      <c r="AM325" s="3"/>
    </row>
    <row r="326" spans="1:39" x14ac:dyDescent="0.3">
      <c r="A326" s="5" t="str">
        <f t="shared" si="79"/>
        <v>BBD130</v>
      </c>
      <c r="B326" s="1" t="s">
        <v>1622</v>
      </c>
      <c r="C326" s="2" t="str">
        <f t="shared" si="76"/>
        <v>DIO1</v>
      </c>
      <c r="D326" s="2">
        <v>130</v>
      </c>
      <c r="E326" s="3">
        <f t="shared" si="74"/>
        <v>2</v>
      </c>
      <c r="F326" s="3">
        <f t="shared" si="75"/>
        <v>5</v>
      </c>
      <c r="G326" s="3">
        <v>0</v>
      </c>
      <c r="H326" s="60">
        <f t="shared" si="80"/>
        <v>1</v>
      </c>
      <c r="I326" s="54">
        <f t="shared" si="78"/>
        <v>7</v>
      </c>
      <c r="J326" s="61"/>
      <c r="K326" s="30"/>
      <c r="L326" s="1" t="s">
        <v>21</v>
      </c>
      <c r="M326" s="2">
        <v>5</v>
      </c>
      <c r="N326" s="8" t="s">
        <v>1731</v>
      </c>
      <c r="O326" s="12" t="s">
        <v>336</v>
      </c>
      <c r="P326" s="12"/>
      <c r="Q326" s="1" t="s">
        <v>1734</v>
      </c>
      <c r="R326" s="12" t="s">
        <v>18</v>
      </c>
      <c r="S326" s="13" t="s">
        <v>661</v>
      </c>
      <c r="T326" s="12" t="s">
        <v>1731</v>
      </c>
      <c r="U326" s="12"/>
      <c r="V326" s="1" t="str">
        <f t="shared" si="77"/>
        <v>2.5\0.1:7</v>
      </c>
      <c r="W326" s="1" t="s">
        <v>1730</v>
      </c>
      <c r="X326" s="18">
        <v>0</v>
      </c>
      <c r="Y326" s="7"/>
      <c r="Z326" s="206" t="s">
        <v>1198</v>
      </c>
      <c r="AA326" s="206"/>
      <c r="AB326" s="7"/>
      <c r="AC326" s="7"/>
      <c r="AD326" s="7"/>
      <c r="AE326" s="7"/>
      <c r="AG326" s="3" t="s">
        <v>768</v>
      </c>
      <c r="AH326" s="3"/>
      <c r="AI326" s="3">
        <v>8</v>
      </c>
      <c r="AJ326" s="200"/>
      <c r="AM326" s="3"/>
    </row>
    <row r="327" spans="1:39" x14ac:dyDescent="0.3">
      <c r="A327" s="5" t="str">
        <f t="shared" si="79"/>
        <v>BBD130</v>
      </c>
      <c r="B327" s="1" t="s">
        <v>1622</v>
      </c>
      <c r="C327" s="2" t="str">
        <f t="shared" si="76"/>
        <v>DIO1</v>
      </c>
      <c r="D327" s="2">
        <v>130</v>
      </c>
      <c r="E327" s="3">
        <f t="shared" si="74"/>
        <v>2</v>
      </c>
      <c r="F327" s="3">
        <f t="shared" si="75"/>
        <v>5</v>
      </c>
      <c r="G327" s="3">
        <v>0</v>
      </c>
      <c r="H327" s="60">
        <f t="shared" si="80"/>
        <v>1</v>
      </c>
      <c r="I327" s="54">
        <f t="shared" si="78"/>
        <v>8</v>
      </c>
      <c r="J327" s="61"/>
      <c r="K327" s="30"/>
      <c r="L327" s="1" t="s">
        <v>21</v>
      </c>
      <c r="M327" s="2">
        <v>5</v>
      </c>
      <c r="N327" s="8" t="s">
        <v>1731</v>
      </c>
      <c r="O327" s="12" t="s">
        <v>334</v>
      </c>
      <c r="P327" s="12"/>
      <c r="Q327" s="1" t="s">
        <v>1733</v>
      </c>
      <c r="R327" s="12" t="s">
        <v>18</v>
      </c>
      <c r="S327" s="13" t="s">
        <v>1003</v>
      </c>
      <c r="T327" s="12" t="s">
        <v>1731</v>
      </c>
      <c r="U327" s="12"/>
      <c r="V327" s="1" t="str">
        <f t="shared" si="77"/>
        <v>2.5\0.1:8</v>
      </c>
      <c r="W327" s="1" t="s">
        <v>1730</v>
      </c>
      <c r="X327" s="18">
        <v>0</v>
      </c>
      <c r="Y327" s="7"/>
      <c r="Z327" s="206" t="s">
        <v>1198</v>
      </c>
      <c r="AA327" s="206"/>
      <c r="AB327" s="7"/>
      <c r="AC327" s="7"/>
      <c r="AD327" s="7"/>
      <c r="AE327" s="7"/>
      <c r="AG327" s="3" t="s">
        <v>768</v>
      </c>
      <c r="AH327" s="3"/>
      <c r="AI327" s="3">
        <v>9</v>
      </c>
      <c r="AJ327" s="200"/>
      <c r="AM327" s="3"/>
    </row>
    <row r="328" spans="1:39" x14ac:dyDescent="0.3">
      <c r="A328" s="5" t="str">
        <f t="shared" si="79"/>
        <v>BBD130</v>
      </c>
      <c r="B328" s="1" t="s">
        <v>1622</v>
      </c>
      <c r="C328" s="2" t="str">
        <f t="shared" si="76"/>
        <v>DIO1</v>
      </c>
      <c r="D328" s="2">
        <v>130</v>
      </c>
      <c r="E328" s="3">
        <f t="shared" si="74"/>
        <v>2</v>
      </c>
      <c r="F328" s="3">
        <f t="shared" si="75"/>
        <v>5</v>
      </c>
      <c r="G328" s="3">
        <v>0</v>
      </c>
      <c r="H328" s="60">
        <f t="shared" si="80"/>
        <v>1</v>
      </c>
      <c r="I328" s="54">
        <f t="shared" si="78"/>
        <v>9</v>
      </c>
      <c r="J328" s="61"/>
      <c r="K328" s="30"/>
      <c r="L328" s="1" t="s">
        <v>21</v>
      </c>
      <c r="M328" s="2">
        <v>5</v>
      </c>
      <c r="N328" s="8" t="s">
        <v>1731</v>
      </c>
      <c r="O328" s="12" t="s">
        <v>332</v>
      </c>
      <c r="P328" s="12"/>
      <c r="Q328" s="1" t="s">
        <v>1732</v>
      </c>
      <c r="R328" s="12" t="s">
        <v>18</v>
      </c>
      <c r="S328" s="13" t="s">
        <v>1202</v>
      </c>
      <c r="T328" s="12" t="s">
        <v>1731</v>
      </c>
      <c r="U328" s="12"/>
      <c r="V328" s="1" t="str">
        <f t="shared" si="77"/>
        <v>2.5\0.1:9</v>
      </c>
      <c r="W328" s="1" t="s">
        <v>1730</v>
      </c>
      <c r="X328" s="18">
        <v>0</v>
      </c>
      <c r="Y328" s="7"/>
      <c r="Z328" s="206" t="s">
        <v>1198</v>
      </c>
      <c r="AA328" s="206"/>
      <c r="AB328" s="7"/>
      <c r="AC328" s="7"/>
      <c r="AD328" s="7"/>
      <c r="AE328" s="7"/>
      <c r="AG328" s="3" t="s">
        <v>768</v>
      </c>
      <c r="AH328" s="3"/>
      <c r="AI328" s="3">
        <v>10</v>
      </c>
      <c r="AJ328" s="200"/>
      <c r="AM328" s="3"/>
    </row>
    <row r="329" spans="1:39" x14ac:dyDescent="0.3">
      <c r="A329" s="5" t="str">
        <f t="shared" si="79"/>
        <v>BBD130</v>
      </c>
      <c r="B329" s="1" t="s">
        <v>1622</v>
      </c>
      <c r="C329" s="2" t="str">
        <f t="shared" si="76"/>
        <v>DIO1</v>
      </c>
      <c r="D329" s="2">
        <v>130</v>
      </c>
      <c r="E329" s="3">
        <f t="shared" si="74"/>
        <v>2</v>
      </c>
      <c r="F329" s="3">
        <f t="shared" si="75"/>
        <v>5</v>
      </c>
      <c r="G329" s="3">
        <v>0</v>
      </c>
      <c r="H329" s="60">
        <f t="shared" si="80"/>
        <v>1</v>
      </c>
      <c r="I329" s="54">
        <f t="shared" si="78"/>
        <v>10</v>
      </c>
      <c r="J329" s="61"/>
      <c r="K329" s="30"/>
      <c r="L329" s="1" t="s">
        <v>21</v>
      </c>
      <c r="M329" s="2">
        <v>4</v>
      </c>
      <c r="N329" s="8" t="s">
        <v>1731</v>
      </c>
      <c r="O329" s="12" t="s">
        <v>330</v>
      </c>
      <c r="P329" s="12"/>
      <c r="Q329" s="1" t="s">
        <v>1002</v>
      </c>
      <c r="R329" s="12" t="s">
        <v>18</v>
      </c>
      <c r="S329" s="13" t="s">
        <v>1201</v>
      </c>
      <c r="T329" s="1" t="s">
        <v>1731</v>
      </c>
      <c r="V329" s="1" t="str">
        <f t="shared" si="77"/>
        <v>2.5\0.1:10</v>
      </c>
      <c r="W329" s="1" t="s">
        <v>1730</v>
      </c>
      <c r="X329" s="18">
        <v>0</v>
      </c>
      <c r="Y329" s="7"/>
      <c r="Z329" s="206" t="s">
        <v>1198</v>
      </c>
      <c r="AA329" s="206"/>
      <c r="AB329" s="7"/>
      <c r="AC329" s="7"/>
      <c r="AD329" s="7"/>
      <c r="AE329" s="7"/>
      <c r="AG329" s="3" t="s">
        <v>768</v>
      </c>
      <c r="AH329" s="3"/>
      <c r="AI329" s="3">
        <v>11</v>
      </c>
      <c r="AJ329" s="200"/>
      <c r="AM329" s="3"/>
    </row>
    <row r="330" spans="1:39" x14ac:dyDescent="0.3">
      <c r="A330" s="5" t="str">
        <f t="shared" si="79"/>
        <v>BBD130</v>
      </c>
      <c r="B330" s="1" t="s">
        <v>1622</v>
      </c>
      <c r="C330" s="2" t="str">
        <f t="shared" si="76"/>
        <v>DIO1</v>
      </c>
      <c r="D330" s="2">
        <v>130</v>
      </c>
      <c r="E330" s="3">
        <f t="shared" si="74"/>
        <v>2</v>
      </c>
      <c r="F330" s="3">
        <f t="shared" si="75"/>
        <v>5</v>
      </c>
      <c r="G330" s="3">
        <v>0</v>
      </c>
      <c r="H330" s="60">
        <f t="shared" si="80"/>
        <v>1</v>
      </c>
      <c r="I330" s="54">
        <f t="shared" si="78"/>
        <v>11</v>
      </c>
      <c r="J330" s="61"/>
      <c r="K330" s="30"/>
      <c r="L330" s="1" t="s">
        <v>21</v>
      </c>
      <c r="M330" s="2">
        <v>4</v>
      </c>
      <c r="N330" s="8" t="s">
        <v>1731</v>
      </c>
      <c r="O330" s="12" t="s">
        <v>328</v>
      </c>
      <c r="P330" s="12"/>
      <c r="Q330" s="241" t="s">
        <v>1002</v>
      </c>
      <c r="R330" s="12" t="s">
        <v>18</v>
      </c>
      <c r="S330" s="13" t="s">
        <v>1200</v>
      </c>
      <c r="T330" s="1" t="s">
        <v>1731</v>
      </c>
      <c r="V330" s="1" t="str">
        <f t="shared" si="77"/>
        <v>2.5\0.1:11</v>
      </c>
      <c r="W330" s="1" t="s">
        <v>1730</v>
      </c>
      <c r="X330" s="18">
        <v>0</v>
      </c>
      <c r="Y330" s="7"/>
      <c r="Z330" s="206" t="s">
        <v>1198</v>
      </c>
      <c r="AA330" s="206"/>
      <c r="AB330" s="7"/>
      <c r="AC330" s="7"/>
      <c r="AD330" s="7"/>
      <c r="AE330" s="7"/>
      <c r="AG330" s="3" t="s">
        <v>768</v>
      </c>
      <c r="AH330" s="3"/>
      <c r="AI330" s="3">
        <v>12</v>
      </c>
      <c r="AJ330" s="200"/>
      <c r="AM330" s="3"/>
    </row>
    <row r="331" spans="1:39" x14ac:dyDescent="0.3">
      <c r="A331" s="5" t="str">
        <f t="shared" si="79"/>
        <v>BBD130</v>
      </c>
      <c r="B331" s="1" t="s">
        <v>1622</v>
      </c>
      <c r="C331" s="2" t="str">
        <f t="shared" si="76"/>
        <v>DIO1</v>
      </c>
      <c r="D331" s="2">
        <v>130</v>
      </c>
      <c r="E331" s="3">
        <f t="shared" si="74"/>
        <v>2</v>
      </c>
      <c r="F331" s="3">
        <f t="shared" si="75"/>
        <v>5</v>
      </c>
      <c r="G331" s="3">
        <v>0</v>
      </c>
      <c r="H331" s="60">
        <f t="shared" si="80"/>
        <v>1</v>
      </c>
      <c r="I331" s="54">
        <f t="shared" si="78"/>
        <v>12</v>
      </c>
      <c r="J331" s="61"/>
      <c r="K331" s="30"/>
      <c r="L331" s="1" t="s">
        <v>21</v>
      </c>
      <c r="M331" s="2"/>
      <c r="N331" s="244"/>
      <c r="O331" s="12"/>
      <c r="P331" s="239"/>
      <c r="Q331" s="1" t="s">
        <v>302</v>
      </c>
      <c r="R331" s="12" t="s">
        <v>302</v>
      </c>
      <c r="V331" s="1" t="str">
        <f t="shared" si="77"/>
        <v>2.5\0.1:12</v>
      </c>
      <c r="Y331" s="7"/>
      <c r="Z331" s="206" t="s">
        <v>1062</v>
      </c>
      <c r="AA331" s="206"/>
      <c r="AB331" s="7"/>
      <c r="AC331" s="7"/>
      <c r="AD331" s="7"/>
      <c r="AE331" s="7"/>
      <c r="AG331" s="3" t="s">
        <v>768</v>
      </c>
      <c r="AH331" s="3"/>
      <c r="AI331" s="3">
        <v>13</v>
      </c>
      <c r="AJ331" s="200"/>
      <c r="AM331" s="3"/>
    </row>
    <row r="332" spans="1:39" x14ac:dyDescent="0.3">
      <c r="A332" s="5" t="str">
        <f t="shared" si="79"/>
        <v>BBD130</v>
      </c>
      <c r="B332" s="1" t="s">
        <v>1622</v>
      </c>
      <c r="C332" s="2" t="str">
        <f t="shared" si="76"/>
        <v>DIO1</v>
      </c>
      <c r="D332" s="2">
        <v>130</v>
      </c>
      <c r="E332" s="3">
        <f t="shared" si="74"/>
        <v>2</v>
      </c>
      <c r="F332" s="3">
        <f t="shared" si="75"/>
        <v>5</v>
      </c>
      <c r="G332" s="3">
        <v>0</v>
      </c>
      <c r="H332" s="60">
        <f t="shared" si="80"/>
        <v>1</v>
      </c>
      <c r="I332" s="54">
        <f t="shared" si="78"/>
        <v>13</v>
      </c>
      <c r="J332" s="61"/>
      <c r="K332" s="30"/>
      <c r="L332" s="1" t="s">
        <v>21</v>
      </c>
      <c r="M332" s="2"/>
      <c r="N332" s="244"/>
      <c r="O332" s="12"/>
      <c r="P332" s="239"/>
      <c r="Q332" s="1" t="s">
        <v>302</v>
      </c>
      <c r="R332" s="12" t="s">
        <v>302</v>
      </c>
      <c r="V332" s="1" t="str">
        <f t="shared" si="77"/>
        <v>2.5\0.1:13</v>
      </c>
      <c r="Y332" s="7"/>
      <c r="Z332" s="206" t="s">
        <v>1062</v>
      </c>
      <c r="AA332" s="206"/>
      <c r="AB332" s="7"/>
      <c r="AC332" s="7"/>
      <c r="AD332" s="7"/>
      <c r="AE332" s="7"/>
      <c r="AG332" s="3" t="s">
        <v>768</v>
      </c>
      <c r="AH332" s="3"/>
      <c r="AI332" s="3">
        <v>14</v>
      </c>
      <c r="AJ332" s="200"/>
      <c r="AM332" s="3"/>
    </row>
    <row r="333" spans="1:39" x14ac:dyDescent="0.3">
      <c r="A333" s="5" t="str">
        <f t="shared" si="79"/>
        <v>BBD130</v>
      </c>
      <c r="B333" s="1" t="s">
        <v>1622</v>
      </c>
      <c r="C333" s="2" t="str">
        <f t="shared" si="76"/>
        <v>DIO1</v>
      </c>
      <c r="D333" s="2">
        <v>130</v>
      </c>
      <c r="E333" s="3">
        <f t="shared" si="74"/>
        <v>2</v>
      </c>
      <c r="F333" s="3">
        <f t="shared" si="75"/>
        <v>5</v>
      </c>
      <c r="G333" s="3">
        <v>0</v>
      </c>
      <c r="H333" s="60">
        <f t="shared" si="80"/>
        <v>1</v>
      </c>
      <c r="I333" s="54">
        <f t="shared" si="78"/>
        <v>14</v>
      </c>
      <c r="J333" s="61"/>
      <c r="K333" s="30"/>
      <c r="L333" s="1" t="s">
        <v>21</v>
      </c>
      <c r="M333" s="2"/>
      <c r="N333" s="244"/>
      <c r="O333" s="12"/>
      <c r="P333" s="239"/>
      <c r="Q333" s="1" t="s">
        <v>302</v>
      </c>
      <c r="R333" s="12" t="s">
        <v>302</v>
      </c>
      <c r="V333" s="1" t="str">
        <f t="shared" si="77"/>
        <v>2.5\0.1:14</v>
      </c>
      <c r="Y333" s="7"/>
      <c r="Z333" s="206" t="s">
        <v>1062</v>
      </c>
      <c r="AA333" s="206"/>
      <c r="AB333" s="7"/>
      <c r="AC333" s="7"/>
      <c r="AD333" s="7"/>
      <c r="AE333" s="7"/>
      <c r="AG333" s="3" t="s">
        <v>768</v>
      </c>
      <c r="AH333" s="3"/>
      <c r="AI333" s="3">
        <v>15</v>
      </c>
      <c r="AJ333" s="200"/>
      <c r="AM333" s="3"/>
    </row>
    <row r="334" spans="1:39" x14ac:dyDescent="0.3">
      <c r="A334" s="5" t="str">
        <f t="shared" si="79"/>
        <v>BBD130</v>
      </c>
      <c r="B334" s="1" t="s">
        <v>1622</v>
      </c>
      <c r="C334" s="2" t="str">
        <f t="shared" si="76"/>
        <v>DIO1</v>
      </c>
      <c r="D334" s="2">
        <v>130</v>
      </c>
      <c r="E334" s="3">
        <f t="shared" si="74"/>
        <v>2</v>
      </c>
      <c r="F334" s="3">
        <f t="shared" si="75"/>
        <v>5</v>
      </c>
      <c r="G334" s="3">
        <v>0</v>
      </c>
      <c r="H334" s="60">
        <f t="shared" ref="H334:H350" si="81">H330</f>
        <v>1</v>
      </c>
      <c r="I334" s="54">
        <f t="shared" si="78"/>
        <v>15</v>
      </c>
      <c r="J334" s="61"/>
      <c r="K334" s="30"/>
      <c r="L334" s="1" t="s">
        <v>21</v>
      </c>
      <c r="M334" s="2"/>
      <c r="N334" s="244"/>
      <c r="O334" s="12"/>
      <c r="P334" s="239"/>
      <c r="Q334" s="2" t="s">
        <v>302</v>
      </c>
      <c r="R334" s="12" t="s">
        <v>302</v>
      </c>
      <c r="V334" s="1" t="str">
        <f t="shared" si="77"/>
        <v>2.5\0.1:15</v>
      </c>
      <c r="Y334" s="7"/>
      <c r="Z334" s="206" t="s">
        <v>1062</v>
      </c>
      <c r="AA334" s="206"/>
      <c r="AB334" s="7"/>
      <c r="AC334" s="7"/>
      <c r="AD334" s="7"/>
      <c r="AE334" s="7"/>
      <c r="AG334" s="3" t="s">
        <v>768</v>
      </c>
      <c r="AH334" s="3"/>
      <c r="AI334" s="3">
        <v>16</v>
      </c>
      <c r="AJ334" s="200"/>
      <c r="AM334" s="3"/>
    </row>
    <row r="335" spans="1:39" x14ac:dyDescent="0.3">
      <c r="A335" s="5" t="str">
        <f t="shared" si="79"/>
        <v>BBD130</v>
      </c>
      <c r="B335" s="1" t="s">
        <v>1622</v>
      </c>
      <c r="C335" s="2" t="str">
        <f t="shared" si="76"/>
        <v>DIO1</v>
      </c>
      <c r="D335" s="2">
        <v>130</v>
      </c>
      <c r="E335" s="3">
        <f t="shared" si="74"/>
        <v>2</v>
      </c>
      <c r="F335" s="3">
        <f t="shared" si="75"/>
        <v>5</v>
      </c>
      <c r="G335" s="3">
        <v>0</v>
      </c>
      <c r="H335" s="60">
        <f t="shared" si="81"/>
        <v>1</v>
      </c>
      <c r="I335" s="54">
        <f t="shared" si="78"/>
        <v>16</v>
      </c>
      <c r="J335" s="61"/>
      <c r="K335" s="2"/>
      <c r="L335" s="1" t="s">
        <v>21</v>
      </c>
      <c r="M335" s="2">
        <v>4</v>
      </c>
      <c r="N335" s="8" t="s">
        <v>1616</v>
      </c>
      <c r="O335" s="41" t="s">
        <v>962</v>
      </c>
      <c r="P335" s="41" t="s">
        <v>1614</v>
      </c>
      <c r="Q335" s="41" t="s">
        <v>963</v>
      </c>
      <c r="R335" s="41" t="s">
        <v>46</v>
      </c>
      <c r="S335" s="13" t="s">
        <v>962</v>
      </c>
      <c r="T335" s="1" t="s">
        <v>464</v>
      </c>
      <c r="V335" s="1" t="str">
        <f t="shared" si="77"/>
        <v>2.5\0.1:16</v>
      </c>
      <c r="W335" s="1" t="s">
        <v>1600</v>
      </c>
      <c r="X335" s="18">
        <v>0</v>
      </c>
      <c r="Y335" s="7"/>
      <c r="Z335" s="206" t="s">
        <v>1062</v>
      </c>
      <c r="AA335" s="206"/>
      <c r="AB335" s="7"/>
      <c r="AC335" s="7"/>
      <c r="AD335" s="7"/>
      <c r="AE335" s="7"/>
      <c r="AG335" s="3" t="s">
        <v>768</v>
      </c>
      <c r="AH335" s="3">
        <v>17</v>
      </c>
      <c r="AI335" s="3">
        <v>18</v>
      </c>
      <c r="AJ335" s="200"/>
      <c r="AM335" s="3"/>
    </row>
    <row r="336" spans="1:39" x14ac:dyDescent="0.3">
      <c r="A336" s="5" t="str">
        <f t="shared" si="79"/>
        <v>BBD130</v>
      </c>
      <c r="B336" s="1" t="s">
        <v>1622</v>
      </c>
      <c r="C336" s="2" t="str">
        <f t="shared" si="76"/>
        <v>DIO1</v>
      </c>
      <c r="D336" s="2">
        <v>130</v>
      </c>
      <c r="E336" s="3">
        <f t="shared" si="74"/>
        <v>2</v>
      </c>
      <c r="F336" s="3">
        <f t="shared" si="75"/>
        <v>5</v>
      </c>
      <c r="G336" s="3">
        <v>0</v>
      </c>
      <c r="H336" s="60">
        <f t="shared" si="81"/>
        <v>1</v>
      </c>
      <c r="I336" s="54">
        <f t="shared" si="78"/>
        <v>17</v>
      </c>
      <c r="J336" s="61"/>
      <c r="K336" s="30"/>
      <c r="L336" s="1" t="s">
        <v>21</v>
      </c>
      <c r="M336" s="2">
        <v>4</v>
      </c>
      <c r="N336" s="8" t="s">
        <v>1616</v>
      </c>
      <c r="O336" s="41" t="s">
        <v>959</v>
      </c>
      <c r="P336" s="41" t="s">
        <v>1614</v>
      </c>
      <c r="Q336" s="41" t="s">
        <v>960</v>
      </c>
      <c r="R336" s="41" t="s">
        <v>46</v>
      </c>
      <c r="S336" s="13" t="s">
        <v>959</v>
      </c>
      <c r="T336" s="1" t="s">
        <v>464</v>
      </c>
      <c r="V336" s="1" t="str">
        <f t="shared" si="77"/>
        <v>2.5\0.1:17</v>
      </c>
      <c r="W336" s="1" t="s">
        <v>1600</v>
      </c>
      <c r="X336" s="18">
        <v>0</v>
      </c>
      <c r="Y336" s="7"/>
      <c r="Z336" s="206" t="s">
        <v>1062</v>
      </c>
      <c r="AA336" s="206"/>
      <c r="AB336" s="7"/>
      <c r="AC336" s="7"/>
      <c r="AD336" s="7"/>
      <c r="AE336" s="7"/>
      <c r="AG336" s="3" t="s">
        <v>768</v>
      </c>
      <c r="AH336" s="3">
        <v>19</v>
      </c>
      <c r="AI336" s="3">
        <v>20</v>
      </c>
      <c r="AJ336" s="200"/>
      <c r="AM336" s="3"/>
    </row>
    <row r="337" spans="1:39" x14ac:dyDescent="0.3">
      <c r="A337" s="5" t="str">
        <f t="shared" si="79"/>
        <v>BBD130</v>
      </c>
      <c r="B337" s="1" t="s">
        <v>1622</v>
      </c>
      <c r="C337" s="2" t="str">
        <f t="shared" si="76"/>
        <v>DIO1</v>
      </c>
      <c r="D337" s="2">
        <v>130</v>
      </c>
      <c r="E337" s="3">
        <f t="shared" si="74"/>
        <v>2</v>
      </c>
      <c r="F337" s="3">
        <f t="shared" si="75"/>
        <v>5</v>
      </c>
      <c r="G337" s="3">
        <v>0</v>
      </c>
      <c r="H337" s="60">
        <f t="shared" si="81"/>
        <v>1</v>
      </c>
      <c r="I337" s="54">
        <f t="shared" si="78"/>
        <v>18</v>
      </c>
      <c r="J337" s="61"/>
      <c r="K337" s="30"/>
      <c r="L337" s="1" t="s">
        <v>21</v>
      </c>
      <c r="M337" s="2">
        <v>4</v>
      </c>
      <c r="N337" s="8" t="s">
        <v>1616</v>
      </c>
      <c r="O337" s="1" t="s">
        <v>61</v>
      </c>
      <c r="P337" s="1" t="s">
        <v>1614</v>
      </c>
      <c r="Q337" s="1" t="s">
        <v>1028</v>
      </c>
      <c r="R337" s="1" t="s">
        <v>18</v>
      </c>
      <c r="S337" s="13" t="s">
        <v>1457</v>
      </c>
      <c r="T337" s="1" t="s">
        <v>464</v>
      </c>
      <c r="V337" s="1" t="str">
        <f t="shared" si="77"/>
        <v>2.5\0.1:18</v>
      </c>
      <c r="W337" s="1" t="s">
        <v>1600</v>
      </c>
      <c r="X337" s="18">
        <v>0</v>
      </c>
      <c r="Y337" s="7"/>
      <c r="Z337" s="206" t="s">
        <v>1198</v>
      </c>
      <c r="AA337" s="206"/>
      <c r="AB337" s="7"/>
      <c r="AC337" s="7"/>
      <c r="AD337" s="7"/>
      <c r="AE337" s="7"/>
      <c r="AG337" s="3" t="s">
        <v>768</v>
      </c>
      <c r="AH337" s="3">
        <v>21</v>
      </c>
      <c r="AI337" s="3">
        <v>22</v>
      </c>
      <c r="AJ337" s="200"/>
      <c r="AM337" s="3"/>
    </row>
    <row r="338" spans="1:39" x14ac:dyDescent="0.3">
      <c r="A338" s="5" t="str">
        <f t="shared" si="79"/>
        <v>BBD130</v>
      </c>
      <c r="B338" s="1" t="s">
        <v>1622</v>
      </c>
      <c r="C338" s="2" t="str">
        <f t="shared" si="76"/>
        <v>DIO1</v>
      </c>
      <c r="D338" s="2">
        <v>130</v>
      </c>
      <c r="E338" s="3">
        <f t="shared" si="74"/>
        <v>2</v>
      </c>
      <c r="F338" s="3">
        <f t="shared" si="75"/>
        <v>5</v>
      </c>
      <c r="G338" s="3">
        <v>0</v>
      </c>
      <c r="H338" s="60">
        <f t="shared" si="81"/>
        <v>1</v>
      </c>
      <c r="I338" s="54">
        <f t="shared" si="78"/>
        <v>19</v>
      </c>
      <c r="J338" s="61"/>
      <c r="K338" s="30"/>
      <c r="L338" s="1" t="s">
        <v>21</v>
      </c>
      <c r="M338" s="2">
        <v>4</v>
      </c>
      <c r="N338" s="8" t="s">
        <v>1615</v>
      </c>
      <c r="O338" s="1" t="s">
        <v>962</v>
      </c>
      <c r="P338" s="1" t="s">
        <v>1614</v>
      </c>
      <c r="Q338" s="41" t="s">
        <v>963</v>
      </c>
      <c r="R338" s="1" t="s">
        <v>46</v>
      </c>
      <c r="S338" s="13" t="s">
        <v>962</v>
      </c>
      <c r="T338" s="1" t="s">
        <v>464</v>
      </c>
      <c r="V338" s="1" t="str">
        <f t="shared" si="77"/>
        <v>2.5\0.1:19</v>
      </c>
      <c r="W338" s="1" t="s">
        <v>1600</v>
      </c>
      <c r="X338" s="18">
        <v>0</v>
      </c>
      <c r="Y338" s="7"/>
      <c r="Z338" s="206" t="s">
        <v>1062</v>
      </c>
      <c r="AA338" s="206"/>
      <c r="AB338" s="7"/>
      <c r="AC338" s="7"/>
      <c r="AD338" s="7"/>
      <c r="AE338" s="7"/>
      <c r="AG338" s="3" t="s">
        <v>768</v>
      </c>
      <c r="AH338" s="3">
        <v>23</v>
      </c>
      <c r="AI338" s="3">
        <v>24</v>
      </c>
      <c r="AJ338" s="200"/>
      <c r="AM338" s="3"/>
    </row>
    <row r="339" spans="1:39" x14ac:dyDescent="0.3">
      <c r="A339" s="5" t="str">
        <f t="shared" si="79"/>
        <v>BBD130</v>
      </c>
      <c r="B339" s="1" t="s">
        <v>1622</v>
      </c>
      <c r="C339" s="2" t="str">
        <f t="shared" si="76"/>
        <v>DIO1</v>
      </c>
      <c r="D339" s="2">
        <v>130</v>
      </c>
      <c r="E339" s="3">
        <f t="shared" si="74"/>
        <v>2</v>
      </c>
      <c r="F339" s="3">
        <f t="shared" si="75"/>
        <v>5</v>
      </c>
      <c r="G339" s="3">
        <v>0</v>
      </c>
      <c r="H339" s="60">
        <f t="shared" si="81"/>
        <v>1</v>
      </c>
      <c r="I339" s="54">
        <f t="shared" si="78"/>
        <v>20</v>
      </c>
      <c r="J339" s="61"/>
      <c r="K339" s="30"/>
      <c r="L339" s="1" t="s">
        <v>21</v>
      </c>
      <c r="M339" s="2">
        <v>4</v>
      </c>
      <c r="N339" s="8" t="s">
        <v>1615</v>
      </c>
      <c r="O339" s="1" t="s">
        <v>959</v>
      </c>
      <c r="P339" s="1" t="s">
        <v>1614</v>
      </c>
      <c r="Q339" s="41" t="s">
        <v>960</v>
      </c>
      <c r="R339" s="1" t="s">
        <v>46</v>
      </c>
      <c r="S339" s="13" t="s">
        <v>959</v>
      </c>
      <c r="T339" s="1" t="s">
        <v>464</v>
      </c>
      <c r="V339" s="1" t="str">
        <f t="shared" si="77"/>
        <v>2.5\0.1:20</v>
      </c>
      <c r="W339" s="1" t="s">
        <v>1600</v>
      </c>
      <c r="X339" s="18">
        <v>0</v>
      </c>
      <c r="Y339" s="7"/>
      <c r="Z339" s="206" t="s">
        <v>1062</v>
      </c>
      <c r="AA339" s="206"/>
      <c r="AB339" s="7"/>
      <c r="AC339" s="7"/>
      <c r="AD339" s="7"/>
      <c r="AE339" s="7"/>
      <c r="AG339" s="3" t="s">
        <v>768</v>
      </c>
      <c r="AH339" s="3">
        <v>25</v>
      </c>
      <c r="AI339" s="3">
        <v>26</v>
      </c>
      <c r="AJ339" s="200"/>
      <c r="AM339" s="3"/>
    </row>
    <row r="340" spans="1:39" x14ac:dyDescent="0.3">
      <c r="A340" s="5" t="str">
        <f t="shared" si="79"/>
        <v>BBD130</v>
      </c>
      <c r="B340" s="1" t="s">
        <v>1622</v>
      </c>
      <c r="C340" s="2" t="str">
        <f t="shared" si="76"/>
        <v>DIO1</v>
      </c>
      <c r="D340" s="2">
        <v>130</v>
      </c>
      <c r="E340" s="3">
        <f t="shared" si="74"/>
        <v>2</v>
      </c>
      <c r="F340" s="3">
        <f t="shared" si="75"/>
        <v>5</v>
      </c>
      <c r="G340" s="3">
        <v>0</v>
      </c>
      <c r="H340" s="60">
        <f t="shared" si="81"/>
        <v>1</v>
      </c>
      <c r="I340" s="54">
        <f t="shared" si="78"/>
        <v>21</v>
      </c>
      <c r="J340" s="61"/>
      <c r="K340" s="30"/>
      <c r="L340" s="1" t="s">
        <v>21</v>
      </c>
      <c r="M340" s="2">
        <v>4</v>
      </c>
      <c r="N340" s="8" t="s">
        <v>1615</v>
      </c>
      <c r="O340" s="1" t="s">
        <v>61</v>
      </c>
      <c r="P340" s="1" t="s">
        <v>1614</v>
      </c>
      <c r="Q340" s="1" t="s">
        <v>1028</v>
      </c>
      <c r="R340" s="1" t="s">
        <v>18</v>
      </c>
      <c r="S340" s="13" t="s">
        <v>1613</v>
      </c>
      <c r="T340" s="1" t="s">
        <v>464</v>
      </c>
      <c r="V340" s="1" t="str">
        <f t="shared" si="77"/>
        <v>2.5\0.1:21</v>
      </c>
      <c r="W340" s="1" t="s">
        <v>1600</v>
      </c>
      <c r="X340" s="18">
        <v>0</v>
      </c>
      <c r="Y340" s="7"/>
      <c r="Z340" s="206" t="s">
        <v>1198</v>
      </c>
      <c r="AA340" s="206"/>
      <c r="AB340" s="7"/>
      <c r="AC340" s="7"/>
      <c r="AD340" s="7"/>
      <c r="AE340" s="7"/>
      <c r="AG340" s="3" t="s">
        <v>768</v>
      </c>
      <c r="AH340" s="3">
        <v>27</v>
      </c>
      <c r="AI340" s="3">
        <v>28</v>
      </c>
      <c r="AJ340" s="200"/>
      <c r="AM340" s="3"/>
    </row>
    <row r="341" spans="1:39" x14ac:dyDescent="0.3">
      <c r="A341" s="5" t="str">
        <f t="shared" si="79"/>
        <v>BBD130</v>
      </c>
      <c r="B341" s="1" t="s">
        <v>1622</v>
      </c>
      <c r="C341" s="2" t="str">
        <f t="shared" si="76"/>
        <v>DIO1</v>
      </c>
      <c r="D341" s="2">
        <v>130</v>
      </c>
      <c r="E341" s="3">
        <f t="shared" si="74"/>
        <v>2</v>
      </c>
      <c r="F341" s="3">
        <f t="shared" si="75"/>
        <v>5</v>
      </c>
      <c r="G341" s="3">
        <v>0</v>
      </c>
      <c r="H341" s="60">
        <f t="shared" si="81"/>
        <v>1</v>
      </c>
      <c r="I341" s="54">
        <f t="shared" si="78"/>
        <v>22</v>
      </c>
      <c r="J341" s="61"/>
      <c r="K341" s="30"/>
      <c r="L341" s="1" t="s">
        <v>21</v>
      </c>
      <c r="M341" s="40"/>
      <c r="N341" s="244"/>
      <c r="O341" s="40"/>
      <c r="P341" s="40"/>
      <c r="Q341" s="229"/>
      <c r="R341" s="229"/>
      <c r="S341" s="66"/>
      <c r="T341" s="229"/>
      <c r="U341" s="40"/>
      <c r="V341" s="40"/>
      <c r="W341" s="40"/>
      <c r="X341" s="240"/>
      <c r="Y341" s="7"/>
      <c r="Z341" s="206" t="s">
        <v>1062</v>
      </c>
      <c r="AA341" s="206"/>
      <c r="AB341" s="7"/>
      <c r="AC341" s="7"/>
      <c r="AD341" s="7"/>
      <c r="AE341" s="7"/>
      <c r="AG341" s="3" t="s">
        <v>768</v>
      </c>
      <c r="AH341" s="3">
        <v>29</v>
      </c>
      <c r="AI341" s="3">
        <v>30</v>
      </c>
      <c r="AJ341" s="200"/>
      <c r="AM341" s="3"/>
    </row>
    <row r="342" spans="1:39" x14ac:dyDescent="0.3">
      <c r="A342" s="5" t="str">
        <f t="shared" si="79"/>
        <v>BBD130</v>
      </c>
      <c r="B342" s="1" t="s">
        <v>1622</v>
      </c>
      <c r="C342" s="2" t="str">
        <f t="shared" si="76"/>
        <v>DIO1</v>
      </c>
      <c r="D342" s="2">
        <v>130</v>
      </c>
      <c r="E342" s="3">
        <f t="shared" si="74"/>
        <v>2</v>
      </c>
      <c r="F342" s="3">
        <f t="shared" si="75"/>
        <v>5</v>
      </c>
      <c r="G342" s="3">
        <v>0</v>
      </c>
      <c r="H342" s="60">
        <f t="shared" si="81"/>
        <v>1</v>
      </c>
      <c r="I342" s="54">
        <f t="shared" si="78"/>
        <v>23</v>
      </c>
      <c r="J342" s="61"/>
      <c r="K342" s="30"/>
      <c r="L342" s="1" t="s">
        <v>21</v>
      </c>
      <c r="M342" s="2">
        <v>4</v>
      </c>
      <c r="N342" s="8" t="s">
        <v>1729</v>
      </c>
      <c r="O342" s="1" t="s">
        <v>1174</v>
      </c>
      <c r="P342" s="1" t="s">
        <v>1728</v>
      </c>
      <c r="Q342" s="41" t="s">
        <v>1173</v>
      </c>
      <c r="R342" s="1" t="s">
        <v>18</v>
      </c>
      <c r="T342" s="1" t="s">
        <v>464</v>
      </c>
      <c r="V342" s="1" t="str">
        <f t="shared" ref="V342:V373" si="82">+CONCATENATE(E342,".",F342,"\",G342,".",H342,":",I342)</f>
        <v>2.5\0.1:23</v>
      </c>
      <c r="W342" s="1" t="s">
        <v>1625</v>
      </c>
      <c r="X342" s="18">
        <v>0</v>
      </c>
      <c r="Y342" s="7"/>
      <c r="Z342" s="206" t="s">
        <v>1062</v>
      </c>
      <c r="AA342" s="206"/>
      <c r="AB342" s="7"/>
      <c r="AC342" s="7"/>
      <c r="AD342" s="7"/>
      <c r="AE342" s="7"/>
      <c r="AG342" s="3" t="s">
        <v>768</v>
      </c>
      <c r="AH342" s="3">
        <v>31</v>
      </c>
      <c r="AI342" s="3">
        <v>32</v>
      </c>
      <c r="AJ342" s="200"/>
      <c r="AM342" s="3"/>
    </row>
    <row r="343" spans="1:39" x14ac:dyDescent="0.3">
      <c r="A343" s="5" t="str">
        <f t="shared" si="79"/>
        <v>BBD130</v>
      </c>
      <c r="B343" s="1" t="s">
        <v>1622</v>
      </c>
      <c r="C343" s="2" t="str">
        <f t="shared" si="76"/>
        <v>DIO1</v>
      </c>
      <c r="D343" s="2">
        <v>130</v>
      </c>
      <c r="E343" s="3">
        <f t="shared" si="74"/>
        <v>2</v>
      </c>
      <c r="F343" s="3">
        <f t="shared" si="75"/>
        <v>5</v>
      </c>
      <c r="G343" s="3">
        <v>0</v>
      </c>
      <c r="H343" s="60">
        <f t="shared" si="81"/>
        <v>1</v>
      </c>
      <c r="I343" s="54">
        <f t="shared" si="78"/>
        <v>24</v>
      </c>
      <c r="J343" s="61"/>
      <c r="K343" s="30"/>
      <c r="L343" s="1" t="s">
        <v>21</v>
      </c>
      <c r="M343" s="40">
        <v>5</v>
      </c>
      <c r="N343" s="244" t="s">
        <v>464</v>
      </c>
      <c r="O343" s="40" t="s">
        <v>967</v>
      </c>
      <c r="P343" s="40" t="s">
        <v>1614</v>
      </c>
      <c r="Q343" s="229" t="s">
        <v>1727</v>
      </c>
      <c r="R343" s="229" t="s">
        <v>18</v>
      </c>
      <c r="S343" s="66" t="s">
        <v>1726</v>
      </c>
      <c r="T343" s="229" t="s">
        <v>464</v>
      </c>
      <c r="U343" s="40"/>
      <c r="V343" s="40" t="str">
        <f t="shared" si="82"/>
        <v>2.5\0.1:24</v>
      </c>
      <c r="W343" s="40" t="s">
        <v>1600</v>
      </c>
      <c r="X343" s="240">
        <v>1</v>
      </c>
      <c r="Y343" s="7"/>
      <c r="Z343" s="206" t="s">
        <v>1062</v>
      </c>
      <c r="AA343" s="206"/>
      <c r="AB343" s="7"/>
      <c r="AC343" s="7"/>
      <c r="AD343" s="7"/>
      <c r="AE343" s="7"/>
      <c r="AG343" s="3" t="s">
        <v>768</v>
      </c>
      <c r="AH343" s="3">
        <v>33</v>
      </c>
      <c r="AI343" s="3">
        <v>34</v>
      </c>
      <c r="AJ343" s="200"/>
      <c r="AM343" s="3"/>
    </row>
    <row r="344" spans="1:39" x14ac:dyDescent="0.3">
      <c r="A344" s="5" t="str">
        <f t="shared" si="79"/>
        <v>BBD130</v>
      </c>
      <c r="B344" s="1" t="s">
        <v>1622</v>
      </c>
      <c r="C344" s="2" t="str">
        <f t="shared" si="76"/>
        <v>DIO1</v>
      </c>
      <c r="D344" s="2">
        <v>130</v>
      </c>
      <c r="E344" s="3">
        <f t="shared" si="74"/>
        <v>2</v>
      </c>
      <c r="F344" s="3">
        <f t="shared" si="75"/>
        <v>5</v>
      </c>
      <c r="G344" s="3">
        <v>0</v>
      </c>
      <c r="H344" s="60">
        <f t="shared" si="81"/>
        <v>1</v>
      </c>
      <c r="I344" s="54">
        <f t="shared" si="78"/>
        <v>25</v>
      </c>
      <c r="J344" s="61"/>
      <c r="K344" s="30"/>
      <c r="L344" s="1" t="s">
        <v>21</v>
      </c>
      <c r="M344" s="2"/>
      <c r="N344" s="244"/>
      <c r="P344" s="40"/>
      <c r="Q344" s="41" t="s">
        <v>302</v>
      </c>
      <c r="R344" s="1" t="s">
        <v>302</v>
      </c>
      <c r="V344" s="1" t="str">
        <f t="shared" si="82"/>
        <v>2.5\0.1:25</v>
      </c>
      <c r="Y344" s="7"/>
      <c r="Z344" s="206" t="s">
        <v>1062</v>
      </c>
      <c r="AA344" s="206"/>
      <c r="AB344" s="7"/>
      <c r="AC344" s="7"/>
      <c r="AD344" s="7"/>
      <c r="AE344" s="7"/>
      <c r="AG344" s="3" t="s">
        <v>768</v>
      </c>
      <c r="AH344" s="3">
        <v>35</v>
      </c>
      <c r="AI344" s="3">
        <v>36</v>
      </c>
      <c r="AJ344" s="200"/>
      <c r="AM344" s="3"/>
    </row>
    <row r="345" spans="1:39" x14ac:dyDescent="0.3">
      <c r="A345" s="5" t="str">
        <f t="shared" si="79"/>
        <v>BBD130</v>
      </c>
      <c r="B345" s="1" t="s">
        <v>1622</v>
      </c>
      <c r="C345" s="2" t="str">
        <f t="shared" si="76"/>
        <v>DIO1</v>
      </c>
      <c r="D345" s="2">
        <v>130</v>
      </c>
      <c r="E345" s="3">
        <f t="shared" si="74"/>
        <v>2</v>
      </c>
      <c r="F345" s="3">
        <f t="shared" si="75"/>
        <v>5</v>
      </c>
      <c r="G345" s="3">
        <v>0</v>
      </c>
      <c r="H345" s="60">
        <f t="shared" si="81"/>
        <v>1</v>
      </c>
      <c r="I345" s="54">
        <f t="shared" si="78"/>
        <v>26</v>
      </c>
      <c r="J345" s="61"/>
      <c r="K345" s="30"/>
      <c r="L345" s="1" t="s">
        <v>21</v>
      </c>
      <c r="M345" s="2"/>
      <c r="N345" s="244"/>
      <c r="P345" s="40"/>
      <c r="Q345" s="1" t="s">
        <v>302</v>
      </c>
      <c r="R345" s="1" t="s">
        <v>302</v>
      </c>
      <c r="V345" s="1" t="str">
        <f t="shared" si="82"/>
        <v>2.5\0.1:26</v>
      </c>
      <c r="Y345" s="7"/>
      <c r="Z345" s="206" t="s">
        <v>1062</v>
      </c>
      <c r="AA345" s="206"/>
      <c r="AC345" s="7"/>
      <c r="AD345" s="7"/>
      <c r="AE345" s="7"/>
      <c r="AG345" s="3" t="s">
        <v>768</v>
      </c>
      <c r="AH345" s="3">
        <v>37</v>
      </c>
      <c r="AI345" s="3">
        <v>38</v>
      </c>
      <c r="AJ345" s="200"/>
      <c r="AM345" s="3"/>
    </row>
    <row r="346" spans="1:39" x14ac:dyDescent="0.3">
      <c r="A346" s="5" t="str">
        <f t="shared" si="79"/>
        <v>BBD130</v>
      </c>
      <c r="B346" s="1" t="s">
        <v>1622</v>
      </c>
      <c r="C346" s="2" t="str">
        <f t="shared" si="76"/>
        <v>DIO1</v>
      </c>
      <c r="D346" s="2">
        <v>130</v>
      </c>
      <c r="E346" s="3">
        <f t="shared" si="74"/>
        <v>2</v>
      </c>
      <c r="F346" s="3">
        <f t="shared" si="75"/>
        <v>5</v>
      </c>
      <c r="G346" s="3">
        <v>0</v>
      </c>
      <c r="H346" s="60">
        <f t="shared" si="81"/>
        <v>1</v>
      </c>
      <c r="I346" s="54">
        <f t="shared" si="78"/>
        <v>27</v>
      </c>
      <c r="J346" s="61"/>
      <c r="K346" s="30"/>
      <c r="L346" s="1" t="s">
        <v>21</v>
      </c>
      <c r="M346" s="2"/>
      <c r="N346" s="244"/>
      <c r="P346" s="40"/>
      <c r="Q346" s="221" t="s">
        <v>302</v>
      </c>
      <c r="R346" s="220" t="s">
        <v>302</v>
      </c>
      <c r="V346" s="1" t="str">
        <f t="shared" si="82"/>
        <v>2.5\0.1:27</v>
      </c>
      <c r="Y346" s="7"/>
      <c r="Z346" s="206" t="s">
        <v>1062</v>
      </c>
      <c r="AA346" s="206"/>
      <c r="AC346" s="7"/>
      <c r="AD346" s="7"/>
      <c r="AE346" s="7"/>
      <c r="AG346" s="3" t="s">
        <v>768</v>
      </c>
      <c r="AH346" s="3">
        <v>39</v>
      </c>
      <c r="AI346" s="3">
        <v>40</v>
      </c>
      <c r="AJ346" s="200"/>
      <c r="AM346" s="3"/>
    </row>
    <row r="347" spans="1:39" x14ac:dyDescent="0.3">
      <c r="A347" s="5" t="str">
        <f t="shared" si="79"/>
        <v>BBD130</v>
      </c>
      <c r="B347" s="1" t="s">
        <v>1622</v>
      </c>
      <c r="C347" s="2" t="str">
        <f t="shared" si="76"/>
        <v>DIO1</v>
      </c>
      <c r="D347" s="2">
        <v>130</v>
      </c>
      <c r="E347" s="3">
        <f t="shared" si="74"/>
        <v>2</v>
      </c>
      <c r="F347" s="3">
        <f t="shared" si="75"/>
        <v>5</v>
      </c>
      <c r="G347" s="3">
        <v>0</v>
      </c>
      <c r="H347" s="60">
        <f t="shared" si="81"/>
        <v>1</v>
      </c>
      <c r="I347" s="54">
        <f t="shared" si="78"/>
        <v>28</v>
      </c>
      <c r="J347" s="61"/>
      <c r="K347" s="30"/>
      <c r="L347" s="1" t="s">
        <v>21</v>
      </c>
      <c r="M347" s="2"/>
      <c r="N347" s="244"/>
      <c r="P347" s="40"/>
      <c r="Q347" s="41" t="s">
        <v>302</v>
      </c>
      <c r="R347" s="1" t="s">
        <v>302</v>
      </c>
      <c r="V347" s="1" t="str">
        <f t="shared" si="82"/>
        <v>2.5\0.1:28</v>
      </c>
      <c r="Y347" s="7"/>
      <c r="Z347" s="206" t="s">
        <v>1062</v>
      </c>
      <c r="AA347" s="206"/>
      <c r="AC347" s="7"/>
      <c r="AD347" s="7"/>
      <c r="AE347" s="7"/>
      <c r="AG347" s="3" t="s">
        <v>768</v>
      </c>
      <c r="AH347" s="3">
        <v>41</v>
      </c>
      <c r="AI347" s="3">
        <v>42</v>
      </c>
      <c r="AJ347" s="200"/>
      <c r="AM347" s="3"/>
    </row>
    <row r="348" spans="1:39" x14ac:dyDescent="0.3">
      <c r="A348" s="5" t="str">
        <f t="shared" si="79"/>
        <v>BBD130</v>
      </c>
      <c r="B348" s="1" t="s">
        <v>1622</v>
      </c>
      <c r="C348" s="2" t="str">
        <f t="shared" si="76"/>
        <v>DIO1</v>
      </c>
      <c r="D348" s="2">
        <v>130</v>
      </c>
      <c r="E348" s="3">
        <f t="shared" ref="E348:E379" si="83">+E347</f>
        <v>2</v>
      </c>
      <c r="F348" s="3">
        <f t="shared" ref="F348:F379" si="84">+F347</f>
        <v>5</v>
      </c>
      <c r="G348" s="3">
        <v>0</v>
      </c>
      <c r="H348" s="60">
        <f t="shared" si="81"/>
        <v>1</v>
      </c>
      <c r="I348" s="54">
        <f t="shared" si="78"/>
        <v>29</v>
      </c>
      <c r="J348" s="61"/>
      <c r="K348" s="30"/>
      <c r="L348" s="1" t="s">
        <v>21</v>
      </c>
      <c r="M348" s="2"/>
      <c r="N348" s="244"/>
      <c r="P348" s="40"/>
      <c r="Q348" s="41"/>
      <c r="V348" s="1" t="str">
        <f t="shared" si="82"/>
        <v>2.5\0.1:29</v>
      </c>
      <c r="Y348" s="7"/>
      <c r="Z348" s="206" t="s">
        <v>1062</v>
      </c>
      <c r="AA348" s="206"/>
      <c r="AC348" s="7"/>
      <c r="AD348" s="7"/>
      <c r="AE348" s="7"/>
      <c r="AG348" s="3" t="s">
        <v>768</v>
      </c>
      <c r="AH348" s="3">
        <v>43</v>
      </c>
      <c r="AI348" s="3">
        <v>44</v>
      </c>
      <c r="AJ348" s="200"/>
      <c r="AM348" s="3"/>
    </row>
    <row r="349" spans="1:39" x14ac:dyDescent="0.3">
      <c r="A349" s="5" t="str">
        <f t="shared" si="79"/>
        <v>BBD130</v>
      </c>
      <c r="B349" s="1" t="s">
        <v>1622</v>
      </c>
      <c r="C349" s="2" t="str">
        <f t="shared" ref="C349:C380" si="85">+C348</f>
        <v>DIO1</v>
      </c>
      <c r="D349" s="2">
        <v>130</v>
      </c>
      <c r="E349" s="3">
        <f t="shared" si="83"/>
        <v>2</v>
      </c>
      <c r="F349" s="3">
        <f t="shared" si="84"/>
        <v>5</v>
      </c>
      <c r="G349" s="3">
        <v>0</v>
      </c>
      <c r="H349" s="60">
        <f t="shared" si="81"/>
        <v>1</v>
      </c>
      <c r="I349" s="54">
        <f t="shared" si="78"/>
        <v>30</v>
      </c>
      <c r="J349" s="61"/>
      <c r="K349" s="30"/>
      <c r="L349" s="1" t="s">
        <v>21</v>
      </c>
      <c r="M349" s="2">
        <v>4</v>
      </c>
      <c r="N349" s="8" t="s">
        <v>1608</v>
      </c>
      <c r="O349" s="1" t="s">
        <v>1725</v>
      </c>
      <c r="P349" s="1" t="s">
        <v>1451</v>
      </c>
      <c r="Q349" s="221" t="s">
        <v>1607</v>
      </c>
      <c r="R349" s="220" t="s">
        <v>18</v>
      </c>
      <c r="S349" s="13" t="s">
        <v>1447</v>
      </c>
      <c r="T349" s="1" t="s">
        <v>1442</v>
      </c>
      <c r="V349" s="1" t="str">
        <f t="shared" si="82"/>
        <v>2.5\0.1:30</v>
      </c>
      <c r="W349" s="1" t="s">
        <v>1600</v>
      </c>
      <c r="X349" s="18">
        <v>0</v>
      </c>
      <c r="Y349" s="7"/>
      <c r="Z349" s="206" t="s">
        <v>1198</v>
      </c>
      <c r="AA349" s="206"/>
      <c r="AC349" s="7"/>
      <c r="AD349" s="7"/>
      <c r="AE349" s="7"/>
      <c r="AG349" s="3" t="s">
        <v>768</v>
      </c>
      <c r="AH349" s="3">
        <v>45</v>
      </c>
      <c r="AI349" s="3">
        <v>46</v>
      </c>
      <c r="AJ349" s="200"/>
      <c r="AM349" s="3"/>
    </row>
    <row r="350" spans="1:39" ht="13.5" thickBot="1" x14ac:dyDescent="0.35">
      <c r="A350" s="5" t="str">
        <f t="shared" si="79"/>
        <v>BBD130</v>
      </c>
      <c r="B350" s="1" t="s">
        <v>1622</v>
      </c>
      <c r="C350" s="2" t="str">
        <f t="shared" si="85"/>
        <v>DIO1</v>
      </c>
      <c r="D350" s="2">
        <v>130</v>
      </c>
      <c r="E350" s="3">
        <f t="shared" si="83"/>
        <v>2</v>
      </c>
      <c r="F350" s="3">
        <f t="shared" si="84"/>
        <v>5</v>
      </c>
      <c r="G350" s="3">
        <v>0</v>
      </c>
      <c r="H350" s="60">
        <f t="shared" si="81"/>
        <v>1</v>
      </c>
      <c r="I350" s="59">
        <f t="shared" si="78"/>
        <v>31</v>
      </c>
      <c r="J350" s="58"/>
      <c r="K350" s="30"/>
      <c r="L350" s="1" t="s">
        <v>21</v>
      </c>
      <c r="M350" s="2">
        <v>4</v>
      </c>
      <c r="N350" s="8" t="s">
        <v>1606</v>
      </c>
      <c r="O350" s="1" t="s">
        <v>1724</v>
      </c>
      <c r="P350" s="1" t="s">
        <v>1451</v>
      </c>
      <c r="Q350" s="1" t="s">
        <v>1605</v>
      </c>
      <c r="R350" s="1" t="s">
        <v>18</v>
      </c>
      <c r="S350" s="13" t="s">
        <v>1604</v>
      </c>
      <c r="T350" s="1" t="s">
        <v>1442</v>
      </c>
      <c r="V350" s="1" t="str">
        <f t="shared" si="82"/>
        <v>2.5\0.1:31</v>
      </c>
      <c r="W350" s="1" t="s">
        <v>1600</v>
      </c>
      <c r="X350" s="18">
        <v>0</v>
      </c>
      <c r="Y350" s="7"/>
      <c r="Z350" s="206" t="s">
        <v>1198</v>
      </c>
      <c r="AA350" s="206"/>
      <c r="AC350" s="7"/>
      <c r="AD350" s="7"/>
      <c r="AE350" s="7"/>
      <c r="AG350" s="3" t="s">
        <v>768</v>
      </c>
      <c r="AH350" s="3">
        <v>47</v>
      </c>
      <c r="AI350" s="3">
        <v>48</v>
      </c>
      <c r="AJ350" s="200"/>
      <c r="AM350" s="3"/>
    </row>
    <row r="351" spans="1:39" x14ac:dyDescent="0.3">
      <c r="A351" s="76" t="s">
        <v>1471</v>
      </c>
      <c r="B351" s="1" t="s">
        <v>1622</v>
      </c>
      <c r="C351" s="2" t="str">
        <f t="shared" si="85"/>
        <v>DIO1</v>
      </c>
      <c r="D351" s="2">
        <v>130</v>
      </c>
      <c r="E351" s="3">
        <f t="shared" si="83"/>
        <v>2</v>
      </c>
      <c r="F351" s="3">
        <f t="shared" si="84"/>
        <v>5</v>
      </c>
      <c r="G351" s="3">
        <v>0</v>
      </c>
      <c r="H351" s="57">
        <f>+H335+1</f>
        <v>2</v>
      </c>
      <c r="I351" s="56">
        <v>0</v>
      </c>
      <c r="J351" s="222" t="s">
        <v>316</v>
      </c>
      <c r="K351" s="2" t="s">
        <v>315</v>
      </c>
      <c r="L351" s="1" t="s">
        <v>21</v>
      </c>
      <c r="M351" s="253">
        <v>5</v>
      </c>
      <c r="N351" s="253" t="s">
        <v>574</v>
      </c>
      <c r="O351" s="253" t="s">
        <v>56</v>
      </c>
      <c r="P351" s="1" t="s">
        <v>1611</v>
      </c>
      <c r="Q351" s="246" t="s">
        <v>1723</v>
      </c>
      <c r="R351" s="246" t="s">
        <v>24</v>
      </c>
      <c r="S351" s="247" t="s">
        <v>1722</v>
      </c>
      <c r="T351" s="1" t="s">
        <v>1610</v>
      </c>
      <c r="V351" s="1" t="str">
        <f t="shared" si="82"/>
        <v>2.5\0.2:0</v>
      </c>
      <c r="W351" s="1" t="s">
        <v>1609</v>
      </c>
      <c r="X351" s="18">
        <v>0</v>
      </c>
      <c r="Y351" s="7"/>
      <c r="Z351" s="206" t="s">
        <v>1062</v>
      </c>
      <c r="AA351" s="206"/>
      <c r="AC351" s="7"/>
      <c r="AD351" s="7"/>
      <c r="AE351" s="7"/>
      <c r="AG351" s="3" t="s">
        <v>732</v>
      </c>
      <c r="AH351" s="3">
        <v>1</v>
      </c>
      <c r="AI351" s="3">
        <v>2</v>
      </c>
      <c r="AJ351" s="200"/>
      <c r="AM351" s="3"/>
    </row>
    <row r="352" spans="1:39" x14ac:dyDescent="0.3">
      <c r="A352" s="5" t="str">
        <f t="shared" ref="A352:A382" si="86">A351</f>
        <v>BBD130</v>
      </c>
      <c r="B352" s="1" t="s">
        <v>1622</v>
      </c>
      <c r="C352" s="2" t="str">
        <f t="shared" si="85"/>
        <v>DIO1</v>
      </c>
      <c r="D352" s="2">
        <v>130</v>
      </c>
      <c r="E352" s="3">
        <f t="shared" si="83"/>
        <v>2</v>
      </c>
      <c r="F352" s="3">
        <f t="shared" si="84"/>
        <v>5</v>
      </c>
      <c r="G352" s="3">
        <v>0</v>
      </c>
      <c r="H352" s="60">
        <f>H351</f>
        <v>2</v>
      </c>
      <c r="I352" s="54">
        <f t="shared" ref="I352:I382" si="87">+I351+1</f>
        <v>1</v>
      </c>
      <c r="J352" s="61"/>
      <c r="K352" s="30"/>
      <c r="L352" s="1" t="s">
        <v>21</v>
      </c>
      <c r="M352" s="253">
        <v>5</v>
      </c>
      <c r="N352" s="253" t="s">
        <v>574</v>
      </c>
      <c r="O352" s="253" t="s">
        <v>65</v>
      </c>
      <c r="P352" s="1" t="s">
        <v>1611</v>
      </c>
      <c r="Q352" s="246" t="s">
        <v>1721</v>
      </c>
      <c r="R352" s="246" t="s">
        <v>862</v>
      </c>
      <c r="S352" s="247" t="s">
        <v>1720</v>
      </c>
      <c r="T352" s="1" t="s">
        <v>1610</v>
      </c>
      <c r="V352" s="1" t="str">
        <f t="shared" si="82"/>
        <v>2.5\0.2:1</v>
      </c>
      <c r="W352" s="1" t="s">
        <v>1609</v>
      </c>
      <c r="X352" s="18">
        <v>0</v>
      </c>
      <c r="Y352" s="7"/>
      <c r="Z352" s="206" t="s">
        <v>1062</v>
      </c>
      <c r="AA352" s="206"/>
      <c r="AC352" s="7"/>
      <c r="AD352" s="7"/>
      <c r="AE352" s="7"/>
      <c r="AG352" s="3" t="s">
        <v>732</v>
      </c>
      <c r="AH352" s="3">
        <v>3</v>
      </c>
      <c r="AI352" s="3">
        <v>4</v>
      </c>
      <c r="AJ352" s="200"/>
      <c r="AM352" s="3"/>
    </row>
    <row r="353" spans="1:39" x14ac:dyDescent="0.3">
      <c r="A353" s="5" t="str">
        <f t="shared" si="86"/>
        <v>BBD130</v>
      </c>
      <c r="B353" s="1" t="s">
        <v>1622</v>
      </c>
      <c r="C353" s="2" t="str">
        <f t="shared" si="85"/>
        <v>DIO1</v>
      </c>
      <c r="D353" s="2">
        <v>130</v>
      </c>
      <c r="E353" s="3">
        <f t="shared" si="83"/>
        <v>2</v>
      </c>
      <c r="F353" s="3">
        <f t="shared" si="84"/>
        <v>5</v>
      </c>
      <c r="G353" s="3">
        <v>0</v>
      </c>
      <c r="H353" s="60">
        <f>H351</f>
        <v>2</v>
      </c>
      <c r="I353" s="54">
        <f t="shared" si="87"/>
        <v>2</v>
      </c>
      <c r="J353" s="61"/>
      <c r="K353" s="30"/>
      <c r="L353" s="1" t="s">
        <v>21</v>
      </c>
      <c r="M353" s="253">
        <v>5</v>
      </c>
      <c r="N353" s="253" t="s">
        <v>574</v>
      </c>
      <c r="O353" s="1" t="s">
        <v>61</v>
      </c>
      <c r="P353" s="1" t="s">
        <v>1611</v>
      </c>
      <c r="Q353" s="1" t="s">
        <v>1028</v>
      </c>
      <c r="R353" s="1" t="s">
        <v>18</v>
      </c>
      <c r="S353" s="13" t="s">
        <v>1719</v>
      </c>
      <c r="T353" s="1" t="s">
        <v>1610</v>
      </c>
      <c r="V353" s="1" t="str">
        <f t="shared" si="82"/>
        <v>2.5\0.2:2</v>
      </c>
      <c r="W353" s="1" t="s">
        <v>1609</v>
      </c>
      <c r="X353" s="18">
        <v>0</v>
      </c>
      <c r="Y353" s="7"/>
      <c r="Z353" s="206" t="s">
        <v>1062</v>
      </c>
      <c r="AA353" s="206"/>
      <c r="AC353" s="7"/>
      <c r="AD353" s="7"/>
      <c r="AE353" s="7"/>
      <c r="AG353" s="3" t="s">
        <v>732</v>
      </c>
      <c r="AH353" s="3">
        <v>5</v>
      </c>
      <c r="AI353" s="3">
        <v>6</v>
      </c>
      <c r="AJ353" s="200"/>
      <c r="AM353" s="3"/>
    </row>
    <row r="354" spans="1:39" x14ac:dyDescent="0.3">
      <c r="A354" s="5" t="str">
        <f t="shared" si="86"/>
        <v>BBD130</v>
      </c>
      <c r="B354" s="1" t="s">
        <v>1622</v>
      </c>
      <c r="C354" s="2" t="str">
        <f t="shared" si="85"/>
        <v>DIO1</v>
      </c>
      <c r="D354" s="2">
        <v>130</v>
      </c>
      <c r="E354" s="3">
        <f t="shared" si="83"/>
        <v>2</v>
      </c>
      <c r="F354" s="3">
        <f t="shared" si="84"/>
        <v>5</v>
      </c>
      <c r="G354" s="3">
        <v>0</v>
      </c>
      <c r="H354" s="60">
        <f t="shared" ref="H354:H365" si="88">H351</f>
        <v>2</v>
      </c>
      <c r="I354" s="54">
        <f t="shared" si="87"/>
        <v>3</v>
      </c>
      <c r="J354" s="61"/>
      <c r="K354" s="30"/>
      <c r="L354" s="1" t="s">
        <v>21</v>
      </c>
      <c r="M354" s="253">
        <v>5</v>
      </c>
      <c r="N354" s="253" t="s">
        <v>574</v>
      </c>
      <c r="O354" s="246" t="s">
        <v>448</v>
      </c>
      <c r="P354" s="1" t="s">
        <v>1611</v>
      </c>
      <c r="Q354" s="246" t="s">
        <v>1718</v>
      </c>
      <c r="R354" s="246" t="s">
        <v>46</v>
      </c>
      <c r="S354" s="246" t="s">
        <v>448</v>
      </c>
      <c r="T354" s="1" t="s">
        <v>1610</v>
      </c>
      <c r="V354" s="1" t="str">
        <f t="shared" si="82"/>
        <v>2.5\0.2:3</v>
      </c>
      <c r="W354" s="1" t="s">
        <v>1609</v>
      </c>
      <c r="X354" s="18">
        <v>0</v>
      </c>
      <c r="Y354" s="7"/>
      <c r="Z354" s="206" t="s">
        <v>1062</v>
      </c>
      <c r="AA354" s="206"/>
      <c r="AC354" s="7"/>
      <c r="AD354" s="7"/>
      <c r="AE354" s="7"/>
      <c r="AG354" s="3" t="s">
        <v>732</v>
      </c>
      <c r="AH354" s="3">
        <v>7</v>
      </c>
      <c r="AI354" s="3">
        <v>8</v>
      </c>
      <c r="AJ354" s="200"/>
      <c r="AM354" s="3"/>
    </row>
    <row r="355" spans="1:39" x14ac:dyDescent="0.3">
      <c r="A355" s="5" t="str">
        <f t="shared" si="86"/>
        <v>BBD130</v>
      </c>
      <c r="B355" s="1" t="s">
        <v>1622</v>
      </c>
      <c r="C355" s="2" t="str">
        <f t="shared" si="85"/>
        <v>DIO1</v>
      </c>
      <c r="D355" s="2">
        <v>130</v>
      </c>
      <c r="E355" s="3">
        <f t="shared" si="83"/>
        <v>2</v>
      </c>
      <c r="F355" s="3">
        <f t="shared" si="84"/>
        <v>5</v>
      </c>
      <c r="G355" s="3">
        <v>0</v>
      </c>
      <c r="H355" s="60">
        <f t="shared" si="88"/>
        <v>2</v>
      </c>
      <c r="I355" s="54">
        <f t="shared" si="87"/>
        <v>4</v>
      </c>
      <c r="J355" s="61"/>
      <c r="K355" s="30"/>
      <c r="L355" s="1" t="s">
        <v>21</v>
      </c>
      <c r="M355" s="253">
        <v>5</v>
      </c>
      <c r="N355" s="253" t="s">
        <v>574</v>
      </c>
      <c r="O355" s="246" t="s">
        <v>1716</v>
      </c>
      <c r="P355" s="246" t="s">
        <v>1611</v>
      </c>
      <c r="Q355" s="246" t="s">
        <v>1717</v>
      </c>
      <c r="R355" s="246" t="s">
        <v>1151</v>
      </c>
      <c r="S355" s="246" t="s">
        <v>1716</v>
      </c>
      <c r="T355" s="246" t="s">
        <v>1610</v>
      </c>
      <c r="V355" s="1" t="str">
        <f t="shared" si="82"/>
        <v>2.5\0.2:4</v>
      </c>
      <c r="W355" s="246" t="s">
        <v>1609</v>
      </c>
      <c r="X355" s="245">
        <v>1</v>
      </c>
      <c r="Y355" s="7"/>
      <c r="Z355" s="206" t="s">
        <v>1062</v>
      </c>
      <c r="AA355" s="206"/>
      <c r="AC355" s="7"/>
      <c r="AD355" s="7"/>
      <c r="AE355" s="7"/>
      <c r="AG355" s="3" t="s">
        <v>732</v>
      </c>
      <c r="AH355" s="3">
        <v>9</v>
      </c>
      <c r="AI355" s="3">
        <v>10</v>
      </c>
      <c r="AJ355" s="200"/>
      <c r="AM355" s="3"/>
    </row>
    <row r="356" spans="1:39" x14ac:dyDescent="0.3">
      <c r="A356" s="5" t="str">
        <f t="shared" si="86"/>
        <v>BBD130</v>
      </c>
      <c r="B356" s="1" t="s">
        <v>1622</v>
      </c>
      <c r="C356" s="2" t="str">
        <f t="shared" si="85"/>
        <v>DIO1</v>
      </c>
      <c r="D356" s="2">
        <v>130</v>
      </c>
      <c r="E356" s="3">
        <f t="shared" si="83"/>
        <v>2</v>
      </c>
      <c r="F356" s="3">
        <f t="shared" si="84"/>
        <v>5</v>
      </c>
      <c r="G356" s="3">
        <v>0</v>
      </c>
      <c r="H356" s="60">
        <f t="shared" si="88"/>
        <v>2</v>
      </c>
      <c r="I356" s="54">
        <f t="shared" si="87"/>
        <v>5</v>
      </c>
      <c r="J356" s="61"/>
      <c r="K356" s="30"/>
      <c r="L356" s="1" t="s">
        <v>21</v>
      </c>
      <c r="M356" s="2">
        <v>4</v>
      </c>
      <c r="N356" s="8" t="s">
        <v>1715</v>
      </c>
      <c r="O356" s="1" t="s">
        <v>1714</v>
      </c>
      <c r="P356" s="1" t="s">
        <v>1611</v>
      </c>
      <c r="Q356" s="1" t="s">
        <v>1713</v>
      </c>
      <c r="R356" s="1" t="s">
        <v>1687</v>
      </c>
      <c r="T356" s="1" t="s">
        <v>1610</v>
      </c>
      <c r="V356" s="1" t="str">
        <f t="shared" si="82"/>
        <v>2.5\0.2:5</v>
      </c>
      <c r="W356" s="1" t="s">
        <v>1609</v>
      </c>
      <c r="X356" s="18">
        <v>0</v>
      </c>
      <c r="Y356" s="7"/>
      <c r="Z356" s="206" t="s">
        <v>1062</v>
      </c>
      <c r="AA356" s="206"/>
      <c r="AC356" s="7"/>
      <c r="AD356" s="7"/>
      <c r="AE356" s="7"/>
      <c r="AG356" s="3" t="s">
        <v>732</v>
      </c>
      <c r="AH356" s="3">
        <v>11</v>
      </c>
      <c r="AI356" s="3">
        <v>12</v>
      </c>
      <c r="AJ356" s="200"/>
      <c r="AM356" s="3"/>
    </row>
    <row r="357" spans="1:39" x14ac:dyDescent="0.3">
      <c r="A357" s="5" t="str">
        <f t="shared" si="86"/>
        <v>BBD130</v>
      </c>
      <c r="B357" s="1" t="s">
        <v>1622</v>
      </c>
      <c r="C357" s="2" t="str">
        <f t="shared" si="85"/>
        <v>DIO1</v>
      </c>
      <c r="D357" s="2">
        <v>130</v>
      </c>
      <c r="E357" s="3">
        <f t="shared" si="83"/>
        <v>2</v>
      </c>
      <c r="F357" s="3">
        <f t="shared" si="84"/>
        <v>5</v>
      </c>
      <c r="G357" s="3">
        <v>0</v>
      </c>
      <c r="H357" s="60">
        <f t="shared" si="88"/>
        <v>2</v>
      </c>
      <c r="I357" s="54">
        <f t="shared" si="87"/>
        <v>6</v>
      </c>
      <c r="J357" s="61"/>
      <c r="K357" s="30"/>
      <c r="L357" s="1" t="s">
        <v>21</v>
      </c>
      <c r="M357" s="2">
        <v>4</v>
      </c>
      <c r="N357" s="8" t="s">
        <v>1711</v>
      </c>
      <c r="O357" s="220" t="s">
        <v>994</v>
      </c>
      <c r="P357" s="220" t="s">
        <v>1611</v>
      </c>
      <c r="Q357" s="1" t="s">
        <v>1712</v>
      </c>
      <c r="R357" s="1" t="s">
        <v>1151</v>
      </c>
      <c r="T357" s="1" t="s">
        <v>1610</v>
      </c>
      <c r="V357" s="1" t="str">
        <f t="shared" si="82"/>
        <v>2.5\0.2:6</v>
      </c>
      <c r="W357" s="1" t="s">
        <v>1609</v>
      </c>
      <c r="X357" s="18">
        <v>0</v>
      </c>
      <c r="Y357" s="7"/>
      <c r="Z357" s="206" t="s">
        <v>1062</v>
      </c>
      <c r="AA357" s="206"/>
      <c r="AC357" s="7"/>
      <c r="AD357" s="7"/>
      <c r="AE357" s="7"/>
      <c r="AG357" s="3" t="s">
        <v>732</v>
      </c>
      <c r="AH357" s="3">
        <v>13</v>
      </c>
      <c r="AI357" s="3">
        <v>14</v>
      </c>
      <c r="AJ357" s="200"/>
      <c r="AM357" s="3"/>
    </row>
    <row r="358" spans="1:39" x14ac:dyDescent="0.3">
      <c r="A358" s="5" t="str">
        <f t="shared" si="86"/>
        <v>BBD130</v>
      </c>
      <c r="B358" s="1" t="s">
        <v>1622</v>
      </c>
      <c r="C358" s="2" t="str">
        <f t="shared" si="85"/>
        <v>DIO1</v>
      </c>
      <c r="D358" s="2">
        <v>130</v>
      </c>
      <c r="E358" s="3">
        <f t="shared" si="83"/>
        <v>2</v>
      </c>
      <c r="F358" s="3">
        <f t="shared" si="84"/>
        <v>5</v>
      </c>
      <c r="G358" s="3">
        <v>0</v>
      </c>
      <c r="H358" s="60">
        <f t="shared" si="88"/>
        <v>2</v>
      </c>
      <c r="I358" s="54">
        <f t="shared" si="87"/>
        <v>7</v>
      </c>
      <c r="J358" s="61"/>
      <c r="K358" s="30"/>
      <c r="L358" s="1" t="s">
        <v>21</v>
      </c>
      <c r="M358" s="2">
        <v>4</v>
      </c>
      <c r="N358" s="8" t="s">
        <v>1711</v>
      </c>
      <c r="O358" s="220" t="s">
        <v>655</v>
      </c>
      <c r="P358" s="220" t="s">
        <v>1611</v>
      </c>
      <c r="Q358" s="1" t="s">
        <v>1710</v>
      </c>
      <c r="R358" s="1" t="s">
        <v>18</v>
      </c>
      <c r="T358" s="1" t="s">
        <v>1610</v>
      </c>
      <c r="V358" s="1" t="str">
        <f t="shared" si="82"/>
        <v>2.5\0.2:7</v>
      </c>
      <c r="W358" s="1" t="s">
        <v>1609</v>
      </c>
      <c r="X358" s="18">
        <v>0</v>
      </c>
      <c r="Y358" s="7"/>
      <c r="Z358" s="206" t="s">
        <v>1062</v>
      </c>
      <c r="AA358" s="206"/>
      <c r="AC358" s="7"/>
      <c r="AD358" s="7"/>
      <c r="AE358" s="7"/>
      <c r="AG358" s="3" t="s">
        <v>732</v>
      </c>
      <c r="AH358" s="3">
        <v>15</v>
      </c>
      <c r="AI358" s="3">
        <v>16</v>
      </c>
      <c r="AJ358" s="200"/>
      <c r="AM358" s="3"/>
    </row>
    <row r="359" spans="1:39" x14ac:dyDescent="0.3">
      <c r="A359" s="5" t="str">
        <f t="shared" si="86"/>
        <v>BBD130</v>
      </c>
      <c r="B359" s="1" t="s">
        <v>1622</v>
      </c>
      <c r="C359" s="2" t="str">
        <f t="shared" si="85"/>
        <v>DIO1</v>
      </c>
      <c r="D359" s="2">
        <v>130</v>
      </c>
      <c r="E359" s="3">
        <f t="shared" si="83"/>
        <v>2</v>
      </c>
      <c r="F359" s="3">
        <f t="shared" si="84"/>
        <v>5</v>
      </c>
      <c r="G359" s="3">
        <v>0</v>
      </c>
      <c r="H359" s="60">
        <f t="shared" si="88"/>
        <v>2</v>
      </c>
      <c r="I359" s="54">
        <f t="shared" si="87"/>
        <v>8</v>
      </c>
      <c r="J359" s="61"/>
      <c r="K359" s="30"/>
      <c r="L359" s="1" t="s">
        <v>21</v>
      </c>
      <c r="M359" s="2">
        <v>4</v>
      </c>
      <c r="N359" s="8" t="s">
        <v>1709</v>
      </c>
      <c r="O359" s="1" t="s">
        <v>650</v>
      </c>
      <c r="P359" s="1" t="s">
        <v>1611</v>
      </c>
      <c r="Q359" s="1" t="s">
        <v>1708</v>
      </c>
      <c r="R359" s="1" t="s">
        <v>18</v>
      </c>
      <c r="T359" s="1" t="s">
        <v>1610</v>
      </c>
      <c r="V359" s="1" t="str">
        <f t="shared" si="82"/>
        <v>2.5\0.2:8</v>
      </c>
      <c r="W359" s="1" t="s">
        <v>1609</v>
      </c>
      <c r="X359" s="18">
        <v>0</v>
      </c>
      <c r="Y359" s="7"/>
      <c r="Z359" s="206" t="s">
        <v>1062</v>
      </c>
      <c r="AA359" s="206"/>
      <c r="AC359" s="7"/>
      <c r="AD359" s="7"/>
      <c r="AE359" s="7"/>
      <c r="AG359" s="3" t="s">
        <v>732</v>
      </c>
      <c r="AH359" s="3">
        <v>17</v>
      </c>
      <c r="AI359" s="3">
        <v>18</v>
      </c>
      <c r="AJ359" s="200"/>
      <c r="AM359" s="3"/>
    </row>
    <row r="360" spans="1:39" x14ac:dyDescent="0.3">
      <c r="A360" s="5" t="str">
        <f t="shared" si="86"/>
        <v>BBD130</v>
      </c>
      <c r="B360" s="1" t="s">
        <v>1622</v>
      </c>
      <c r="C360" s="2" t="str">
        <f t="shared" si="85"/>
        <v>DIO1</v>
      </c>
      <c r="D360" s="2">
        <v>130</v>
      </c>
      <c r="E360" s="3">
        <f t="shared" si="83"/>
        <v>2</v>
      </c>
      <c r="F360" s="3">
        <f t="shared" si="84"/>
        <v>5</v>
      </c>
      <c r="G360" s="3">
        <v>0</v>
      </c>
      <c r="H360" s="60">
        <f t="shared" si="88"/>
        <v>2</v>
      </c>
      <c r="I360" s="54">
        <f t="shared" si="87"/>
        <v>9</v>
      </c>
      <c r="J360" s="61"/>
      <c r="K360" s="30"/>
      <c r="L360" s="1" t="s">
        <v>21</v>
      </c>
      <c r="M360" s="253">
        <v>5</v>
      </c>
      <c r="N360" s="253" t="s">
        <v>1707</v>
      </c>
      <c r="O360" s="1" t="s">
        <v>736</v>
      </c>
      <c r="P360" s="1" t="s">
        <v>1611</v>
      </c>
      <c r="Q360" s="1" t="s">
        <v>1706</v>
      </c>
      <c r="R360" s="1" t="s">
        <v>18</v>
      </c>
      <c r="T360" s="246" t="s">
        <v>464</v>
      </c>
      <c r="V360" s="1" t="str">
        <f t="shared" si="82"/>
        <v>2.5\0.2:9</v>
      </c>
      <c r="W360" s="1" t="s">
        <v>1609</v>
      </c>
      <c r="X360" s="18">
        <v>0</v>
      </c>
      <c r="Y360" s="7"/>
      <c r="Z360" s="206" t="s">
        <v>1062</v>
      </c>
      <c r="AA360" s="206"/>
      <c r="AC360" s="7"/>
      <c r="AD360" s="7"/>
      <c r="AE360" s="7"/>
      <c r="AG360" s="3" t="s">
        <v>732</v>
      </c>
      <c r="AH360" s="3">
        <v>19</v>
      </c>
      <c r="AI360" s="3">
        <v>20</v>
      </c>
      <c r="AJ360" s="200"/>
      <c r="AM360" s="3"/>
    </row>
    <row r="361" spans="1:39" x14ac:dyDescent="0.3">
      <c r="A361" s="5" t="str">
        <f t="shared" si="86"/>
        <v>BBD130</v>
      </c>
      <c r="B361" s="1" t="s">
        <v>1622</v>
      </c>
      <c r="C361" s="2" t="str">
        <f t="shared" si="85"/>
        <v>DIO1</v>
      </c>
      <c r="D361" s="2">
        <v>130</v>
      </c>
      <c r="E361" s="3">
        <f t="shared" si="83"/>
        <v>2</v>
      </c>
      <c r="F361" s="3">
        <f t="shared" si="84"/>
        <v>5</v>
      </c>
      <c r="G361" s="3">
        <v>0</v>
      </c>
      <c r="H361" s="60">
        <f t="shared" si="88"/>
        <v>2</v>
      </c>
      <c r="I361" s="54">
        <f t="shared" si="87"/>
        <v>10</v>
      </c>
      <c r="J361" s="61"/>
      <c r="K361" s="30"/>
      <c r="L361" s="1" t="s">
        <v>21</v>
      </c>
      <c r="M361" s="2"/>
      <c r="N361" s="244"/>
      <c r="O361" s="220"/>
      <c r="P361" s="224"/>
      <c r="Q361" s="1" t="s">
        <v>302</v>
      </c>
      <c r="R361" s="1" t="s">
        <v>302</v>
      </c>
      <c r="V361" s="1" t="str">
        <f t="shared" si="82"/>
        <v>2.5\0.2:10</v>
      </c>
      <c r="Z361" s="206" t="s">
        <v>1062</v>
      </c>
      <c r="AC361" s="7"/>
      <c r="AD361" s="7"/>
      <c r="AE361" s="7"/>
      <c r="AG361" s="3" t="s">
        <v>732</v>
      </c>
      <c r="AH361" s="3">
        <v>21</v>
      </c>
      <c r="AI361" s="3">
        <v>22</v>
      </c>
      <c r="AJ361" s="200"/>
      <c r="AM361" s="3"/>
    </row>
    <row r="362" spans="1:39" x14ac:dyDescent="0.3">
      <c r="A362" s="5" t="str">
        <f t="shared" si="86"/>
        <v>BBD130</v>
      </c>
      <c r="B362" s="1" t="s">
        <v>1622</v>
      </c>
      <c r="C362" s="2" t="str">
        <f t="shared" si="85"/>
        <v>DIO1</v>
      </c>
      <c r="D362" s="2">
        <v>130</v>
      </c>
      <c r="E362" s="3">
        <f t="shared" si="83"/>
        <v>2</v>
      </c>
      <c r="F362" s="3">
        <f t="shared" si="84"/>
        <v>5</v>
      </c>
      <c r="G362" s="3">
        <v>0</v>
      </c>
      <c r="H362" s="60">
        <f t="shared" si="88"/>
        <v>2</v>
      </c>
      <c r="I362" s="54">
        <f t="shared" si="87"/>
        <v>11</v>
      </c>
      <c r="J362" s="61"/>
      <c r="K362" s="30"/>
      <c r="L362" s="1" t="s">
        <v>21</v>
      </c>
      <c r="M362" s="2"/>
      <c r="N362" s="244"/>
      <c r="O362" s="220"/>
      <c r="P362" s="224"/>
      <c r="Q362" s="1" t="s">
        <v>302</v>
      </c>
      <c r="R362" s="1" t="s">
        <v>302</v>
      </c>
      <c r="V362" s="1" t="str">
        <f t="shared" si="82"/>
        <v>2.5\0.2:11</v>
      </c>
      <c r="Z362" s="206" t="s">
        <v>1062</v>
      </c>
      <c r="AC362" s="7"/>
      <c r="AD362" s="7"/>
      <c r="AE362" s="7"/>
      <c r="AG362" s="3" t="s">
        <v>732</v>
      </c>
      <c r="AH362" s="3">
        <v>23</v>
      </c>
      <c r="AI362" s="3">
        <v>24</v>
      </c>
      <c r="AJ362" s="200"/>
      <c r="AM362" s="3"/>
    </row>
    <row r="363" spans="1:39" x14ac:dyDescent="0.3">
      <c r="A363" s="5" t="str">
        <f t="shared" si="86"/>
        <v>BBD130</v>
      </c>
      <c r="B363" s="1" t="s">
        <v>1622</v>
      </c>
      <c r="C363" s="2" t="str">
        <f t="shared" si="85"/>
        <v>DIO1</v>
      </c>
      <c r="D363" s="2">
        <v>130</v>
      </c>
      <c r="E363" s="3">
        <f t="shared" si="83"/>
        <v>2</v>
      </c>
      <c r="F363" s="3">
        <f t="shared" si="84"/>
        <v>5</v>
      </c>
      <c r="G363" s="3">
        <v>0</v>
      </c>
      <c r="H363" s="60">
        <f t="shared" si="88"/>
        <v>2</v>
      </c>
      <c r="I363" s="54">
        <f t="shared" si="87"/>
        <v>12</v>
      </c>
      <c r="J363" s="61"/>
      <c r="K363" s="30"/>
      <c r="L363" s="1" t="s">
        <v>21</v>
      </c>
      <c r="M363" s="2"/>
      <c r="N363" s="244"/>
      <c r="O363" s="12"/>
      <c r="P363" s="239"/>
      <c r="Q363" s="12" t="s">
        <v>302</v>
      </c>
      <c r="R363" s="12" t="s">
        <v>302</v>
      </c>
      <c r="V363" s="1" t="str">
        <f t="shared" si="82"/>
        <v>2.5\0.2:12</v>
      </c>
      <c r="Y363" s="7"/>
      <c r="Z363" s="206" t="s">
        <v>1062</v>
      </c>
      <c r="AA363" s="206"/>
      <c r="AC363" s="7"/>
      <c r="AD363" s="7"/>
      <c r="AE363" s="7"/>
      <c r="AG363" s="3" t="s">
        <v>732</v>
      </c>
      <c r="AH363" s="3">
        <v>25</v>
      </c>
      <c r="AI363" s="3">
        <v>26</v>
      </c>
      <c r="AJ363" s="200"/>
      <c r="AM363" s="3"/>
    </row>
    <row r="364" spans="1:39" x14ac:dyDescent="0.3">
      <c r="A364" s="5" t="str">
        <f t="shared" si="86"/>
        <v>BBD130</v>
      </c>
      <c r="B364" s="1" t="s">
        <v>1622</v>
      </c>
      <c r="C364" s="2" t="str">
        <f t="shared" si="85"/>
        <v>DIO1</v>
      </c>
      <c r="D364" s="2">
        <v>130</v>
      </c>
      <c r="E364" s="3">
        <f t="shared" si="83"/>
        <v>2</v>
      </c>
      <c r="F364" s="3">
        <f t="shared" si="84"/>
        <v>5</v>
      </c>
      <c r="G364" s="3">
        <v>0</v>
      </c>
      <c r="H364" s="60">
        <f t="shared" si="88"/>
        <v>2</v>
      </c>
      <c r="I364" s="54">
        <f t="shared" si="87"/>
        <v>13</v>
      </c>
      <c r="J364" s="61"/>
      <c r="K364" s="30"/>
      <c r="L364" s="1" t="s">
        <v>21</v>
      </c>
      <c r="M364" s="2"/>
      <c r="N364" s="244"/>
      <c r="P364" s="40"/>
      <c r="Q364" s="1" t="s">
        <v>302</v>
      </c>
      <c r="R364" s="1" t="s">
        <v>302</v>
      </c>
      <c r="V364" s="1" t="str">
        <f t="shared" si="82"/>
        <v>2.5\0.2:13</v>
      </c>
      <c r="Y364" s="7"/>
      <c r="Z364" s="206" t="s">
        <v>1062</v>
      </c>
      <c r="AA364" s="206"/>
      <c r="AC364" s="7"/>
      <c r="AD364" s="7"/>
      <c r="AE364" s="7"/>
      <c r="AG364" s="3" t="s">
        <v>732</v>
      </c>
      <c r="AH364" s="3">
        <v>27</v>
      </c>
      <c r="AI364" s="3">
        <v>28</v>
      </c>
      <c r="AJ364" s="200"/>
      <c r="AM364" s="3"/>
    </row>
    <row r="365" spans="1:39" x14ac:dyDescent="0.3">
      <c r="A365" s="5" t="str">
        <f t="shared" si="86"/>
        <v>BBD130</v>
      </c>
      <c r="B365" s="1" t="s">
        <v>1622</v>
      </c>
      <c r="C365" s="2" t="str">
        <f t="shared" si="85"/>
        <v>DIO1</v>
      </c>
      <c r="D365" s="2">
        <v>130</v>
      </c>
      <c r="E365" s="3">
        <f t="shared" si="83"/>
        <v>2</v>
      </c>
      <c r="F365" s="3">
        <f t="shared" si="84"/>
        <v>5</v>
      </c>
      <c r="G365" s="3">
        <v>0</v>
      </c>
      <c r="H365" s="60">
        <f t="shared" si="88"/>
        <v>2</v>
      </c>
      <c r="I365" s="54">
        <f t="shared" si="87"/>
        <v>14</v>
      </c>
      <c r="J365" s="61"/>
      <c r="K365" s="30"/>
      <c r="L365" s="1" t="s">
        <v>21</v>
      </c>
      <c r="M365" s="2"/>
      <c r="N365" s="244"/>
      <c r="P365" s="40"/>
      <c r="Q365" s="1" t="s">
        <v>302</v>
      </c>
      <c r="R365" s="1" t="s">
        <v>302</v>
      </c>
      <c r="V365" s="1" t="str">
        <f t="shared" si="82"/>
        <v>2.5\0.2:14</v>
      </c>
      <c r="Y365" s="7"/>
      <c r="Z365" s="206" t="s">
        <v>1062</v>
      </c>
      <c r="AA365" s="206"/>
      <c r="AC365" s="7"/>
      <c r="AD365" s="7"/>
      <c r="AE365" s="7"/>
      <c r="AG365" s="3" t="s">
        <v>732</v>
      </c>
      <c r="AH365" s="3">
        <v>29</v>
      </c>
      <c r="AI365" s="3">
        <v>30</v>
      </c>
      <c r="AJ365" s="200"/>
      <c r="AM365" s="3"/>
    </row>
    <row r="366" spans="1:39" x14ac:dyDescent="0.3">
      <c r="A366" s="5" t="str">
        <f t="shared" si="86"/>
        <v>BBD130</v>
      </c>
      <c r="B366" s="1" t="s">
        <v>1622</v>
      </c>
      <c r="C366" s="2" t="str">
        <f t="shared" si="85"/>
        <v>DIO1</v>
      </c>
      <c r="D366" s="2">
        <v>130</v>
      </c>
      <c r="E366" s="3">
        <f t="shared" si="83"/>
        <v>2</v>
      </c>
      <c r="F366" s="3">
        <f t="shared" si="84"/>
        <v>5</v>
      </c>
      <c r="G366" s="3">
        <v>0</v>
      </c>
      <c r="H366" s="60">
        <f t="shared" ref="H366:H382" si="89">H362</f>
        <v>2</v>
      </c>
      <c r="I366" s="54">
        <f t="shared" si="87"/>
        <v>15</v>
      </c>
      <c r="J366" s="61"/>
      <c r="K366" s="30"/>
      <c r="L366" s="1" t="s">
        <v>21</v>
      </c>
      <c r="M366" s="2"/>
      <c r="N366" s="244"/>
      <c r="P366" s="40"/>
      <c r="Q366" s="1" t="s">
        <v>302</v>
      </c>
      <c r="R366" s="1" t="s">
        <v>302</v>
      </c>
      <c r="V366" s="1" t="str">
        <f t="shared" si="82"/>
        <v>2.5\0.2:15</v>
      </c>
      <c r="Y366" s="7"/>
      <c r="Z366" s="206" t="s">
        <v>1062</v>
      </c>
      <c r="AA366" s="206"/>
      <c r="AC366" s="7"/>
      <c r="AD366" s="7"/>
      <c r="AE366" s="7"/>
      <c r="AG366" s="3" t="s">
        <v>732</v>
      </c>
      <c r="AH366" s="3">
        <v>31</v>
      </c>
      <c r="AI366" s="3">
        <v>32</v>
      </c>
      <c r="AJ366" s="200"/>
      <c r="AM366" s="3"/>
    </row>
    <row r="367" spans="1:39" x14ac:dyDescent="0.3">
      <c r="A367" s="5" t="str">
        <f t="shared" si="86"/>
        <v>BBD130</v>
      </c>
      <c r="B367" s="1" t="s">
        <v>1622</v>
      </c>
      <c r="C367" s="2" t="str">
        <f t="shared" si="85"/>
        <v>DIO1</v>
      </c>
      <c r="D367" s="2">
        <v>130</v>
      </c>
      <c r="E367" s="3">
        <f t="shared" si="83"/>
        <v>2</v>
      </c>
      <c r="F367" s="3">
        <f t="shared" si="84"/>
        <v>5</v>
      </c>
      <c r="G367" s="3">
        <v>0</v>
      </c>
      <c r="H367" s="60">
        <f t="shared" si="89"/>
        <v>2</v>
      </c>
      <c r="I367" s="54">
        <f t="shared" si="87"/>
        <v>16</v>
      </c>
      <c r="J367" s="61"/>
      <c r="K367" s="2"/>
      <c r="L367" s="1" t="s">
        <v>21</v>
      </c>
      <c r="M367" s="2"/>
      <c r="N367" s="244"/>
      <c r="P367" s="40"/>
      <c r="Q367" s="1" t="s">
        <v>302</v>
      </c>
      <c r="R367" s="1" t="s">
        <v>302</v>
      </c>
      <c r="S367" s="24"/>
      <c r="V367" s="1" t="str">
        <f t="shared" si="82"/>
        <v>2.5\0.2:16</v>
      </c>
      <c r="Y367" s="7"/>
      <c r="Z367" s="206" t="s">
        <v>1062</v>
      </c>
      <c r="AA367" s="206"/>
      <c r="AC367" s="7"/>
      <c r="AD367" s="7"/>
      <c r="AE367" s="7"/>
      <c r="AG367" s="3" t="s">
        <v>668</v>
      </c>
      <c r="AH367" s="3">
        <v>1</v>
      </c>
      <c r="AI367" s="3">
        <v>2</v>
      </c>
      <c r="AJ367" s="200"/>
      <c r="AM367" s="3"/>
    </row>
    <row r="368" spans="1:39" x14ac:dyDescent="0.3">
      <c r="A368" s="5" t="str">
        <f t="shared" si="86"/>
        <v>BBD130</v>
      </c>
      <c r="B368" s="1" t="s">
        <v>1622</v>
      </c>
      <c r="C368" s="2" t="str">
        <f t="shared" si="85"/>
        <v>DIO1</v>
      </c>
      <c r="D368" s="2">
        <v>130</v>
      </c>
      <c r="E368" s="3">
        <f t="shared" si="83"/>
        <v>2</v>
      </c>
      <c r="F368" s="3">
        <f t="shared" si="84"/>
        <v>5</v>
      </c>
      <c r="G368" s="3">
        <v>0</v>
      </c>
      <c r="H368" s="60">
        <f t="shared" si="89"/>
        <v>2</v>
      </c>
      <c r="I368" s="54">
        <f t="shared" si="87"/>
        <v>17</v>
      </c>
      <c r="J368" s="61"/>
      <c r="K368" s="30"/>
      <c r="L368" s="1" t="s">
        <v>21</v>
      </c>
      <c r="M368" s="2"/>
      <c r="N368" s="244"/>
      <c r="P368" s="40"/>
      <c r="Q368" s="41" t="s">
        <v>302</v>
      </c>
      <c r="R368" s="1" t="s">
        <v>302</v>
      </c>
      <c r="S368" s="24"/>
      <c r="V368" s="1" t="str">
        <f t="shared" si="82"/>
        <v>2.5\0.2:17</v>
      </c>
      <c r="Y368" s="7"/>
      <c r="Z368" s="206" t="s">
        <v>1062</v>
      </c>
      <c r="AA368" s="206"/>
      <c r="AC368" s="7"/>
      <c r="AD368" s="7"/>
      <c r="AE368" s="7"/>
      <c r="AG368" s="3" t="s">
        <v>668</v>
      </c>
      <c r="AH368" s="3">
        <v>3</v>
      </c>
      <c r="AI368" s="3">
        <v>4</v>
      </c>
      <c r="AJ368" s="200"/>
      <c r="AM368" s="3"/>
    </row>
    <row r="369" spans="1:39" x14ac:dyDescent="0.3">
      <c r="A369" s="5" t="str">
        <f t="shared" si="86"/>
        <v>BBD130</v>
      </c>
      <c r="B369" s="1" t="s">
        <v>1622</v>
      </c>
      <c r="C369" s="2" t="str">
        <f t="shared" si="85"/>
        <v>DIO1</v>
      </c>
      <c r="D369" s="2">
        <v>130</v>
      </c>
      <c r="E369" s="3">
        <f t="shared" si="83"/>
        <v>2</v>
      </c>
      <c r="F369" s="3">
        <f t="shared" si="84"/>
        <v>5</v>
      </c>
      <c r="G369" s="3">
        <v>0</v>
      </c>
      <c r="H369" s="60">
        <f t="shared" si="89"/>
        <v>2</v>
      </c>
      <c r="I369" s="54">
        <f t="shared" si="87"/>
        <v>18</v>
      </c>
      <c r="J369" s="61"/>
      <c r="K369" s="30"/>
      <c r="L369" s="1" t="s">
        <v>21</v>
      </c>
      <c r="M369" s="2"/>
      <c r="N369" s="244"/>
      <c r="P369" s="40"/>
      <c r="Q369" s="41" t="s">
        <v>302</v>
      </c>
      <c r="R369" s="1" t="s">
        <v>302</v>
      </c>
      <c r="V369" s="1" t="str">
        <f t="shared" si="82"/>
        <v>2.5\0.2:18</v>
      </c>
      <c r="Y369" s="7"/>
      <c r="Z369" s="206" t="s">
        <v>1062</v>
      </c>
      <c r="AA369" s="206"/>
      <c r="AC369" s="7"/>
      <c r="AD369" s="7"/>
      <c r="AE369" s="7"/>
      <c r="AG369" s="3" t="s">
        <v>668</v>
      </c>
      <c r="AH369" s="3">
        <v>5</v>
      </c>
      <c r="AI369" s="3">
        <v>6</v>
      </c>
      <c r="AJ369" s="200"/>
      <c r="AM369" s="3"/>
    </row>
    <row r="370" spans="1:39" x14ac:dyDescent="0.3">
      <c r="A370" s="5" t="str">
        <f t="shared" si="86"/>
        <v>BBD130</v>
      </c>
      <c r="B370" s="1" t="s">
        <v>1622</v>
      </c>
      <c r="C370" s="2" t="str">
        <f t="shared" si="85"/>
        <v>DIO1</v>
      </c>
      <c r="D370" s="2">
        <v>130</v>
      </c>
      <c r="E370" s="3">
        <f t="shared" si="83"/>
        <v>2</v>
      </c>
      <c r="F370" s="3">
        <f t="shared" si="84"/>
        <v>5</v>
      </c>
      <c r="G370" s="3">
        <v>0</v>
      </c>
      <c r="H370" s="60">
        <f t="shared" si="89"/>
        <v>2</v>
      </c>
      <c r="I370" s="54">
        <f t="shared" si="87"/>
        <v>19</v>
      </c>
      <c r="J370" s="61"/>
      <c r="K370" s="30"/>
      <c r="L370" s="1" t="s">
        <v>21</v>
      </c>
      <c r="M370" s="2"/>
      <c r="N370" s="244"/>
      <c r="O370" s="220"/>
      <c r="P370" s="224"/>
      <c r="Q370" s="221" t="s">
        <v>302</v>
      </c>
      <c r="R370" s="220" t="s">
        <v>302</v>
      </c>
      <c r="V370" s="1" t="str">
        <f t="shared" si="82"/>
        <v>2.5\0.2:19</v>
      </c>
      <c r="Y370" s="7"/>
      <c r="Z370" s="206" t="s">
        <v>1062</v>
      </c>
      <c r="AA370" s="206"/>
      <c r="AC370" s="7"/>
      <c r="AD370" s="7"/>
      <c r="AE370" s="7"/>
      <c r="AG370" s="3" t="s">
        <v>668</v>
      </c>
      <c r="AH370" s="3">
        <v>7</v>
      </c>
      <c r="AI370" s="3">
        <v>8</v>
      </c>
      <c r="AJ370" s="200"/>
      <c r="AM370" s="3"/>
    </row>
    <row r="371" spans="1:39" x14ac:dyDescent="0.3">
      <c r="A371" s="5" t="str">
        <f t="shared" si="86"/>
        <v>BBD130</v>
      </c>
      <c r="B371" s="1" t="s">
        <v>1622</v>
      </c>
      <c r="C371" s="2" t="str">
        <f t="shared" si="85"/>
        <v>DIO1</v>
      </c>
      <c r="D371" s="2">
        <v>130</v>
      </c>
      <c r="E371" s="3">
        <f t="shared" si="83"/>
        <v>2</v>
      </c>
      <c r="F371" s="3">
        <f t="shared" si="84"/>
        <v>5</v>
      </c>
      <c r="G371" s="3">
        <v>0</v>
      </c>
      <c r="H371" s="60">
        <f t="shared" si="89"/>
        <v>2</v>
      </c>
      <c r="I371" s="54">
        <f t="shared" si="87"/>
        <v>20</v>
      </c>
      <c r="J371" s="61"/>
      <c r="K371" s="30"/>
      <c r="L371" s="1" t="s">
        <v>21</v>
      </c>
      <c r="M371" s="2"/>
      <c r="N371" s="244"/>
      <c r="O371" s="2"/>
      <c r="P371" s="40"/>
      <c r="Q371" s="2" t="s">
        <v>302</v>
      </c>
      <c r="R371" s="2" t="s">
        <v>302</v>
      </c>
      <c r="V371" s="1" t="str">
        <f t="shared" si="82"/>
        <v>2.5\0.2:20</v>
      </c>
      <c r="Y371" s="7"/>
      <c r="Z371" s="206" t="s">
        <v>1062</v>
      </c>
      <c r="AA371" s="206"/>
      <c r="AC371" s="7"/>
      <c r="AD371" s="7"/>
      <c r="AE371" s="7"/>
      <c r="AG371" s="3" t="s">
        <v>668</v>
      </c>
      <c r="AH371" s="3">
        <v>9</v>
      </c>
      <c r="AI371" s="3">
        <v>10</v>
      </c>
      <c r="AJ371" s="200"/>
      <c r="AM371" s="3"/>
    </row>
    <row r="372" spans="1:39" x14ac:dyDescent="0.3">
      <c r="A372" s="5" t="str">
        <f t="shared" si="86"/>
        <v>BBD130</v>
      </c>
      <c r="B372" s="1" t="s">
        <v>1622</v>
      </c>
      <c r="C372" s="2" t="str">
        <f t="shared" si="85"/>
        <v>DIO1</v>
      </c>
      <c r="D372" s="2">
        <v>130</v>
      </c>
      <c r="E372" s="3">
        <f t="shared" si="83"/>
        <v>2</v>
      </c>
      <c r="F372" s="3">
        <f t="shared" si="84"/>
        <v>5</v>
      </c>
      <c r="G372" s="3">
        <v>0</v>
      </c>
      <c r="H372" s="60">
        <f t="shared" si="89"/>
        <v>2</v>
      </c>
      <c r="I372" s="54">
        <f t="shared" si="87"/>
        <v>21</v>
      </c>
      <c r="J372" s="61"/>
      <c r="K372" s="30"/>
      <c r="L372" s="1" t="s">
        <v>21</v>
      </c>
      <c r="M372" s="2">
        <v>4</v>
      </c>
      <c r="N372" s="8" t="s">
        <v>1619</v>
      </c>
      <c r="O372" s="1" t="s">
        <v>962</v>
      </c>
      <c r="P372" s="1" t="s">
        <v>1618</v>
      </c>
      <c r="Q372" s="2" t="s">
        <v>963</v>
      </c>
      <c r="R372" s="2" t="s">
        <v>46</v>
      </c>
      <c r="S372" s="13" t="s">
        <v>962</v>
      </c>
      <c r="T372" s="1" t="s">
        <v>1638</v>
      </c>
      <c r="V372" s="1" t="str">
        <f t="shared" si="82"/>
        <v>2.5\0.2:21</v>
      </c>
      <c r="W372" s="1" t="s">
        <v>465</v>
      </c>
      <c r="X372" s="18">
        <v>0</v>
      </c>
      <c r="Y372" s="7"/>
      <c r="Z372" s="206" t="s">
        <v>1062</v>
      </c>
      <c r="AA372" s="206"/>
      <c r="AC372" s="7"/>
      <c r="AD372" s="7"/>
      <c r="AE372" s="7"/>
      <c r="AG372" s="3" t="s">
        <v>668</v>
      </c>
      <c r="AH372" s="3">
        <v>11</v>
      </c>
      <c r="AI372" s="3">
        <v>12</v>
      </c>
      <c r="AJ372" s="200"/>
      <c r="AM372" s="3"/>
    </row>
    <row r="373" spans="1:39" x14ac:dyDescent="0.3">
      <c r="A373" s="5" t="str">
        <f t="shared" si="86"/>
        <v>BBD130</v>
      </c>
      <c r="B373" s="1" t="s">
        <v>1622</v>
      </c>
      <c r="C373" s="2" t="str">
        <f t="shared" si="85"/>
        <v>DIO1</v>
      </c>
      <c r="D373" s="2">
        <v>130</v>
      </c>
      <c r="E373" s="3">
        <f t="shared" si="83"/>
        <v>2</v>
      </c>
      <c r="F373" s="3">
        <f t="shared" si="84"/>
        <v>5</v>
      </c>
      <c r="G373" s="3">
        <v>0</v>
      </c>
      <c r="H373" s="60">
        <f t="shared" si="89"/>
        <v>2</v>
      </c>
      <c r="I373" s="54">
        <f t="shared" si="87"/>
        <v>22</v>
      </c>
      <c r="J373" s="61"/>
      <c r="K373" s="30"/>
      <c r="L373" s="1" t="s">
        <v>21</v>
      </c>
      <c r="M373" s="2">
        <v>4</v>
      </c>
      <c r="N373" s="8" t="s">
        <v>1619</v>
      </c>
      <c r="O373" s="1" t="s">
        <v>959</v>
      </c>
      <c r="P373" s="1" t="s">
        <v>1618</v>
      </c>
      <c r="Q373" s="2" t="s">
        <v>960</v>
      </c>
      <c r="R373" s="2" t="s">
        <v>46</v>
      </c>
      <c r="S373" s="13" t="s">
        <v>959</v>
      </c>
      <c r="T373" s="1" t="s">
        <v>1638</v>
      </c>
      <c r="V373" s="1" t="str">
        <f t="shared" si="82"/>
        <v>2.5\0.2:22</v>
      </c>
      <c r="W373" s="1" t="s">
        <v>465</v>
      </c>
      <c r="X373" s="18">
        <v>0</v>
      </c>
      <c r="Z373" s="206" t="s">
        <v>1062</v>
      </c>
      <c r="AG373" s="3" t="s">
        <v>668</v>
      </c>
      <c r="AH373" s="3">
        <v>13</v>
      </c>
      <c r="AI373" s="3">
        <v>14</v>
      </c>
      <c r="AJ373" s="200"/>
      <c r="AM373" s="3"/>
    </row>
    <row r="374" spans="1:39" x14ac:dyDescent="0.3">
      <c r="A374" s="5" t="str">
        <f t="shared" si="86"/>
        <v>BBD130</v>
      </c>
      <c r="B374" s="1" t="s">
        <v>1622</v>
      </c>
      <c r="C374" s="2" t="str">
        <f t="shared" si="85"/>
        <v>DIO1</v>
      </c>
      <c r="D374" s="2">
        <v>130</v>
      </c>
      <c r="E374" s="3">
        <f t="shared" si="83"/>
        <v>2</v>
      </c>
      <c r="F374" s="3">
        <f t="shared" si="84"/>
        <v>5</v>
      </c>
      <c r="G374" s="3">
        <v>0</v>
      </c>
      <c r="H374" s="60">
        <f t="shared" si="89"/>
        <v>2</v>
      </c>
      <c r="I374" s="54">
        <f t="shared" si="87"/>
        <v>23</v>
      </c>
      <c r="J374" s="61"/>
      <c r="K374" s="30"/>
      <c r="L374" s="1" t="s">
        <v>21</v>
      </c>
      <c r="M374" s="2"/>
      <c r="N374" s="8"/>
      <c r="Q374" s="2" t="s">
        <v>302</v>
      </c>
      <c r="R374" s="2" t="s">
        <v>302</v>
      </c>
      <c r="V374" s="1" t="str">
        <f t="shared" ref="V374:V405" si="90">+CONCATENATE(E374,".",F374,"\",G374,".",H374,":",I374)</f>
        <v>2.5\0.2:23</v>
      </c>
      <c r="Z374" s="206" t="s">
        <v>1062</v>
      </c>
      <c r="AG374" s="3" t="s">
        <v>668</v>
      </c>
      <c r="AH374" s="3">
        <v>15</v>
      </c>
      <c r="AI374" s="3">
        <v>16</v>
      </c>
      <c r="AJ374" s="200"/>
      <c r="AM374" s="3"/>
    </row>
    <row r="375" spans="1:39" x14ac:dyDescent="0.3">
      <c r="A375" s="5" t="str">
        <f t="shared" si="86"/>
        <v>BBD130</v>
      </c>
      <c r="B375" s="1" t="s">
        <v>1622</v>
      </c>
      <c r="C375" s="2" t="str">
        <f t="shared" si="85"/>
        <v>DIO1</v>
      </c>
      <c r="D375" s="2">
        <v>130</v>
      </c>
      <c r="E375" s="3">
        <f t="shared" si="83"/>
        <v>2</v>
      </c>
      <c r="F375" s="3">
        <f t="shared" si="84"/>
        <v>5</v>
      </c>
      <c r="G375" s="3">
        <v>0</v>
      </c>
      <c r="H375" s="60">
        <f t="shared" si="89"/>
        <v>2</v>
      </c>
      <c r="I375" s="54">
        <f t="shared" si="87"/>
        <v>24</v>
      </c>
      <c r="J375" s="61"/>
      <c r="K375" s="30"/>
      <c r="L375" s="1" t="s">
        <v>21</v>
      </c>
      <c r="M375" s="2">
        <v>4</v>
      </c>
      <c r="N375" s="8" t="s">
        <v>1705</v>
      </c>
      <c r="O375" s="1" t="s">
        <v>736</v>
      </c>
      <c r="P375" s="1" t="s">
        <v>1618</v>
      </c>
      <c r="Q375" s="2" t="s">
        <v>1704</v>
      </c>
      <c r="R375" s="2" t="s">
        <v>1695</v>
      </c>
      <c r="T375" s="1" t="s">
        <v>1638</v>
      </c>
      <c r="V375" s="1" t="str">
        <f t="shared" si="90"/>
        <v>2.5\0.2:24</v>
      </c>
      <c r="W375" s="1" t="s">
        <v>1609</v>
      </c>
      <c r="X375" s="18">
        <v>0</v>
      </c>
      <c r="Z375" s="206" t="s">
        <v>1062</v>
      </c>
      <c r="AG375" s="3" t="s">
        <v>668</v>
      </c>
      <c r="AH375" s="3">
        <v>17</v>
      </c>
      <c r="AI375" s="3">
        <v>18</v>
      </c>
      <c r="AJ375" s="200"/>
      <c r="AM375" s="3"/>
    </row>
    <row r="376" spans="1:39" x14ac:dyDescent="0.3">
      <c r="A376" s="5" t="str">
        <f t="shared" si="86"/>
        <v>BBD130</v>
      </c>
      <c r="B376" s="1" t="s">
        <v>1622</v>
      </c>
      <c r="C376" s="2" t="str">
        <f t="shared" si="85"/>
        <v>DIO1</v>
      </c>
      <c r="D376" s="2">
        <v>130</v>
      </c>
      <c r="E376" s="3">
        <f t="shared" si="83"/>
        <v>2</v>
      </c>
      <c r="F376" s="3">
        <f t="shared" si="84"/>
        <v>5</v>
      </c>
      <c r="G376" s="3">
        <v>0</v>
      </c>
      <c r="H376" s="60">
        <f t="shared" si="89"/>
        <v>2</v>
      </c>
      <c r="I376" s="54">
        <f t="shared" si="87"/>
        <v>25</v>
      </c>
      <c r="J376" s="61"/>
      <c r="K376" s="30"/>
      <c r="L376" s="1" t="s">
        <v>21</v>
      </c>
      <c r="M376" s="2">
        <v>4</v>
      </c>
      <c r="N376" s="8" t="s">
        <v>1703</v>
      </c>
      <c r="O376" s="1" t="s">
        <v>953</v>
      </c>
      <c r="P376" s="1" t="s">
        <v>1618</v>
      </c>
      <c r="Q376" s="1" t="s">
        <v>1702</v>
      </c>
      <c r="R376" s="1" t="s">
        <v>1695</v>
      </c>
      <c r="T376" s="1" t="s">
        <v>1638</v>
      </c>
      <c r="V376" s="1" t="str">
        <f t="shared" si="90"/>
        <v>2.5\0.2:25</v>
      </c>
      <c r="W376" s="1" t="s">
        <v>1609</v>
      </c>
      <c r="X376" s="18">
        <v>0</v>
      </c>
      <c r="Z376" s="206" t="s">
        <v>1062</v>
      </c>
      <c r="AG376" s="3" t="s">
        <v>668</v>
      </c>
      <c r="AH376" s="3">
        <v>19</v>
      </c>
      <c r="AI376" s="3">
        <v>20</v>
      </c>
      <c r="AJ376" s="200"/>
      <c r="AM376" s="3"/>
    </row>
    <row r="377" spans="1:39" x14ac:dyDescent="0.3">
      <c r="A377" s="5" t="str">
        <f t="shared" si="86"/>
        <v>BBD130</v>
      </c>
      <c r="B377" s="1" t="s">
        <v>1622</v>
      </c>
      <c r="C377" s="2" t="str">
        <f t="shared" si="85"/>
        <v>DIO1</v>
      </c>
      <c r="D377" s="2">
        <v>130</v>
      </c>
      <c r="E377" s="3">
        <f t="shared" si="83"/>
        <v>2</v>
      </c>
      <c r="F377" s="3">
        <f t="shared" si="84"/>
        <v>5</v>
      </c>
      <c r="G377" s="3">
        <v>0</v>
      </c>
      <c r="H377" s="60">
        <f t="shared" si="89"/>
        <v>2</v>
      </c>
      <c r="I377" s="54">
        <f t="shared" si="87"/>
        <v>26</v>
      </c>
      <c r="J377" s="61"/>
      <c r="K377" s="30"/>
      <c r="L377" s="1" t="s">
        <v>21</v>
      </c>
      <c r="M377" s="2">
        <v>4</v>
      </c>
      <c r="N377" s="8" t="s">
        <v>1701</v>
      </c>
      <c r="O377" s="1" t="s">
        <v>1192</v>
      </c>
      <c r="P377" s="1" t="s">
        <v>1618</v>
      </c>
      <c r="Q377" s="1" t="s">
        <v>1700</v>
      </c>
      <c r="R377" s="1" t="s">
        <v>1695</v>
      </c>
      <c r="T377" s="1" t="s">
        <v>1638</v>
      </c>
      <c r="V377" s="1" t="str">
        <f t="shared" si="90"/>
        <v>2.5\0.2:26</v>
      </c>
      <c r="W377" s="1" t="s">
        <v>1609</v>
      </c>
      <c r="X377" s="18">
        <v>0</v>
      </c>
      <c r="Z377" s="206" t="s">
        <v>1062</v>
      </c>
      <c r="AG377" s="3" t="s">
        <v>668</v>
      </c>
      <c r="AH377" s="3">
        <v>21</v>
      </c>
      <c r="AI377" s="3">
        <v>22</v>
      </c>
      <c r="AJ377" s="200"/>
      <c r="AM377" s="3"/>
    </row>
    <row r="378" spans="1:39" x14ac:dyDescent="0.3">
      <c r="A378" s="5" t="str">
        <f t="shared" si="86"/>
        <v>BBD130</v>
      </c>
      <c r="B378" s="1" t="s">
        <v>1622</v>
      </c>
      <c r="C378" s="2" t="str">
        <f t="shared" si="85"/>
        <v>DIO1</v>
      </c>
      <c r="D378" s="2">
        <v>130</v>
      </c>
      <c r="E378" s="3">
        <f t="shared" si="83"/>
        <v>2</v>
      </c>
      <c r="F378" s="3">
        <f t="shared" si="84"/>
        <v>5</v>
      </c>
      <c r="G378" s="3">
        <v>0</v>
      </c>
      <c r="H378" s="60">
        <f t="shared" si="89"/>
        <v>2</v>
      </c>
      <c r="I378" s="54">
        <f t="shared" si="87"/>
        <v>27</v>
      </c>
      <c r="J378" s="61"/>
      <c r="K378" s="30"/>
      <c r="L378" s="1" t="s">
        <v>21</v>
      </c>
      <c r="M378" s="2">
        <v>4</v>
      </c>
      <c r="N378" s="8" t="s">
        <v>1699</v>
      </c>
      <c r="O378" s="1" t="s">
        <v>1189</v>
      </c>
      <c r="P378" s="1" t="s">
        <v>1618</v>
      </c>
      <c r="Q378" s="1" t="s">
        <v>1698</v>
      </c>
      <c r="R378" s="1" t="s">
        <v>1695</v>
      </c>
      <c r="T378" s="1" t="s">
        <v>1638</v>
      </c>
      <c r="V378" s="1" t="str">
        <f t="shared" si="90"/>
        <v>2.5\0.2:27</v>
      </c>
      <c r="W378" s="1" t="s">
        <v>1609</v>
      </c>
      <c r="X378" s="18">
        <v>0</v>
      </c>
      <c r="Z378" s="206" t="s">
        <v>1062</v>
      </c>
      <c r="AG378" s="3" t="s">
        <v>668</v>
      </c>
      <c r="AH378" s="3">
        <v>23</v>
      </c>
      <c r="AI378" s="3">
        <v>24</v>
      </c>
      <c r="AJ378" s="200"/>
      <c r="AM378" s="3"/>
    </row>
    <row r="379" spans="1:39" x14ac:dyDescent="0.3">
      <c r="A379" s="5" t="str">
        <f t="shared" si="86"/>
        <v>BBD130</v>
      </c>
      <c r="B379" s="1" t="s">
        <v>1622</v>
      </c>
      <c r="C379" s="2" t="str">
        <f t="shared" si="85"/>
        <v>DIO1</v>
      </c>
      <c r="D379" s="2">
        <v>130</v>
      </c>
      <c r="E379" s="3">
        <f t="shared" si="83"/>
        <v>2</v>
      </c>
      <c r="F379" s="3">
        <f t="shared" si="84"/>
        <v>5</v>
      </c>
      <c r="G379" s="3">
        <v>0</v>
      </c>
      <c r="H379" s="60">
        <f t="shared" si="89"/>
        <v>2</v>
      </c>
      <c r="I379" s="54">
        <f t="shared" si="87"/>
        <v>28</v>
      </c>
      <c r="J379" s="61"/>
      <c r="K379" s="30"/>
      <c r="L379" s="1" t="s">
        <v>21</v>
      </c>
      <c r="M379" s="2">
        <v>4</v>
      </c>
      <c r="N379" s="8" t="s">
        <v>1697</v>
      </c>
      <c r="O379" s="1" t="s">
        <v>1304</v>
      </c>
      <c r="P379" s="1" t="s">
        <v>1618</v>
      </c>
      <c r="Q379" s="1" t="s">
        <v>1696</v>
      </c>
      <c r="R379" s="1" t="s">
        <v>1695</v>
      </c>
      <c r="T379" s="1" t="s">
        <v>1638</v>
      </c>
      <c r="V379" s="1" t="str">
        <f t="shared" si="90"/>
        <v>2.5\0.2:28</v>
      </c>
      <c r="W379" s="1" t="s">
        <v>1609</v>
      </c>
      <c r="X379" s="18">
        <v>0</v>
      </c>
      <c r="Z379" s="206" t="s">
        <v>1062</v>
      </c>
      <c r="AG379" s="3" t="s">
        <v>668</v>
      </c>
      <c r="AH379" s="3">
        <v>25</v>
      </c>
      <c r="AI379" s="3">
        <v>26</v>
      </c>
      <c r="AJ379" s="200"/>
      <c r="AM379" s="3"/>
    </row>
    <row r="380" spans="1:39" x14ac:dyDescent="0.3">
      <c r="A380" s="5" t="str">
        <f t="shared" si="86"/>
        <v>BBD130</v>
      </c>
      <c r="B380" s="1" t="s">
        <v>1622</v>
      </c>
      <c r="C380" s="2" t="str">
        <f t="shared" si="85"/>
        <v>DIO1</v>
      </c>
      <c r="D380" s="2">
        <v>130</v>
      </c>
      <c r="E380" s="3">
        <f t="shared" ref="E380:E411" si="91">+E379</f>
        <v>2</v>
      </c>
      <c r="F380" s="3">
        <f t="shared" ref="F380:F411" si="92">+F379</f>
        <v>5</v>
      </c>
      <c r="G380" s="3">
        <v>0</v>
      </c>
      <c r="H380" s="60">
        <f t="shared" si="89"/>
        <v>2</v>
      </c>
      <c r="I380" s="54">
        <f t="shared" si="87"/>
        <v>29</v>
      </c>
      <c r="J380" s="61"/>
      <c r="K380" s="30"/>
      <c r="L380" s="1" t="s">
        <v>21</v>
      </c>
      <c r="M380" s="2">
        <v>4</v>
      </c>
      <c r="N380" s="8" t="s">
        <v>1694</v>
      </c>
      <c r="O380" s="1" t="s">
        <v>994</v>
      </c>
      <c r="P380" s="1" t="s">
        <v>1618</v>
      </c>
      <c r="Q380" s="1" t="s">
        <v>1693</v>
      </c>
      <c r="R380" s="1" t="s">
        <v>1151</v>
      </c>
      <c r="T380" s="1" t="s">
        <v>1638</v>
      </c>
      <c r="V380" s="1" t="str">
        <f t="shared" si="90"/>
        <v>2.5\0.2:29</v>
      </c>
      <c r="W380" s="1" t="s">
        <v>1609</v>
      </c>
      <c r="X380" s="18">
        <v>0</v>
      </c>
      <c r="Z380" s="206" t="s">
        <v>1062</v>
      </c>
      <c r="AG380" s="3" t="s">
        <v>668</v>
      </c>
      <c r="AH380" s="3">
        <v>27</v>
      </c>
      <c r="AI380" s="3">
        <v>28</v>
      </c>
      <c r="AJ380" s="200"/>
      <c r="AM380" s="3"/>
    </row>
    <row r="381" spans="1:39" x14ac:dyDescent="0.3">
      <c r="A381" s="5" t="str">
        <f t="shared" si="86"/>
        <v>BBD130</v>
      </c>
      <c r="B381" s="1" t="s">
        <v>1622</v>
      </c>
      <c r="C381" s="2" t="str">
        <f t="shared" ref="C381:C412" si="93">+C380</f>
        <v>DIO1</v>
      </c>
      <c r="D381" s="2">
        <v>130</v>
      </c>
      <c r="E381" s="3">
        <f t="shared" si="91"/>
        <v>2</v>
      </c>
      <c r="F381" s="3">
        <f t="shared" si="92"/>
        <v>5</v>
      </c>
      <c r="G381" s="3">
        <v>0</v>
      </c>
      <c r="H381" s="60">
        <f t="shared" si="89"/>
        <v>2</v>
      </c>
      <c r="I381" s="54">
        <f t="shared" si="87"/>
        <v>30</v>
      </c>
      <c r="J381" s="61"/>
      <c r="K381" s="30"/>
      <c r="L381" s="1" t="s">
        <v>21</v>
      </c>
      <c r="M381" s="2">
        <v>4</v>
      </c>
      <c r="N381" s="8" t="s">
        <v>1692</v>
      </c>
      <c r="O381" s="1" t="s">
        <v>650</v>
      </c>
      <c r="P381" s="1" t="s">
        <v>1618</v>
      </c>
      <c r="Q381" s="1" t="s">
        <v>1691</v>
      </c>
      <c r="R381" s="1" t="s">
        <v>1687</v>
      </c>
      <c r="T381" s="1" t="s">
        <v>1638</v>
      </c>
      <c r="V381" s="1" t="str">
        <f t="shared" si="90"/>
        <v>2.5\0.2:30</v>
      </c>
      <c r="W381" s="1" t="s">
        <v>1609</v>
      </c>
      <c r="X381" s="18">
        <v>0</v>
      </c>
      <c r="Z381" s="206" t="s">
        <v>1062</v>
      </c>
      <c r="AG381" s="3" t="s">
        <v>668</v>
      </c>
      <c r="AH381" s="3">
        <v>29</v>
      </c>
      <c r="AI381" s="3">
        <v>30</v>
      </c>
      <c r="AJ381" s="200"/>
      <c r="AM381" s="3"/>
    </row>
    <row r="382" spans="1:39" ht="13.5" thickBot="1" x14ac:dyDescent="0.35">
      <c r="A382" s="5" t="str">
        <f t="shared" si="86"/>
        <v>BBD130</v>
      </c>
      <c r="B382" s="1" t="s">
        <v>1622</v>
      </c>
      <c r="C382" s="2" t="str">
        <f t="shared" si="93"/>
        <v>DIO1</v>
      </c>
      <c r="D382" s="2">
        <v>130</v>
      </c>
      <c r="E382" s="3">
        <f t="shared" si="91"/>
        <v>2</v>
      </c>
      <c r="F382" s="3">
        <f t="shared" si="92"/>
        <v>5</v>
      </c>
      <c r="G382" s="3">
        <v>0</v>
      </c>
      <c r="H382" s="60">
        <f t="shared" si="89"/>
        <v>2</v>
      </c>
      <c r="I382" s="59">
        <f t="shared" si="87"/>
        <v>31</v>
      </c>
      <c r="J382" s="58"/>
      <c r="K382" s="30"/>
      <c r="L382" s="1" t="s">
        <v>21</v>
      </c>
      <c r="M382" s="2">
        <v>4</v>
      </c>
      <c r="N382" s="8" t="s">
        <v>1690</v>
      </c>
      <c r="O382" s="1" t="s">
        <v>1689</v>
      </c>
      <c r="P382" s="1" t="s">
        <v>1618</v>
      </c>
      <c r="Q382" s="1" t="s">
        <v>1688</v>
      </c>
      <c r="R382" s="1" t="s">
        <v>1687</v>
      </c>
      <c r="T382" s="1" t="s">
        <v>1638</v>
      </c>
      <c r="V382" s="1" t="str">
        <f t="shared" si="90"/>
        <v>2.5\0.2:31</v>
      </c>
      <c r="W382" s="1" t="s">
        <v>1609</v>
      </c>
      <c r="X382" s="18">
        <v>0</v>
      </c>
      <c r="Z382" s="206" t="s">
        <v>1062</v>
      </c>
      <c r="AG382" s="3" t="s">
        <v>668</v>
      </c>
      <c r="AH382" s="3">
        <v>31</v>
      </c>
      <c r="AI382" s="3">
        <v>32</v>
      </c>
      <c r="AJ382" s="200"/>
      <c r="AM382" s="3"/>
    </row>
    <row r="383" spans="1:39" x14ac:dyDescent="0.3">
      <c r="A383" s="76" t="s">
        <v>1471</v>
      </c>
      <c r="B383" s="1" t="s">
        <v>1622</v>
      </c>
      <c r="C383" s="2" t="str">
        <f t="shared" si="93"/>
        <v>DIO1</v>
      </c>
      <c r="D383" s="2">
        <v>130</v>
      </c>
      <c r="E383" s="3">
        <f t="shared" si="91"/>
        <v>2</v>
      </c>
      <c r="F383" s="3">
        <f t="shared" si="92"/>
        <v>5</v>
      </c>
      <c r="G383" s="3">
        <v>0</v>
      </c>
      <c r="H383" s="62">
        <v>3</v>
      </c>
      <c r="I383" s="56">
        <v>0</v>
      </c>
      <c r="J383" s="79" t="s">
        <v>549</v>
      </c>
      <c r="K383" s="2" t="s">
        <v>548</v>
      </c>
      <c r="L383" s="30" t="s">
        <v>42</v>
      </c>
      <c r="M383" s="2">
        <v>4</v>
      </c>
      <c r="N383" s="8" t="s">
        <v>1686</v>
      </c>
      <c r="O383" s="1" t="s">
        <v>282</v>
      </c>
      <c r="P383" s="1" t="s">
        <v>1623</v>
      </c>
      <c r="Q383" s="1" t="s">
        <v>1497</v>
      </c>
      <c r="T383" s="1" t="s">
        <v>464</v>
      </c>
      <c r="V383" s="1" t="str">
        <f t="shared" si="90"/>
        <v>2.5\0.3:0</v>
      </c>
      <c r="W383" s="1" t="s">
        <v>1609</v>
      </c>
      <c r="X383" s="18">
        <v>0</v>
      </c>
      <c r="Z383" s="206" t="s">
        <v>1062</v>
      </c>
      <c r="AG383" s="3" t="s">
        <v>588</v>
      </c>
      <c r="AH383" s="3">
        <v>1</v>
      </c>
      <c r="AI383" s="3">
        <v>2</v>
      </c>
      <c r="AJ383" s="200"/>
      <c r="AM383" s="3"/>
    </row>
    <row r="384" spans="1:39" x14ac:dyDescent="0.3">
      <c r="A384" s="5" t="str">
        <f t="shared" ref="A384:A398" si="94">A383</f>
        <v>BBD130</v>
      </c>
      <c r="B384" s="1" t="s">
        <v>1622</v>
      </c>
      <c r="C384" s="2" t="str">
        <f t="shared" si="93"/>
        <v>DIO1</v>
      </c>
      <c r="D384" s="2">
        <v>130</v>
      </c>
      <c r="E384" s="3">
        <f t="shared" si="91"/>
        <v>2</v>
      </c>
      <c r="F384" s="3">
        <f t="shared" si="92"/>
        <v>5</v>
      </c>
      <c r="G384" s="3">
        <v>0</v>
      </c>
      <c r="H384" s="60">
        <f>H383</f>
        <v>3</v>
      </c>
      <c r="I384" s="54">
        <f t="shared" ref="I384:I398" si="95">+I383+1</f>
        <v>1</v>
      </c>
      <c r="J384" s="78"/>
      <c r="K384" s="30"/>
      <c r="L384" s="30" t="s">
        <v>42</v>
      </c>
      <c r="M384" s="2"/>
      <c r="N384" s="8"/>
      <c r="V384" s="1" t="str">
        <f t="shared" si="90"/>
        <v>2.5\0.3:1</v>
      </c>
      <c r="Z384" s="206" t="s">
        <v>1062</v>
      </c>
      <c r="AG384" s="3" t="s">
        <v>588</v>
      </c>
      <c r="AH384" s="3">
        <v>3</v>
      </c>
      <c r="AI384" s="3">
        <v>4</v>
      </c>
      <c r="AJ384" s="200"/>
      <c r="AM384" s="3"/>
    </row>
    <row r="385" spans="1:39" x14ac:dyDescent="0.3">
      <c r="A385" s="5" t="str">
        <f t="shared" si="94"/>
        <v>BBD130</v>
      </c>
      <c r="B385" s="1" t="s">
        <v>1622</v>
      </c>
      <c r="C385" s="2" t="str">
        <f t="shared" si="93"/>
        <v>DIO1</v>
      </c>
      <c r="D385" s="2">
        <v>130</v>
      </c>
      <c r="E385" s="3">
        <f t="shared" si="91"/>
        <v>2</v>
      </c>
      <c r="F385" s="3">
        <f t="shared" si="92"/>
        <v>5</v>
      </c>
      <c r="G385" s="3">
        <v>0</v>
      </c>
      <c r="H385" s="55">
        <f t="shared" ref="H385:H398" si="96">+H384</f>
        <v>3</v>
      </c>
      <c r="I385" s="54">
        <f t="shared" si="95"/>
        <v>2</v>
      </c>
      <c r="J385" s="78"/>
      <c r="K385" s="27"/>
      <c r="L385" s="30" t="s">
        <v>42</v>
      </c>
      <c r="M385" s="234"/>
      <c r="N385" s="66"/>
      <c r="O385" s="66"/>
      <c r="P385" s="66"/>
      <c r="T385" s="13"/>
      <c r="V385" s="1" t="str">
        <f t="shared" si="90"/>
        <v>2.5\0.3:2</v>
      </c>
      <c r="Z385" s="206" t="s">
        <v>1062</v>
      </c>
      <c r="AG385" s="3" t="s">
        <v>588</v>
      </c>
      <c r="AH385" s="3">
        <v>5</v>
      </c>
      <c r="AI385" s="3">
        <v>6</v>
      </c>
      <c r="AJ385" s="200"/>
      <c r="AM385" s="3"/>
    </row>
    <row r="386" spans="1:39" x14ac:dyDescent="0.3">
      <c r="A386" s="5" t="str">
        <f t="shared" si="94"/>
        <v>BBD130</v>
      </c>
      <c r="B386" s="1" t="s">
        <v>1622</v>
      </c>
      <c r="C386" s="2" t="str">
        <f t="shared" si="93"/>
        <v>DIO1</v>
      </c>
      <c r="D386" s="2">
        <v>130</v>
      </c>
      <c r="E386" s="3">
        <f t="shared" si="91"/>
        <v>2</v>
      </c>
      <c r="F386" s="3">
        <f t="shared" si="92"/>
        <v>5</v>
      </c>
      <c r="G386" s="3">
        <v>0</v>
      </c>
      <c r="H386" s="55">
        <f t="shared" si="96"/>
        <v>3</v>
      </c>
      <c r="I386" s="54">
        <f t="shared" si="95"/>
        <v>3</v>
      </c>
      <c r="J386" s="78"/>
      <c r="K386" s="27"/>
      <c r="L386" s="30" t="s">
        <v>42</v>
      </c>
      <c r="M386" s="2"/>
      <c r="N386" s="244"/>
      <c r="P386" s="40"/>
      <c r="Q386" s="1" t="s">
        <v>302</v>
      </c>
      <c r="V386" s="1" t="str">
        <f t="shared" si="90"/>
        <v>2.5\0.3:3</v>
      </c>
      <c r="Z386" s="206" t="s">
        <v>1062</v>
      </c>
      <c r="AG386" s="3" t="s">
        <v>588</v>
      </c>
      <c r="AH386" s="3">
        <v>7</v>
      </c>
      <c r="AI386" s="3">
        <v>8</v>
      </c>
      <c r="AJ386" s="200"/>
      <c r="AM386" s="3"/>
    </row>
    <row r="387" spans="1:39" x14ac:dyDescent="0.3">
      <c r="A387" s="5" t="str">
        <f t="shared" si="94"/>
        <v>BBD130</v>
      </c>
      <c r="B387" s="1" t="s">
        <v>1622</v>
      </c>
      <c r="C387" s="2" t="str">
        <f t="shared" si="93"/>
        <v>DIO1</v>
      </c>
      <c r="D387" s="2">
        <v>130</v>
      </c>
      <c r="E387" s="3">
        <f t="shared" si="91"/>
        <v>2</v>
      </c>
      <c r="F387" s="3">
        <f t="shared" si="92"/>
        <v>5</v>
      </c>
      <c r="G387" s="3">
        <v>0</v>
      </c>
      <c r="H387" s="55">
        <f t="shared" si="96"/>
        <v>3</v>
      </c>
      <c r="I387" s="54">
        <f t="shared" si="95"/>
        <v>4</v>
      </c>
      <c r="J387" s="78"/>
      <c r="K387" s="27"/>
      <c r="L387" s="30" t="s">
        <v>42</v>
      </c>
      <c r="M387" s="2">
        <v>4</v>
      </c>
      <c r="N387" s="253" t="s">
        <v>574</v>
      </c>
      <c r="O387" s="247" t="s">
        <v>1684</v>
      </c>
      <c r="P387" s="1" t="s">
        <v>1611</v>
      </c>
      <c r="Q387" s="1" t="s">
        <v>1685</v>
      </c>
      <c r="S387" s="13" t="s">
        <v>1684</v>
      </c>
      <c r="T387" s="1" t="s">
        <v>1610</v>
      </c>
      <c r="V387" s="1" t="str">
        <f t="shared" si="90"/>
        <v>2.5\0.3:4</v>
      </c>
      <c r="W387" s="1" t="s">
        <v>1609</v>
      </c>
      <c r="X387" s="18">
        <v>0</v>
      </c>
      <c r="Z387" s="206" t="s">
        <v>1062</v>
      </c>
      <c r="AG387" s="3" t="s">
        <v>588</v>
      </c>
      <c r="AH387" s="3">
        <v>9</v>
      </c>
      <c r="AI387" s="3">
        <v>10</v>
      </c>
      <c r="AJ387" s="200"/>
      <c r="AM387" s="3"/>
    </row>
    <row r="388" spans="1:39" x14ac:dyDescent="0.3">
      <c r="A388" s="5" t="str">
        <f t="shared" si="94"/>
        <v>BBD130</v>
      </c>
      <c r="B388" s="1" t="s">
        <v>1622</v>
      </c>
      <c r="C388" s="2" t="str">
        <f t="shared" si="93"/>
        <v>DIO1</v>
      </c>
      <c r="D388" s="2">
        <v>130</v>
      </c>
      <c r="E388" s="3">
        <f t="shared" si="91"/>
        <v>2</v>
      </c>
      <c r="F388" s="3">
        <f t="shared" si="92"/>
        <v>5</v>
      </c>
      <c r="G388" s="3">
        <v>0</v>
      </c>
      <c r="H388" s="55">
        <f t="shared" si="96"/>
        <v>3</v>
      </c>
      <c r="I388" s="54">
        <f t="shared" si="95"/>
        <v>5</v>
      </c>
      <c r="J388" s="78"/>
      <c r="K388" s="27"/>
      <c r="L388" s="30" t="s">
        <v>42</v>
      </c>
      <c r="M388" s="2">
        <v>4</v>
      </c>
      <c r="N388" s="253" t="s">
        <v>574</v>
      </c>
      <c r="O388" s="247" t="s">
        <v>1682</v>
      </c>
      <c r="P388" s="1" t="s">
        <v>1611</v>
      </c>
      <c r="Q388" s="1" t="s">
        <v>1683</v>
      </c>
      <c r="S388" s="13" t="s">
        <v>1682</v>
      </c>
      <c r="T388" s="1" t="s">
        <v>1610</v>
      </c>
      <c r="V388" s="1" t="str">
        <f t="shared" si="90"/>
        <v>2.5\0.3:5</v>
      </c>
      <c r="W388" s="1" t="s">
        <v>1609</v>
      </c>
      <c r="X388" s="18">
        <v>0</v>
      </c>
      <c r="Z388" s="206" t="s">
        <v>1062</v>
      </c>
      <c r="AG388" s="3" t="s">
        <v>588</v>
      </c>
      <c r="AH388" s="3">
        <v>11</v>
      </c>
      <c r="AI388" s="3">
        <v>12</v>
      </c>
      <c r="AJ388" s="200"/>
      <c r="AM388" s="3"/>
    </row>
    <row r="389" spans="1:39" x14ac:dyDescent="0.3">
      <c r="A389" s="5" t="str">
        <f t="shared" si="94"/>
        <v>BBD130</v>
      </c>
      <c r="B389" s="1" t="s">
        <v>1622</v>
      </c>
      <c r="C389" s="2" t="str">
        <f t="shared" si="93"/>
        <v>DIO1</v>
      </c>
      <c r="D389" s="2">
        <v>130</v>
      </c>
      <c r="E389" s="3">
        <f t="shared" si="91"/>
        <v>2</v>
      </c>
      <c r="F389" s="3">
        <f t="shared" si="92"/>
        <v>5</v>
      </c>
      <c r="G389" s="3">
        <v>0</v>
      </c>
      <c r="H389" s="55">
        <f t="shared" si="96"/>
        <v>3</v>
      </c>
      <c r="I389" s="54">
        <f t="shared" si="95"/>
        <v>6</v>
      </c>
      <c r="J389" s="78"/>
      <c r="K389" s="27"/>
      <c r="L389" s="30" t="s">
        <v>42</v>
      </c>
      <c r="M389" s="2">
        <v>4</v>
      </c>
      <c r="N389" s="253" t="s">
        <v>574</v>
      </c>
      <c r="O389" s="247" t="s">
        <v>1680</v>
      </c>
      <c r="P389" s="1" t="s">
        <v>1611</v>
      </c>
      <c r="Q389" s="253" t="s">
        <v>1681</v>
      </c>
      <c r="S389" s="13" t="s">
        <v>1680</v>
      </c>
      <c r="T389" s="1" t="s">
        <v>1610</v>
      </c>
      <c r="V389" s="1" t="str">
        <f t="shared" si="90"/>
        <v>2.5\0.3:6</v>
      </c>
      <c r="W389" s="1" t="s">
        <v>1609</v>
      </c>
      <c r="X389" s="18">
        <v>0</v>
      </c>
      <c r="Z389" s="206" t="s">
        <v>1062</v>
      </c>
      <c r="AG389" s="3" t="s">
        <v>588</v>
      </c>
      <c r="AH389" s="3">
        <v>13</v>
      </c>
      <c r="AI389" s="3">
        <v>14</v>
      </c>
      <c r="AJ389" s="200"/>
      <c r="AM389" s="3"/>
    </row>
    <row r="390" spans="1:39" x14ac:dyDescent="0.3">
      <c r="A390" s="5" t="str">
        <f t="shared" si="94"/>
        <v>BBD130</v>
      </c>
      <c r="B390" s="1" t="s">
        <v>1622</v>
      </c>
      <c r="C390" s="2" t="str">
        <f t="shared" si="93"/>
        <v>DIO1</v>
      </c>
      <c r="D390" s="2">
        <v>130</v>
      </c>
      <c r="E390" s="3">
        <f t="shared" si="91"/>
        <v>2</v>
      </c>
      <c r="F390" s="3">
        <f t="shared" si="92"/>
        <v>5</v>
      </c>
      <c r="G390" s="3">
        <v>0</v>
      </c>
      <c r="H390" s="55">
        <f t="shared" si="96"/>
        <v>3</v>
      </c>
      <c r="I390" s="54">
        <f t="shared" si="95"/>
        <v>7</v>
      </c>
      <c r="J390" s="78"/>
      <c r="K390" s="27"/>
      <c r="L390" s="30" t="s">
        <v>42</v>
      </c>
      <c r="M390" s="2">
        <v>4</v>
      </c>
      <c r="N390" s="253" t="s">
        <v>574</v>
      </c>
      <c r="O390" s="247" t="s">
        <v>1678</v>
      </c>
      <c r="P390" s="1" t="s">
        <v>1611</v>
      </c>
      <c r="Q390" s="1" t="s">
        <v>1679</v>
      </c>
      <c r="S390" s="13" t="s">
        <v>1678</v>
      </c>
      <c r="T390" s="1" t="s">
        <v>1610</v>
      </c>
      <c r="V390" s="1" t="str">
        <f t="shared" si="90"/>
        <v>2.5\0.3:7</v>
      </c>
      <c r="W390" s="1" t="s">
        <v>1609</v>
      </c>
      <c r="X390" s="18">
        <v>0</v>
      </c>
      <c r="Z390" s="206" t="s">
        <v>1062</v>
      </c>
      <c r="AG390" s="3" t="s">
        <v>588</v>
      </c>
      <c r="AH390" s="3">
        <v>15</v>
      </c>
      <c r="AI390" s="3">
        <v>16</v>
      </c>
      <c r="AJ390" s="200"/>
      <c r="AM390" s="3"/>
    </row>
    <row r="391" spans="1:39" x14ac:dyDescent="0.3">
      <c r="A391" s="5" t="str">
        <f t="shared" si="94"/>
        <v>BBD130</v>
      </c>
      <c r="B391" s="1" t="s">
        <v>1622</v>
      </c>
      <c r="C391" s="2" t="str">
        <f t="shared" si="93"/>
        <v>DIO1</v>
      </c>
      <c r="D391" s="2">
        <v>130</v>
      </c>
      <c r="E391" s="3">
        <f t="shared" si="91"/>
        <v>2</v>
      </c>
      <c r="F391" s="3">
        <f t="shared" si="92"/>
        <v>5</v>
      </c>
      <c r="G391" s="3">
        <v>0</v>
      </c>
      <c r="H391" s="55">
        <f t="shared" si="96"/>
        <v>3</v>
      </c>
      <c r="I391" s="54">
        <f t="shared" si="95"/>
        <v>8</v>
      </c>
      <c r="J391" s="78"/>
      <c r="K391" s="27"/>
      <c r="L391" s="30" t="s">
        <v>42</v>
      </c>
      <c r="N391" s="8"/>
      <c r="Q391" s="1" t="s">
        <v>302</v>
      </c>
      <c r="S391" s="13"/>
      <c r="V391" s="1" t="str">
        <f t="shared" si="90"/>
        <v>2.5\0.3:8</v>
      </c>
      <c r="Z391" s="206" t="s">
        <v>1062</v>
      </c>
      <c r="AG391" s="3" t="s">
        <v>588</v>
      </c>
      <c r="AH391" s="3">
        <v>17</v>
      </c>
      <c r="AI391" s="3">
        <v>18</v>
      </c>
      <c r="AJ391" s="200"/>
      <c r="AM391" s="3"/>
    </row>
    <row r="392" spans="1:39" x14ac:dyDescent="0.3">
      <c r="A392" s="5" t="str">
        <f t="shared" si="94"/>
        <v>BBD130</v>
      </c>
      <c r="B392" s="1" t="s">
        <v>1622</v>
      </c>
      <c r="C392" s="2" t="str">
        <f t="shared" si="93"/>
        <v>DIO1</v>
      </c>
      <c r="D392" s="2">
        <v>130</v>
      </c>
      <c r="E392" s="3">
        <f t="shared" si="91"/>
        <v>2</v>
      </c>
      <c r="F392" s="3">
        <f t="shared" si="92"/>
        <v>5</v>
      </c>
      <c r="G392" s="3">
        <v>0</v>
      </c>
      <c r="H392" s="55">
        <f t="shared" si="96"/>
        <v>3</v>
      </c>
      <c r="I392" s="54">
        <f t="shared" si="95"/>
        <v>9</v>
      </c>
      <c r="J392" s="78"/>
      <c r="K392" s="27"/>
      <c r="L392" s="30" t="s">
        <v>42</v>
      </c>
      <c r="M392" s="2"/>
      <c r="N392" s="8"/>
      <c r="Q392" s="1" t="s">
        <v>302</v>
      </c>
      <c r="S392" s="13"/>
      <c r="V392" s="1" t="str">
        <f t="shared" si="90"/>
        <v>2.5\0.3:9</v>
      </c>
      <c r="Z392" s="206" t="s">
        <v>1062</v>
      </c>
      <c r="AG392" s="3" t="s">
        <v>588</v>
      </c>
      <c r="AH392" s="3">
        <v>19</v>
      </c>
      <c r="AI392" s="3">
        <v>20</v>
      </c>
      <c r="AJ392" s="200"/>
      <c r="AM392" s="3"/>
    </row>
    <row r="393" spans="1:39" x14ac:dyDescent="0.3">
      <c r="A393" s="5" t="str">
        <f t="shared" si="94"/>
        <v>BBD130</v>
      </c>
      <c r="B393" s="1" t="s">
        <v>1622</v>
      </c>
      <c r="C393" s="2" t="str">
        <f t="shared" si="93"/>
        <v>DIO1</v>
      </c>
      <c r="D393" s="2">
        <v>130</v>
      </c>
      <c r="E393" s="3">
        <f t="shared" si="91"/>
        <v>2</v>
      </c>
      <c r="F393" s="3">
        <f t="shared" si="92"/>
        <v>5</v>
      </c>
      <c r="G393" s="3">
        <v>0</v>
      </c>
      <c r="H393" s="55">
        <f t="shared" si="96"/>
        <v>3</v>
      </c>
      <c r="I393" s="54">
        <f t="shared" si="95"/>
        <v>10</v>
      </c>
      <c r="J393" s="78"/>
      <c r="K393" s="27"/>
      <c r="L393" s="30" t="s">
        <v>42</v>
      </c>
      <c r="M393" s="2"/>
      <c r="N393" s="8"/>
      <c r="Q393" s="232" t="s">
        <v>302</v>
      </c>
      <c r="S393" s="13"/>
      <c r="V393" s="1" t="str">
        <f t="shared" si="90"/>
        <v>2.5\0.3:10</v>
      </c>
      <c r="Z393" s="206" t="s">
        <v>1062</v>
      </c>
      <c r="AG393" s="3" t="s">
        <v>588</v>
      </c>
      <c r="AH393" s="3">
        <v>21</v>
      </c>
      <c r="AI393" s="3">
        <v>22</v>
      </c>
      <c r="AJ393" s="200"/>
      <c r="AM393" s="3"/>
    </row>
    <row r="394" spans="1:39" x14ac:dyDescent="0.3">
      <c r="A394" s="5" t="str">
        <f t="shared" si="94"/>
        <v>BBD130</v>
      </c>
      <c r="B394" s="1" t="s">
        <v>1622</v>
      </c>
      <c r="C394" s="2" t="str">
        <f t="shared" si="93"/>
        <v>DIO1</v>
      </c>
      <c r="D394" s="2">
        <v>130</v>
      </c>
      <c r="E394" s="3">
        <f t="shared" si="91"/>
        <v>2</v>
      </c>
      <c r="F394" s="3">
        <f t="shared" si="92"/>
        <v>5</v>
      </c>
      <c r="G394" s="3">
        <v>0</v>
      </c>
      <c r="H394" s="55">
        <f t="shared" si="96"/>
        <v>3</v>
      </c>
      <c r="I394" s="54">
        <f t="shared" si="95"/>
        <v>11</v>
      </c>
      <c r="J394" s="78"/>
      <c r="K394" s="27"/>
      <c r="L394" s="30" t="s">
        <v>42</v>
      </c>
      <c r="M394" s="2">
        <v>4</v>
      </c>
      <c r="N394" s="8" t="s">
        <v>1677</v>
      </c>
      <c r="O394" s="1" t="s">
        <v>1134</v>
      </c>
      <c r="P394" s="1" t="s">
        <v>1618</v>
      </c>
      <c r="Q394" s="1" t="s">
        <v>1676</v>
      </c>
      <c r="S394" s="13" t="s">
        <v>1675</v>
      </c>
      <c r="T394" s="1" t="s">
        <v>1638</v>
      </c>
      <c r="V394" s="1" t="str">
        <f t="shared" si="90"/>
        <v>2.5\0.3:11</v>
      </c>
      <c r="W394" s="1" t="s">
        <v>1609</v>
      </c>
      <c r="X394" s="18">
        <v>0</v>
      </c>
      <c r="Z394" s="206" t="s">
        <v>1062</v>
      </c>
      <c r="AG394" s="3" t="s">
        <v>588</v>
      </c>
      <c r="AH394" s="3">
        <v>23</v>
      </c>
      <c r="AI394" s="3">
        <v>24</v>
      </c>
      <c r="AJ394" s="200"/>
      <c r="AM394" s="3"/>
    </row>
    <row r="395" spans="1:39" x14ac:dyDescent="0.3">
      <c r="A395" s="5" t="str">
        <f t="shared" si="94"/>
        <v>BBD130</v>
      </c>
      <c r="B395" s="1" t="s">
        <v>1622</v>
      </c>
      <c r="C395" s="2" t="str">
        <f t="shared" si="93"/>
        <v>DIO1</v>
      </c>
      <c r="D395" s="2">
        <v>130</v>
      </c>
      <c r="E395" s="3">
        <f t="shared" si="91"/>
        <v>2</v>
      </c>
      <c r="F395" s="3">
        <f t="shared" si="92"/>
        <v>5</v>
      </c>
      <c r="G395" s="3">
        <v>0</v>
      </c>
      <c r="H395" s="55">
        <f t="shared" si="96"/>
        <v>3</v>
      </c>
      <c r="I395" s="54">
        <f t="shared" si="95"/>
        <v>12</v>
      </c>
      <c r="J395" s="78"/>
      <c r="K395" s="27"/>
      <c r="L395" s="30" t="s">
        <v>42</v>
      </c>
      <c r="M395" s="2">
        <v>4</v>
      </c>
      <c r="N395" s="8" t="s">
        <v>1674</v>
      </c>
      <c r="O395" s="1" t="s">
        <v>1126</v>
      </c>
      <c r="P395" s="1" t="s">
        <v>1618</v>
      </c>
      <c r="Q395" s="1" t="s">
        <v>1673</v>
      </c>
      <c r="S395" s="13" t="s">
        <v>1672</v>
      </c>
      <c r="T395" s="1" t="s">
        <v>1638</v>
      </c>
      <c r="V395" s="1" t="str">
        <f t="shared" si="90"/>
        <v>2.5\0.3:12</v>
      </c>
      <c r="W395" s="1" t="s">
        <v>1609</v>
      </c>
      <c r="X395" s="18">
        <v>0</v>
      </c>
      <c r="Z395" s="206" t="s">
        <v>1062</v>
      </c>
      <c r="AG395" s="3" t="s">
        <v>588</v>
      </c>
      <c r="AH395" s="3">
        <v>25</v>
      </c>
      <c r="AI395" s="3">
        <v>26</v>
      </c>
      <c r="AJ395" s="200"/>
      <c r="AM395" s="3"/>
    </row>
    <row r="396" spans="1:39" x14ac:dyDescent="0.3">
      <c r="A396" s="5" t="str">
        <f t="shared" si="94"/>
        <v>BBD130</v>
      </c>
      <c r="B396" s="1" t="s">
        <v>1622</v>
      </c>
      <c r="C396" s="2" t="str">
        <f t="shared" si="93"/>
        <v>DIO1</v>
      </c>
      <c r="D396" s="2">
        <v>130</v>
      </c>
      <c r="E396" s="3">
        <f t="shared" si="91"/>
        <v>2</v>
      </c>
      <c r="F396" s="3">
        <f t="shared" si="92"/>
        <v>5</v>
      </c>
      <c r="G396" s="3">
        <v>0</v>
      </c>
      <c r="H396" s="55">
        <f t="shared" si="96"/>
        <v>3</v>
      </c>
      <c r="I396" s="54">
        <f t="shared" si="95"/>
        <v>13</v>
      </c>
      <c r="J396" s="78"/>
      <c r="K396" s="27"/>
      <c r="L396" s="30" t="s">
        <v>42</v>
      </c>
      <c r="M396" s="2">
        <v>4</v>
      </c>
      <c r="N396" s="8" t="s">
        <v>1671</v>
      </c>
      <c r="O396" s="1" t="s">
        <v>1670</v>
      </c>
      <c r="P396" s="1" t="s">
        <v>1618</v>
      </c>
      <c r="Q396" s="1" t="s">
        <v>1669</v>
      </c>
      <c r="S396" s="13" t="s">
        <v>1668</v>
      </c>
      <c r="T396" s="1" t="s">
        <v>1638</v>
      </c>
      <c r="V396" s="1" t="str">
        <f t="shared" si="90"/>
        <v>2.5\0.3:13</v>
      </c>
      <c r="W396" s="1" t="s">
        <v>1609</v>
      </c>
      <c r="X396" s="18">
        <v>0</v>
      </c>
      <c r="Z396" s="206" t="s">
        <v>1062</v>
      </c>
      <c r="AG396" s="3" t="s">
        <v>588</v>
      </c>
      <c r="AH396" s="3">
        <v>27</v>
      </c>
      <c r="AI396" s="3">
        <v>28</v>
      </c>
      <c r="AJ396" s="200"/>
      <c r="AM396" s="3"/>
    </row>
    <row r="397" spans="1:39" x14ac:dyDescent="0.3">
      <c r="A397" s="5" t="str">
        <f t="shared" si="94"/>
        <v>BBD130</v>
      </c>
      <c r="B397" s="1" t="s">
        <v>1622</v>
      </c>
      <c r="C397" s="2" t="str">
        <f t="shared" si="93"/>
        <v>DIO1</v>
      </c>
      <c r="D397" s="2">
        <v>130</v>
      </c>
      <c r="E397" s="3">
        <f t="shared" si="91"/>
        <v>2</v>
      </c>
      <c r="F397" s="3">
        <f t="shared" si="92"/>
        <v>5</v>
      </c>
      <c r="G397" s="3">
        <v>0</v>
      </c>
      <c r="H397" s="55">
        <f t="shared" si="96"/>
        <v>3</v>
      </c>
      <c r="I397" s="54">
        <f t="shared" si="95"/>
        <v>14</v>
      </c>
      <c r="J397" s="78"/>
      <c r="K397" s="27"/>
      <c r="L397" s="30" t="s">
        <v>42</v>
      </c>
      <c r="M397" s="2">
        <v>4</v>
      </c>
      <c r="N397" s="8" t="s">
        <v>1667</v>
      </c>
      <c r="O397" s="1" t="s">
        <v>1491</v>
      </c>
      <c r="P397" s="1" t="s">
        <v>1618</v>
      </c>
      <c r="Q397" s="1" t="s">
        <v>1666</v>
      </c>
      <c r="S397" s="13"/>
      <c r="T397" s="1" t="s">
        <v>1638</v>
      </c>
      <c r="V397" s="1" t="str">
        <f t="shared" si="90"/>
        <v>2.5\0.3:14</v>
      </c>
      <c r="W397" s="1" t="s">
        <v>1609</v>
      </c>
      <c r="X397" s="18">
        <v>0</v>
      </c>
      <c r="Z397" s="206" t="s">
        <v>1062</v>
      </c>
      <c r="AG397" s="3" t="s">
        <v>588</v>
      </c>
      <c r="AH397" s="3">
        <v>29</v>
      </c>
      <c r="AI397" s="3">
        <v>30</v>
      </c>
      <c r="AJ397" s="200"/>
      <c r="AM397" s="3"/>
    </row>
    <row r="398" spans="1:39" ht="13.5" thickBot="1" x14ac:dyDescent="0.35">
      <c r="A398" s="5" t="str">
        <f t="shared" si="94"/>
        <v>BBD130</v>
      </c>
      <c r="B398" s="1" t="s">
        <v>1622</v>
      </c>
      <c r="C398" s="2" t="str">
        <f t="shared" si="93"/>
        <v>DIO1</v>
      </c>
      <c r="D398" s="2">
        <v>130</v>
      </c>
      <c r="E398" s="3">
        <f t="shared" si="91"/>
        <v>2</v>
      </c>
      <c r="F398" s="3">
        <f t="shared" si="92"/>
        <v>5</v>
      </c>
      <c r="G398" s="3">
        <v>0</v>
      </c>
      <c r="H398" s="55">
        <f t="shared" si="96"/>
        <v>3</v>
      </c>
      <c r="I398" s="59">
        <f t="shared" si="95"/>
        <v>15</v>
      </c>
      <c r="J398" s="77"/>
      <c r="K398" s="27"/>
      <c r="L398" s="30" t="s">
        <v>42</v>
      </c>
      <c r="M398" s="2">
        <v>4</v>
      </c>
      <c r="N398" s="8" t="s">
        <v>1665</v>
      </c>
      <c r="O398" s="1" t="s">
        <v>1488</v>
      </c>
      <c r="P398" s="1" t="s">
        <v>1618</v>
      </c>
      <c r="Q398" s="1" t="s">
        <v>1664</v>
      </c>
      <c r="S398" s="13"/>
      <c r="T398" s="1" t="s">
        <v>1638</v>
      </c>
      <c r="V398" s="1" t="str">
        <f t="shared" si="90"/>
        <v>2.5\0.3:15</v>
      </c>
      <c r="W398" s="1" t="s">
        <v>1609</v>
      </c>
      <c r="X398" s="18">
        <v>0</v>
      </c>
      <c r="Z398" s="206" t="s">
        <v>1062</v>
      </c>
      <c r="AG398" s="3" t="s">
        <v>588</v>
      </c>
      <c r="AH398" s="3">
        <v>31</v>
      </c>
      <c r="AI398" s="3">
        <v>32</v>
      </c>
      <c r="AJ398" s="200"/>
      <c r="AM398" s="3"/>
    </row>
    <row r="399" spans="1:39" x14ac:dyDescent="0.3">
      <c r="A399" s="76" t="s">
        <v>1471</v>
      </c>
      <c r="B399" s="1" t="s">
        <v>1622</v>
      </c>
      <c r="C399" s="2" t="str">
        <f t="shared" si="93"/>
        <v>DIO1</v>
      </c>
      <c r="D399" s="2">
        <v>130</v>
      </c>
      <c r="E399" s="3">
        <f t="shared" si="91"/>
        <v>2</v>
      </c>
      <c r="F399" s="3">
        <f t="shared" si="92"/>
        <v>5</v>
      </c>
      <c r="G399" s="3">
        <v>0</v>
      </c>
      <c r="H399" s="62">
        <v>4</v>
      </c>
      <c r="I399" s="56">
        <v>0</v>
      </c>
      <c r="J399" s="218" t="s">
        <v>879</v>
      </c>
      <c r="K399" s="1" t="s">
        <v>896</v>
      </c>
      <c r="L399" s="30" t="s">
        <v>880</v>
      </c>
      <c r="M399" s="2">
        <v>4</v>
      </c>
      <c r="N399" s="8" t="s">
        <v>1663</v>
      </c>
      <c r="O399" s="1" t="s">
        <v>1113</v>
      </c>
      <c r="P399" s="1" t="s">
        <v>1614</v>
      </c>
      <c r="Q399" s="2" t="s">
        <v>1662</v>
      </c>
      <c r="R399" s="2"/>
      <c r="S399" s="13" t="s">
        <v>869</v>
      </c>
      <c r="T399" s="1" t="s">
        <v>464</v>
      </c>
      <c r="U399" s="13" t="s">
        <v>868</v>
      </c>
      <c r="V399" s="1" t="str">
        <f t="shared" si="90"/>
        <v>2.5\0.4:0</v>
      </c>
      <c r="W399" s="1" t="s">
        <v>1625</v>
      </c>
      <c r="X399" s="18">
        <v>0</v>
      </c>
      <c r="Z399" s="206" t="s">
        <v>1062</v>
      </c>
      <c r="AB399" s="1">
        <v>0</v>
      </c>
      <c r="AC399" s="1">
        <v>100</v>
      </c>
      <c r="AD399" s="1">
        <v>0</v>
      </c>
      <c r="AE399" s="1">
        <v>100</v>
      </c>
      <c r="AF399" s="1" t="s">
        <v>865</v>
      </c>
      <c r="AG399" s="3" t="s">
        <v>588</v>
      </c>
      <c r="AH399" s="3">
        <v>33</v>
      </c>
      <c r="AI399" s="3">
        <v>34</v>
      </c>
      <c r="AJ399" s="200"/>
      <c r="AM399" s="3"/>
    </row>
    <row r="400" spans="1:39" x14ac:dyDescent="0.3">
      <c r="A400" s="5" t="str">
        <f t="shared" ref="A400:A406" si="97">A399</f>
        <v>BBD130</v>
      </c>
      <c r="B400" s="1" t="s">
        <v>1622</v>
      </c>
      <c r="C400" s="2" t="str">
        <f t="shared" si="93"/>
        <v>DIO1</v>
      </c>
      <c r="D400" s="2">
        <v>130</v>
      </c>
      <c r="E400" s="3">
        <f t="shared" si="91"/>
        <v>2</v>
      </c>
      <c r="F400" s="3">
        <f t="shared" si="92"/>
        <v>5</v>
      </c>
      <c r="G400" s="3">
        <v>0</v>
      </c>
      <c r="H400" s="55">
        <f t="shared" ref="H400:H406" si="98">+H399</f>
        <v>4</v>
      </c>
      <c r="I400" s="54">
        <f t="shared" ref="I400:I406" si="99">+I399+1</f>
        <v>1</v>
      </c>
      <c r="J400" s="217"/>
      <c r="K400" s="2"/>
      <c r="L400" s="30" t="s">
        <v>880</v>
      </c>
      <c r="M400" s="2">
        <v>4</v>
      </c>
      <c r="N400" s="8" t="s">
        <v>1661</v>
      </c>
      <c r="O400" s="1" t="s">
        <v>882</v>
      </c>
      <c r="P400" s="1" t="s">
        <v>1614</v>
      </c>
      <c r="Q400" s="1" t="s">
        <v>1660</v>
      </c>
      <c r="R400" s="2"/>
      <c r="S400" s="13" t="s">
        <v>1596</v>
      </c>
      <c r="T400" s="1" t="s">
        <v>464</v>
      </c>
      <c r="U400" s="13" t="s">
        <v>868</v>
      </c>
      <c r="V400" s="1" t="str">
        <f t="shared" si="90"/>
        <v>2.5\0.4:1</v>
      </c>
      <c r="W400" s="1" t="s">
        <v>1637</v>
      </c>
      <c r="X400" s="18">
        <v>0</v>
      </c>
      <c r="Z400" s="206" t="s">
        <v>1062</v>
      </c>
      <c r="AB400" s="1">
        <v>0</v>
      </c>
      <c r="AC400" s="1">
        <v>200</v>
      </c>
      <c r="AD400" s="1">
        <v>0</v>
      </c>
      <c r="AE400" s="1">
        <v>200</v>
      </c>
      <c r="AF400" s="1" t="s">
        <v>874</v>
      </c>
      <c r="AG400" s="3" t="s">
        <v>588</v>
      </c>
      <c r="AH400" s="3">
        <v>35</v>
      </c>
      <c r="AI400" s="3">
        <v>36</v>
      </c>
      <c r="AJ400" s="200"/>
      <c r="AM400" s="3"/>
    </row>
    <row r="401" spans="1:39" x14ac:dyDescent="0.3">
      <c r="A401" s="5" t="str">
        <f t="shared" si="97"/>
        <v>BBD130</v>
      </c>
      <c r="B401" s="1" t="s">
        <v>1622</v>
      </c>
      <c r="C401" s="2" t="str">
        <f t="shared" si="93"/>
        <v>DIO1</v>
      </c>
      <c r="D401" s="2">
        <v>130</v>
      </c>
      <c r="E401" s="3">
        <f t="shared" si="91"/>
        <v>2</v>
      </c>
      <c r="F401" s="3">
        <f t="shared" si="92"/>
        <v>5</v>
      </c>
      <c r="G401" s="3">
        <v>0</v>
      </c>
      <c r="H401" s="55">
        <f t="shared" si="98"/>
        <v>4</v>
      </c>
      <c r="I401" s="54">
        <f t="shared" si="99"/>
        <v>2</v>
      </c>
      <c r="J401" s="217"/>
      <c r="K401" s="2"/>
      <c r="L401" s="30" t="s">
        <v>880</v>
      </c>
      <c r="M401" s="6">
        <v>5</v>
      </c>
      <c r="N401" s="28" t="s">
        <v>1659</v>
      </c>
      <c r="O401" s="6" t="s">
        <v>1658</v>
      </c>
      <c r="P401" s="6" t="s">
        <v>1657</v>
      </c>
      <c r="Q401" s="6" t="s">
        <v>1107</v>
      </c>
      <c r="R401" s="6"/>
      <c r="S401" s="67" t="s">
        <v>888</v>
      </c>
      <c r="T401" s="6" t="s">
        <v>1471</v>
      </c>
      <c r="U401" s="67" t="s">
        <v>868</v>
      </c>
      <c r="V401" s="1" t="str">
        <f t="shared" si="90"/>
        <v>2.5\0.4:2</v>
      </c>
      <c r="W401" s="246" t="s">
        <v>1637</v>
      </c>
      <c r="X401" s="245">
        <v>1</v>
      </c>
      <c r="Z401" s="206" t="s">
        <v>1062</v>
      </c>
      <c r="AB401" s="13">
        <v>0</v>
      </c>
      <c r="AC401" s="13">
        <v>1600</v>
      </c>
      <c r="AD401" s="13">
        <v>0</v>
      </c>
      <c r="AE401" s="13">
        <v>1600</v>
      </c>
      <c r="AF401" s="13" t="s">
        <v>865</v>
      </c>
      <c r="AG401" s="3" t="s">
        <v>588</v>
      </c>
      <c r="AH401" s="3">
        <v>37</v>
      </c>
      <c r="AI401" s="3">
        <v>38</v>
      </c>
      <c r="AJ401" s="200"/>
      <c r="AM401" s="3"/>
    </row>
    <row r="402" spans="1:39" x14ac:dyDescent="0.3">
      <c r="A402" s="5" t="str">
        <f t="shared" si="97"/>
        <v>BBD130</v>
      </c>
      <c r="B402" s="1" t="s">
        <v>1622</v>
      </c>
      <c r="C402" s="2" t="str">
        <f t="shared" si="93"/>
        <v>DIO1</v>
      </c>
      <c r="D402" s="2">
        <v>130</v>
      </c>
      <c r="E402" s="3">
        <f t="shared" si="91"/>
        <v>2</v>
      </c>
      <c r="F402" s="3">
        <f t="shared" si="92"/>
        <v>5</v>
      </c>
      <c r="G402" s="3">
        <v>0</v>
      </c>
      <c r="H402" s="55">
        <f t="shared" si="98"/>
        <v>4</v>
      </c>
      <c r="I402" s="54">
        <f t="shared" si="99"/>
        <v>3</v>
      </c>
      <c r="J402" s="217"/>
      <c r="K402" s="2"/>
      <c r="L402" s="30" t="s">
        <v>880</v>
      </c>
      <c r="M402" s="246">
        <v>5</v>
      </c>
      <c r="N402" s="253" t="s">
        <v>1656</v>
      </c>
      <c r="O402" s="246" t="s">
        <v>1475</v>
      </c>
      <c r="P402" s="246" t="s">
        <v>1611</v>
      </c>
      <c r="Q402" s="246" t="s">
        <v>1655</v>
      </c>
      <c r="R402" s="246"/>
      <c r="S402" s="246" t="s">
        <v>780</v>
      </c>
      <c r="T402" s="246" t="s">
        <v>1610</v>
      </c>
      <c r="U402" s="246" t="s">
        <v>868</v>
      </c>
      <c r="V402" s="1" t="str">
        <f t="shared" si="90"/>
        <v>2.5\0.4:3</v>
      </c>
      <c r="W402" s="246" t="s">
        <v>1637</v>
      </c>
      <c r="X402" s="245">
        <v>1</v>
      </c>
      <c r="Z402" s="206" t="s">
        <v>1062</v>
      </c>
      <c r="AG402" s="3" t="s">
        <v>588</v>
      </c>
      <c r="AH402" s="3">
        <v>39</v>
      </c>
      <c r="AI402" s="3">
        <v>40</v>
      </c>
      <c r="AJ402" s="200"/>
      <c r="AM402" s="3"/>
    </row>
    <row r="403" spans="1:39" x14ac:dyDescent="0.3">
      <c r="A403" s="5" t="str">
        <f t="shared" si="97"/>
        <v>BBD130</v>
      </c>
      <c r="B403" s="1" t="s">
        <v>1622</v>
      </c>
      <c r="C403" s="2" t="str">
        <f t="shared" si="93"/>
        <v>DIO1</v>
      </c>
      <c r="D403" s="2">
        <v>130</v>
      </c>
      <c r="E403" s="3">
        <f t="shared" si="91"/>
        <v>2</v>
      </c>
      <c r="F403" s="3">
        <f t="shared" si="92"/>
        <v>5</v>
      </c>
      <c r="G403" s="3">
        <v>0</v>
      </c>
      <c r="H403" s="55">
        <f t="shared" si="98"/>
        <v>4</v>
      </c>
      <c r="I403" s="54">
        <f t="shared" si="99"/>
        <v>4</v>
      </c>
      <c r="J403" s="217"/>
      <c r="K403" s="2"/>
      <c r="L403" s="30" t="s">
        <v>880</v>
      </c>
      <c r="M403" s="2"/>
      <c r="N403" s="8"/>
      <c r="V403" s="1" t="str">
        <f t="shared" si="90"/>
        <v>2.5\0.4:4</v>
      </c>
      <c r="Z403" s="206" t="s">
        <v>1062</v>
      </c>
      <c r="AG403" s="3" t="s">
        <v>588</v>
      </c>
      <c r="AH403" s="3">
        <v>41</v>
      </c>
      <c r="AI403" s="3">
        <v>42</v>
      </c>
      <c r="AJ403" s="200"/>
      <c r="AM403" s="3"/>
    </row>
    <row r="404" spans="1:39" x14ac:dyDescent="0.3">
      <c r="A404" s="5" t="str">
        <f t="shared" si="97"/>
        <v>BBD130</v>
      </c>
      <c r="B404" s="1" t="s">
        <v>1622</v>
      </c>
      <c r="C404" s="2" t="str">
        <f t="shared" si="93"/>
        <v>DIO1</v>
      </c>
      <c r="D404" s="2">
        <v>130</v>
      </c>
      <c r="E404" s="3">
        <f t="shared" si="91"/>
        <v>2</v>
      </c>
      <c r="F404" s="3">
        <f t="shared" si="92"/>
        <v>5</v>
      </c>
      <c r="G404" s="3">
        <v>0</v>
      </c>
      <c r="H404" s="55">
        <f t="shared" si="98"/>
        <v>4</v>
      </c>
      <c r="I404" s="54">
        <f t="shared" si="99"/>
        <v>5</v>
      </c>
      <c r="J404" s="217"/>
      <c r="K404" s="2"/>
      <c r="L404" s="30" t="s">
        <v>880</v>
      </c>
      <c r="M404" s="2"/>
      <c r="N404" s="8"/>
      <c r="R404" s="2"/>
      <c r="V404" s="1" t="str">
        <f t="shared" si="90"/>
        <v>2.5\0.4:5</v>
      </c>
      <c r="Z404" s="206" t="s">
        <v>1062</v>
      </c>
      <c r="AG404" s="3" t="s">
        <v>588</v>
      </c>
      <c r="AH404" s="3">
        <v>43</v>
      </c>
      <c r="AI404" s="3">
        <v>44</v>
      </c>
      <c r="AJ404" s="200"/>
      <c r="AM404" s="3"/>
    </row>
    <row r="405" spans="1:39" x14ac:dyDescent="0.3">
      <c r="A405" s="5" t="str">
        <f t="shared" si="97"/>
        <v>BBD130</v>
      </c>
      <c r="B405" s="1" t="s">
        <v>1622</v>
      </c>
      <c r="C405" s="2" t="str">
        <f t="shared" si="93"/>
        <v>DIO1</v>
      </c>
      <c r="D405" s="2">
        <v>130</v>
      </c>
      <c r="E405" s="3">
        <f t="shared" si="91"/>
        <v>2</v>
      </c>
      <c r="F405" s="3">
        <f t="shared" si="92"/>
        <v>5</v>
      </c>
      <c r="G405" s="3">
        <v>0</v>
      </c>
      <c r="H405" s="55">
        <f t="shared" si="98"/>
        <v>4</v>
      </c>
      <c r="I405" s="54">
        <f t="shared" si="99"/>
        <v>6</v>
      </c>
      <c r="J405" s="217"/>
      <c r="K405" s="2"/>
      <c r="L405" s="30" t="s">
        <v>880</v>
      </c>
      <c r="M405" s="2"/>
      <c r="N405" s="8"/>
      <c r="R405" s="2"/>
      <c r="V405" s="1" t="str">
        <f t="shared" si="90"/>
        <v>2.5\0.4:6</v>
      </c>
      <c r="Z405" s="206" t="s">
        <v>1062</v>
      </c>
      <c r="AG405" s="3" t="s">
        <v>588</v>
      </c>
      <c r="AH405" s="3">
        <v>45</v>
      </c>
      <c r="AI405" s="3">
        <v>46</v>
      </c>
      <c r="AJ405" s="200"/>
      <c r="AM405" s="3"/>
    </row>
    <row r="406" spans="1:39" ht="13.5" thickBot="1" x14ac:dyDescent="0.35">
      <c r="A406" s="5" t="str">
        <f t="shared" si="97"/>
        <v>BBD130</v>
      </c>
      <c r="B406" s="1" t="s">
        <v>1622</v>
      </c>
      <c r="C406" s="2" t="str">
        <f t="shared" si="93"/>
        <v>DIO1</v>
      </c>
      <c r="D406" s="2">
        <v>130</v>
      </c>
      <c r="E406" s="3">
        <f t="shared" si="91"/>
        <v>2</v>
      </c>
      <c r="F406" s="3">
        <f t="shared" si="92"/>
        <v>5</v>
      </c>
      <c r="G406" s="3">
        <v>0</v>
      </c>
      <c r="H406" s="55">
        <f t="shared" si="98"/>
        <v>4</v>
      </c>
      <c r="I406" s="59">
        <f t="shared" si="99"/>
        <v>7</v>
      </c>
      <c r="J406" s="216"/>
      <c r="K406" s="2"/>
      <c r="L406" s="30" t="s">
        <v>880</v>
      </c>
      <c r="M406" s="2"/>
      <c r="N406" s="8"/>
      <c r="R406" s="2"/>
      <c r="V406" s="1" t="str">
        <f t="shared" ref="V406:V437" si="100">+CONCATENATE(E406,".",F406,"\",G406,".",H406,":",I406)</f>
        <v>2.5\0.4:7</v>
      </c>
      <c r="Z406" s="206" t="s">
        <v>1062</v>
      </c>
      <c r="AG406" s="3" t="s">
        <v>588</v>
      </c>
      <c r="AH406" s="3">
        <v>47</v>
      </c>
      <c r="AI406" s="3">
        <v>48</v>
      </c>
      <c r="AJ406" s="200"/>
      <c r="AM406" s="3"/>
    </row>
    <row r="407" spans="1:39" x14ac:dyDescent="0.3">
      <c r="A407" s="76" t="s">
        <v>1471</v>
      </c>
      <c r="B407" s="1" t="s">
        <v>1622</v>
      </c>
      <c r="C407" s="2" t="str">
        <f t="shared" si="93"/>
        <v>DIO1</v>
      </c>
      <c r="D407" s="2">
        <v>130</v>
      </c>
      <c r="E407" s="3">
        <f t="shared" si="91"/>
        <v>2</v>
      </c>
      <c r="F407" s="3">
        <f t="shared" si="92"/>
        <v>5</v>
      </c>
      <c r="G407" s="3">
        <v>0</v>
      </c>
      <c r="H407" s="62">
        <v>5</v>
      </c>
      <c r="I407" s="56">
        <v>0</v>
      </c>
      <c r="J407" s="218" t="s">
        <v>879</v>
      </c>
      <c r="K407" s="1" t="s">
        <v>896</v>
      </c>
      <c r="L407" s="30" t="s">
        <v>880</v>
      </c>
      <c r="M407" s="2">
        <v>4</v>
      </c>
      <c r="N407" s="8" t="s">
        <v>1654</v>
      </c>
      <c r="O407" s="1" t="s">
        <v>894</v>
      </c>
      <c r="P407" s="1" t="s">
        <v>1618</v>
      </c>
      <c r="Q407" s="2" t="s">
        <v>1653</v>
      </c>
      <c r="R407" s="2"/>
      <c r="S407" s="13" t="s">
        <v>1641</v>
      </c>
      <c r="T407" s="1" t="s">
        <v>1638</v>
      </c>
      <c r="U407" s="13" t="s">
        <v>868</v>
      </c>
      <c r="V407" s="1" t="str">
        <f t="shared" si="100"/>
        <v>2.5\0.5:0</v>
      </c>
      <c r="W407" s="1" t="s">
        <v>1637</v>
      </c>
      <c r="X407" s="18">
        <v>0</v>
      </c>
      <c r="Z407" s="206" t="s">
        <v>1062</v>
      </c>
      <c r="AB407" s="1">
        <v>0</v>
      </c>
      <c r="AC407" s="1">
        <v>5000</v>
      </c>
      <c r="AD407" s="1">
        <v>0</v>
      </c>
      <c r="AE407" s="1">
        <v>5000</v>
      </c>
      <c r="AF407" s="1" t="s">
        <v>874</v>
      </c>
      <c r="AG407" s="3" t="s">
        <v>668</v>
      </c>
      <c r="AH407" s="3">
        <v>33</v>
      </c>
      <c r="AI407" s="3">
        <v>34</v>
      </c>
      <c r="AJ407" s="200"/>
      <c r="AM407" s="3"/>
    </row>
    <row r="408" spans="1:39" x14ac:dyDescent="0.3">
      <c r="A408" s="5" t="str">
        <f t="shared" ref="A408:A414" si="101">A407</f>
        <v>BBD130</v>
      </c>
      <c r="B408" s="1" t="s">
        <v>1622</v>
      </c>
      <c r="C408" s="2" t="str">
        <f t="shared" si="93"/>
        <v>DIO1</v>
      </c>
      <c r="D408" s="2">
        <v>130</v>
      </c>
      <c r="E408" s="3">
        <f t="shared" si="91"/>
        <v>2</v>
      </c>
      <c r="F408" s="3">
        <f t="shared" si="92"/>
        <v>5</v>
      </c>
      <c r="G408" s="3">
        <v>0</v>
      </c>
      <c r="H408" s="55">
        <f t="shared" ref="H408:H414" si="102">+H407</f>
        <v>5</v>
      </c>
      <c r="I408" s="54">
        <f t="shared" ref="I408:I414" si="103">+I407+1</f>
        <v>1</v>
      </c>
      <c r="J408" s="217"/>
      <c r="K408" s="2"/>
      <c r="L408" s="30" t="s">
        <v>880</v>
      </c>
      <c r="M408" s="2">
        <v>4</v>
      </c>
      <c r="N408" s="8" t="s">
        <v>1652</v>
      </c>
      <c r="O408" s="1" t="s">
        <v>890</v>
      </c>
      <c r="P408" s="1" t="s">
        <v>1618</v>
      </c>
      <c r="Q408" s="1" t="s">
        <v>1651</v>
      </c>
      <c r="R408" s="2"/>
      <c r="S408" s="13" t="s">
        <v>1641</v>
      </c>
      <c r="T408" s="1" t="s">
        <v>1638</v>
      </c>
      <c r="U408" s="13" t="s">
        <v>868</v>
      </c>
      <c r="V408" s="1" t="str">
        <f t="shared" si="100"/>
        <v>2.5\0.5:1</v>
      </c>
      <c r="W408" s="1" t="s">
        <v>1637</v>
      </c>
      <c r="X408" s="18">
        <v>0</v>
      </c>
      <c r="Z408" s="206" t="s">
        <v>1062</v>
      </c>
      <c r="AB408" s="1">
        <v>0</v>
      </c>
      <c r="AC408" s="1">
        <v>5000</v>
      </c>
      <c r="AD408" s="1">
        <v>0</v>
      </c>
      <c r="AE408" s="1">
        <v>5000</v>
      </c>
      <c r="AF408" s="1" t="s">
        <v>874</v>
      </c>
      <c r="AG408" s="3" t="s">
        <v>668</v>
      </c>
      <c r="AH408" s="3">
        <v>35</v>
      </c>
      <c r="AI408" s="3">
        <v>36</v>
      </c>
      <c r="AJ408" s="200"/>
      <c r="AM408" s="3"/>
    </row>
    <row r="409" spans="1:39" x14ac:dyDescent="0.3">
      <c r="A409" s="5" t="str">
        <f t="shared" si="101"/>
        <v>BBD130</v>
      </c>
      <c r="B409" s="1" t="s">
        <v>1622</v>
      </c>
      <c r="C409" s="2" t="str">
        <f t="shared" si="93"/>
        <v>DIO1</v>
      </c>
      <c r="D409" s="2">
        <v>130</v>
      </c>
      <c r="E409" s="3">
        <f t="shared" si="91"/>
        <v>2</v>
      </c>
      <c r="F409" s="3">
        <f t="shared" si="92"/>
        <v>5</v>
      </c>
      <c r="G409" s="3">
        <v>0</v>
      </c>
      <c r="H409" s="55">
        <f t="shared" si="102"/>
        <v>5</v>
      </c>
      <c r="I409" s="54">
        <f t="shared" si="103"/>
        <v>2</v>
      </c>
      <c r="J409" s="217"/>
      <c r="K409" s="2"/>
      <c r="L409" s="30" t="s">
        <v>880</v>
      </c>
      <c r="M409" s="2">
        <v>4</v>
      </c>
      <c r="N409" s="8" t="s">
        <v>1650</v>
      </c>
      <c r="O409" s="1" t="s">
        <v>1649</v>
      </c>
      <c r="P409" s="1" t="s">
        <v>1618</v>
      </c>
      <c r="Q409" s="4" t="s">
        <v>1648</v>
      </c>
      <c r="R409" s="4"/>
      <c r="S409" s="13" t="s">
        <v>1641</v>
      </c>
      <c r="T409" s="1" t="s">
        <v>1638</v>
      </c>
      <c r="U409" s="13" t="s">
        <v>868</v>
      </c>
      <c r="V409" s="1" t="str">
        <f t="shared" si="100"/>
        <v>2.5\0.5:2</v>
      </c>
      <c r="W409" s="1" t="s">
        <v>1637</v>
      </c>
      <c r="X409" s="18">
        <v>0</v>
      </c>
      <c r="Z409" s="206" t="s">
        <v>1062</v>
      </c>
      <c r="AB409" s="1">
        <v>0</v>
      </c>
      <c r="AC409" s="1">
        <v>500</v>
      </c>
      <c r="AD409" s="1">
        <v>0</v>
      </c>
      <c r="AE409" s="1">
        <v>500</v>
      </c>
      <c r="AF409" s="1" t="s">
        <v>874</v>
      </c>
      <c r="AG409" s="3" t="s">
        <v>668</v>
      </c>
      <c r="AH409" s="3">
        <v>37</v>
      </c>
      <c r="AI409" s="3">
        <v>38</v>
      </c>
      <c r="AJ409" s="200"/>
      <c r="AM409" s="3"/>
    </row>
    <row r="410" spans="1:39" x14ac:dyDescent="0.3">
      <c r="A410" s="5" t="str">
        <f t="shared" si="101"/>
        <v>BBD130</v>
      </c>
      <c r="B410" s="1" t="s">
        <v>1622</v>
      </c>
      <c r="C410" s="2" t="str">
        <f t="shared" si="93"/>
        <v>DIO1</v>
      </c>
      <c r="D410" s="2">
        <v>130</v>
      </c>
      <c r="E410" s="3">
        <f t="shared" si="91"/>
        <v>2</v>
      </c>
      <c r="F410" s="3">
        <f t="shared" si="92"/>
        <v>5</v>
      </c>
      <c r="G410" s="3">
        <v>0</v>
      </c>
      <c r="H410" s="55">
        <f t="shared" si="102"/>
        <v>5</v>
      </c>
      <c r="I410" s="54">
        <f t="shared" si="103"/>
        <v>3</v>
      </c>
      <c r="J410" s="217"/>
      <c r="K410" s="2"/>
      <c r="L410" s="30" t="s">
        <v>880</v>
      </c>
      <c r="M410" s="2">
        <v>4</v>
      </c>
      <c r="N410" s="8" t="s">
        <v>1647</v>
      </c>
      <c r="O410" s="1" t="s">
        <v>1646</v>
      </c>
      <c r="P410" s="1" t="s">
        <v>1618</v>
      </c>
      <c r="Q410" s="1" t="s">
        <v>1645</v>
      </c>
      <c r="R410" s="2"/>
      <c r="S410" s="13" t="s">
        <v>1641</v>
      </c>
      <c r="T410" s="1" t="s">
        <v>1638</v>
      </c>
      <c r="U410" s="13" t="s">
        <v>868</v>
      </c>
      <c r="V410" s="1" t="str">
        <f t="shared" si="100"/>
        <v>2.5\0.5:3</v>
      </c>
      <c r="W410" s="1" t="s">
        <v>1637</v>
      </c>
      <c r="X410" s="18">
        <v>0</v>
      </c>
      <c r="Z410" s="206" t="s">
        <v>1062</v>
      </c>
      <c r="AB410" s="1">
        <v>0</v>
      </c>
      <c r="AC410" s="1">
        <v>5000</v>
      </c>
      <c r="AD410" s="1">
        <v>0</v>
      </c>
      <c r="AE410" s="1">
        <v>5000</v>
      </c>
      <c r="AF410" s="1" t="s">
        <v>874</v>
      </c>
      <c r="AG410" s="3" t="s">
        <v>668</v>
      </c>
      <c r="AH410" s="3">
        <v>39</v>
      </c>
      <c r="AI410" s="3">
        <v>40</v>
      </c>
      <c r="AJ410" s="200"/>
      <c r="AM410" s="3"/>
    </row>
    <row r="411" spans="1:39" x14ac:dyDescent="0.3">
      <c r="A411" s="5" t="str">
        <f t="shared" si="101"/>
        <v>BBD130</v>
      </c>
      <c r="B411" s="1" t="s">
        <v>1622</v>
      </c>
      <c r="C411" s="2" t="str">
        <f t="shared" si="93"/>
        <v>DIO1</v>
      </c>
      <c r="D411" s="2">
        <v>130</v>
      </c>
      <c r="E411" s="3">
        <f t="shared" si="91"/>
        <v>2</v>
      </c>
      <c r="F411" s="3">
        <f t="shared" si="92"/>
        <v>5</v>
      </c>
      <c r="G411" s="3">
        <v>0</v>
      </c>
      <c r="H411" s="55">
        <f t="shared" si="102"/>
        <v>5</v>
      </c>
      <c r="I411" s="54">
        <f t="shared" si="103"/>
        <v>4</v>
      </c>
      <c r="J411" s="217"/>
      <c r="K411" s="2"/>
      <c r="L411" s="30" t="s">
        <v>880</v>
      </c>
      <c r="M411" s="2">
        <v>4</v>
      </c>
      <c r="N411" s="8" t="s">
        <v>1644</v>
      </c>
      <c r="O411" s="1" t="s">
        <v>1643</v>
      </c>
      <c r="P411" s="1" t="s">
        <v>1618</v>
      </c>
      <c r="Q411" s="1" t="s">
        <v>1642</v>
      </c>
      <c r="S411" s="13" t="s">
        <v>1641</v>
      </c>
      <c r="T411" s="1" t="s">
        <v>1638</v>
      </c>
      <c r="U411" s="13" t="s">
        <v>868</v>
      </c>
      <c r="V411" s="1" t="str">
        <f t="shared" si="100"/>
        <v>2.5\0.5:4</v>
      </c>
      <c r="W411" s="1" t="s">
        <v>1637</v>
      </c>
      <c r="X411" s="18">
        <v>0</v>
      </c>
      <c r="Z411" s="206" t="s">
        <v>1062</v>
      </c>
      <c r="AB411" s="1">
        <v>0</v>
      </c>
      <c r="AC411" s="1">
        <v>5000</v>
      </c>
      <c r="AD411" s="1">
        <v>0</v>
      </c>
      <c r="AE411" s="1">
        <v>5000</v>
      </c>
      <c r="AF411" s="1" t="s">
        <v>874</v>
      </c>
      <c r="AG411" s="3" t="s">
        <v>668</v>
      </c>
      <c r="AH411" s="3">
        <v>41</v>
      </c>
      <c r="AI411" s="3">
        <v>42</v>
      </c>
      <c r="AJ411" s="200"/>
      <c r="AM411" s="3"/>
    </row>
    <row r="412" spans="1:39" x14ac:dyDescent="0.3">
      <c r="A412" s="5" t="str">
        <f t="shared" si="101"/>
        <v>BBD130</v>
      </c>
      <c r="B412" s="1" t="s">
        <v>1622</v>
      </c>
      <c r="C412" s="2" t="str">
        <f t="shared" si="93"/>
        <v>DIO1</v>
      </c>
      <c r="D412" s="2">
        <v>130</v>
      </c>
      <c r="E412" s="3">
        <f t="shared" ref="E412:E446" si="104">+E411</f>
        <v>2</v>
      </c>
      <c r="F412" s="3">
        <f t="shared" ref="F412:F446" si="105">+F411</f>
        <v>5</v>
      </c>
      <c r="G412" s="3">
        <v>0</v>
      </c>
      <c r="H412" s="55">
        <f t="shared" si="102"/>
        <v>5</v>
      </c>
      <c r="I412" s="54">
        <f t="shared" si="103"/>
        <v>5</v>
      </c>
      <c r="J412" s="217"/>
      <c r="K412" s="2"/>
      <c r="L412" s="30" t="s">
        <v>880</v>
      </c>
      <c r="M412" s="2">
        <v>4</v>
      </c>
      <c r="N412" s="8" t="s">
        <v>1640</v>
      </c>
      <c r="O412" s="1" t="s">
        <v>1113</v>
      </c>
      <c r="P412" s="1" t="s">
        <v>1618</v>
      </c>
      <c r="Q412" s="1" t="s">
        <v>1639</v>
      </c>
      <c r="R412" s="2"/>
      <c r="S412" s="13" t="s">
        <v>869</v>
      </c>
      <c r="T412" s="1" t="s">
        <v>1638</v>
      </c>
      <c r="U412" s="13" t="s">
        <v>868</v>
      </c>
      <c r="V412" s="1" t="str">
        <f t="shared" si="100"/>
        <v>2.5\0.5:5</v>
      </c>
      <c r="W412" s="1" t="s">
        <v>1637</v>
      </c>
      <c r="X412" s="18">
        <v>0</v>
      </c>
      <c r="Z412" s="206" t="s">
        <v>1062</v>
      </c>
      <c r="AB412" s="1">
        <v>0</v>
      </c>
      <c r="AC412" s="1">
        <v>100</v>
      </c>
      <c r="AD412" s="1">
        <v>0</v>
      </c>
      <c r="AE412" s="1">
        <v>100</v>
      </c>
      <c r="AF412" s="1" t="s">
        <v>865</v>
      </c>
      <c r="AG412" s="3" t="s">
        <v>668</v>
      </c>
      <c r="AH412" s="3">
        <v>43</v>
      </c>
      <c r="AI412" s="3">
        <v>44</v>
      </c>
      <c r="AJ412" s="200"/>
      <c r="AM412" s="3"/>
    </row>
    <row r="413" spans="1:39" x14ac:dyDescent="0.3">
      <c r="A413" s="5" t="str">
        <f t="shared" si="101"/>
        <v>BBD130</v>
      </c>
      <c r="B413" s="1" t="s">
        <v>1622</v>
      </c>
      <c r="C413" s="2" t="str">
        <f t="shared" ref="C413:C446" si="106">+C412</f>
        <v>DIO1</v>
      </c>
      <c r="D413" s="2">
        <v>130</v>
      </c>
      <c r="E413" s="3">
        <f t="shared" si="104"/>
        <v>2</v>
      </c>
      <c r="F413" s="3">
        <f t="shared" si="105"/>
        <v>5</v>
      </c>
      <c r="G413" s="3">
        <v>0</v>
      </c>
      <c r="H413" s="55">
        <f t="shared" si="102"/>
        <v>5</v>
      </c>
      <c r="I413" s="54">
        <f t="shared" si="103"/>
        <v>6</v>
      </c>
      <c r="J413" s="217"/>
      <c r="K413" s="2"/>
      <c r="L413" s="30" t="s">
        <v>880</v>
      </c>
      <c r="M413" s="2"/>
      <c r="N413" s="8"/>
      <c r="R413" s="2"/>
      <c r="U413" s="13"/>
      <c r="V413" s="1" t="str">
        <f t="shared" si="100"/>
        <v>2.5\0.5:6</v>
      </c>
      <c r="Z413" s="206" t="s">
        <v>1062</v>
      </c>
      <c r="AG413" s="3" t="s">
        <v>668</v>
      </c>
      <c r="AH413" s="3">
        <v>45</v>
      </c>
      <c r="AI413" s="3">
        <v>46</v>
      </c>
      <c r="AJ413" s="200"/>
      <c r="AM413" s="3"/>
    </row>
    <row r="414" spans="1:39" ht="13.5" thickBot="1" x14ac:dyDescent="0.35">
      <c r="A414" s="5" t="str">
        <f t="shared" si="101"/>
        <v>BBD130</v>
      </c>
      <c r="B414" s="1" t="s">
        <v>1622</v>
      </c>
      <c r="C414" s="2" t="str">
        <f t="shared" si="106"/>
        <v>DIO1</v>
      </c>
      <c r="D414" s="2">
        <v>130</v>
      </c>
      <c r="E414" s="3">
        <f t="shared" si="104"/>
        <v>2</v>
      </c>
      <c r="F414" s="3">
        <f t="shared" si="105"/>
        <v>5</v>
      </c>
      <c r="G414" s="3">
        <v>0</v>
      </c>
      <c r="H414" s="55">
        <f t="shared" si="102"/>
        <v>5</v>
      </c>
      <c r="I414" s="59">
        <f t="shared" si="103"/>
        <v>7</v>
      </c>
      <c r="J414" s="216"/>
      <c r="K414" s="2"/>
      <c r="L414" s="30" t="s">
        <v>880</v>
      </c>
      <c r="M414" s="2"/>
      <c r="N414" s="8"/>
      <c r="R414" s="2"/>
      <c r="U414" s="13"/>
      <c r="V414" s="1" t="str">
        <f t="shared" si="100"/>
        <v>2.5\0.5:7</v>
      </c>
      <c r="Z414" s="206" t="s">
        <v>1062</v>
      </c>
      <c r="AG414" s="3" t="s">
        <v>668</v>
      </c>
      <c r="AH414" s="3">
        <v>47</v>
      </c>
      <c r="AI414" s="3">
        <v>48</v>
      </c>
      <c r="AJ414" s="200"/>
      <c r="AM414" s="3"/>
    </row>
    <row r="415" spans="1:39" x14ac:dyDescent="0.3">
      <c r="A415" s="76" t="s">
        <v>1471</v>
      </c>
      <c r="B415" s="1" t="s">
        <v>1622</v>
      </c>
      <c r="C415" s="2" t="str">
        <f t="shared" si="106"/>
        <v>DIO1</v>
      </c>
      <c r="D415" s="2">
        <v>130</v>
      </c>
      <c r="E415" s="3">
        <f t="shared" si="104"/>
        <v>2</v>
      </c>
      <c r="F415" s="3">
        <f t="shared" si="105"/>
        <v>5</v>
      </c>
      <c r="G415" s="3">
        <v>0</v>
      </c>
      <c r="H415" s="223">
        <v>6</v>
      </c>
      <c r="I415" s="56">
        <v>0</v>
      </c>
      <c r="J415" s="231" t="s">
        <v>1071</v>
      </c>
      <c r="K415" s="2" t="s">
        <v>1075</v>
      </c>
      <c r="L415" s="30" t="s">
        <v>1063</v>
      </c>
      <c r="M415" s="2">
        <v>4</v>
      </c>
      <c r="N415" s="8" t="s">
        <v>1636</v>
      </c>
      <c r="O415" s="1" t="s">
        <v>1475</v>
      </c>
      <c r="P415" s="1" t="s">
        <v>1614</v>
      </c>
      <c r="Q415" s="26" t="s">
        <v>1635</v>
      </c>
      <c r="S415" s="13" t="s">
        <v>780</v>
      </c>
      <c r="T415" s="1" t="s">
        <v>464</v>
      </c>
      <c r="U415" s="13" t="s">
        <v>868</v>
      </c>
      <c r="V415" s="1" t="str">
        <f t="shared" si="100"/>
        <v>2.5\0.6:0</v>
      </c>
      <c r="W415" s="1" t="s">
        <v>1625</v>
      </c>
      <c r="X415" s="18">
        <v>0</v>
      </c>
      <c r="Z415" s="206" t="s">
        <v>1062</v>
      </c>
      <c r="AB415" s="1">
        <v>0</v>
      </c>
      <c r="AC415" s="1">
        <v>200</v>
      </c>
      <c r="AD415" s="1">
        <v>0</v>
      </c>
      <c r="AE415" s="1">
        <v>200</v>
      </c>
      <c r="AF415" s="1" t="s">
        <v>874</v>
      </c>
      <c r="AG415" s="3" t="s">
        <v>570</v>
      </c>
      <c r="AH415" s="3">
        <v>1</v>
      </c>
      <c r="AI415" s="3">
        <v>2</v>
      </c>
    </row>
    <row r="416" spans="1:39" x14ac:dyDescent="0.3">
      <c r="A416" s="5" t="str">
        <f t="shared" ref="A416:A422" si="107">A415</f>
        <v>BBD130</v>
      </c>
      <c r="B416" s="1" t="s">
        <v>1622</v>
      </c>
      <c r="C416" s="2" t="str">
        <f t="shared" si="106"/>
        <v>DIO1</v>
      </c>
      <c r="D416" s="2">
        <v>130</v>
      </c>
      <c r="E416" s="3">
        <f t="shared" si="104"/>
        <v>2</v>
      </c>
      <c r="F416" s="3">
        <f t="shared" si="105"/>
        <v>5</v>
      </c>
      <c r="G416" s="3">
        <v>0</v>
      </c>
      <c r="H416" s="55">
        <f t="shared" ref="H416:H422" si="108">+H415</f>
        <v>6</v>
      </c>
      <c r="I416" s="54">
        <f t="shared" ref="I416:I422" si="109">+I415+1</f>
        <v>1</v>
      </c>
      <c r="J416" s="231" t="s">
        <v>1071</v>
      </c>
      <c r="K416" s="2"/>
      <c r="L416" s="30" t="s">
        <v>1063</v>
      </c>
      <c r="M416" s="2">
        <v>4</v>
      </c>
      <c r="N416" s="8" t="s">
        <v>1634</v>
      </c>
      <c r="O416" s="1" t="s">
        <v>1633</v>
      </c>
      <c r="P416" s="1" t="s">
        <v>1614</v>
      </c>
      <c r="Q416" s="26" t="s">
        <v>1632</v>
      </c>
      <c r="S416" s="13" t="s">
        <v>780</v>
      </c>
      <c r="T416" s="1" t="s">
        <v>464</v>
      </c>
      <c r="U416" s="13" t="s">
        <v>868</v>
      </c>
      <c r="V416" s="1" t="str">
        <f t="shared" si="100"/>
        <v>2.5\0.6:1</v>
      </c>
      <c r="W416" s="1" t="s">
        <v>1625</v>
      </c>
      <c r="X416" s="18">
        <v>0</v>
      </c>
      <c r="Z416" s="206" t="s">
        <v>1062</v>
      </c>
      <c r="AB416" s="1">
        <v>0</v>
      </c>
      <c r="AC416" s="1">
        <v>200</v>
      </c>
      <c r="AD416" s="1">
        <v>0</v>
      </c>
      <c r="AE416" s="1">
        <v>200</v>
      </c>
      <c r="AF416" s="1" t="s">
        <v>874</v>
      </c>
      <c r="AG416" s="3" t="s">
        <v>570</v>
      </c>
      <c r="AH416" s="3">
        <v>3</v>
      </c>
      <c r="AI416" s="3">
        <v>4</v>
      </c>
    </row>
    <row r="417" spans="1:39" x14ac:dyDescent="0.3">
      <c r="A417" s="5" t="str">
        <f t="shared" si="107"/>
        <v>BBD130</v>
      </c>
      <c r="B417" s="1" t="s">
        <v>1622</v>
      </c>
      <c r="C417" s="2" t="str">
        <f t="shared" si="106"/>
        <v>DIO1</v>
      </c>
      <c r="D417" s="2">
        <v>130</v>
      </c>
      <c r="E417" s="3">
        <f t="shared" si="104"/>
        <v>2</v>
      </c>
      <c r="F417" s="3">
        <f t="shared" si="105"/>
        <v>5</v>
      </c>
      <c r="G417" s="3">
        <v>0</v>
      </c>
      <c r="H417" s="55">
        <f t="shared" si="108"/>
        <v>6</v>
      </c>
      <c r="I417" s="54">
        <f t="shared" si="109"/>
        <v>2</v>
      </c>
      <c r="J417" s="231"/>
      <c r="K417" s="2"/>
      <c r="L417" s="30" t="s">
        <v>1063</v>
      </c>
      <c r="M417" s="2">
        <v>4</v>
      </c>
      <c r="N417" s="8" t="s">
        <v>1631</v>
      </c>
      <c r="O417" s="1" t="s">
        <v>1630</v>
      </c>
      <c r="P417" s="1" t="s">
        <v>1614</v>
      </c>
      <c r="Q417" s="26" t="s">
        <v>1629</v>
      </c>
      <c r="S417" s="13" t="s">
        <v>780</v>
      </c>
      <c r="T417" s="1" t="s">
        <v>464</v>
      </c>
      <c r="U417" s="13" t="s">
        <v>868</v>
      </c>
      <c r="V417" s="1" t="str">
        <f t="shared" si="100"/>
        <v>2.5\0.6:2</v>
      </c>
      <c r="W417" s="1" t="s">
        <v>1625</v>
      </c>
      <c r="X417" s="18">
        <v>0</v>
      </c>
      <c r="Z417" s="206" t="s">
        <v>1062</v>
      </c>
      <c r="AB417" s="1">
        <v>0</v>
      </c>
      <c r="AC417" s="1">
        <v>200</v>
      </c>
      <c r="AD417" s="1">
        <v>0</v>
      </c>
      <c r="AE417" s="1">
        <v>200</v>
      </c>
      <c r="AF417" s="1" t="s">
        <v>874</v>
      </c>
      <c r="AG417" s="3" t="s">
        <v>570</v>
      </c>
      <c r="AH417" s="3">
        <v>5</v>
      </c>
      <c r="AI417" s="3">
        <v>6</v>
      </c>
    </row>
    <row r="418" spans="1:39" x14ac:dyDescent="0.3">
      <c r="A418" s="5" t="str">
        <f t="shared" si="107"/>
        <v>BBD130</v>
      </c>
      <c r="B418" s="1" t="s">
        <v>1622</v>
      </c>
      <c r="C418" s="2" t="str">
        <f t="shared" si="106"/>
        <v>DIO1</v>
      </c>
      <c r="D418" s="2">
        <v>130</v>
      </c>
      <c r="E418" s="3">
        <f t="shared" si="104"/>
        <v>2</v>
      </c>
      <c r="F418" s="3">
        <f t="shared" si="105"/>
        <v>5</v>
      </c>
      <c r="G418" s="3">
        <v>0</v>
      </c>
      <c r="H418" s="55">
        <f t="shared" si="108"/>
        <v>6</v>
      </c>
      <c r="I418" s="54">
        <f t="shared" si="109"/>
        <v>3</v>
      </c>
      <c r="J418" s="231"/>
      <c r="L418" s="30" t="s">
        <v>1063</v>
      </c>
      <c r="M418" s="2">
        <v>4</v>
      </c>
      <c r="N418" s="8" t="s">
        <v>1628</v>
      </c>
      <c r="O418" s="1" t="s">
        <v>1627</v>
      </c>
      <c r="P418" s="1" t="s">
        <v>1614</v>
      </c>
      <c r="Q418" s="26" t="s">
        <v>1626</v>
      </c>
      <c r="S418" s="13" t="s">
        <v>780</v>
      </c>
      <c r="T418" s="1" t="s">
        <v>464</v>
      </c>
      <c r="U418" s="13" t="s">
        <v>868</v>
      </c>
      <c r="V418" s="1" t="str">
        <f t="shared" si="100"/>
        <v>2.5\0.6:3</v>
      </c>
      <c r="W418" s="1" t="s">
        <v>1625</v>
      </c>
      <c r="X418" s="18">
        <v>0</v>
      </c>
      <c r="Z418" s="206" t="s">
        <v>1062</v>
      </c>
      <c r="AB418" s="1">
        <v>0</v>
      </c>
      <c r="AC418" s="1">
        <v>200</v>
      </c>
      <c r="AD418" s="1">
        <v>0</v>
      </c>
      <c r="AE418" s="1">
        <v>200</v>
      </c>
      <c r="AF418" s="1" t="s">
        <v>874</v>
      </c>
      <c r="AG418" s="3" t="s">
        <v>570</v>
      </c>
      <c r="AH418" s="3">
        <v>7</v>
      </c>
      <c r="AI418" s="3">
        <v>8</v>
      </c>
    </row>
    <row r="419" spans="1:39" x14ac:dyDescent="0.3">
      <c r="A419" s="5" t="str">
        <f t="shared" si="107"/>
        <v>BBD130</v>
      </c>
      <c r="B419" s="1" t="s">
        <v>1622</v>
      </c>
      <c r="C419" s="2" t="str">
        <f t="shared" si="106"/>
        <v>DIO1</v>
      </c>
      <c r="D419" s="2">
        <v>130</v>
      </c>
      <c r="E419" s="3">
        <f t="shared" si="104"/>
        <v>2</v>
      </c>
      <c r="F419" s="3">
        <f t="shared" si="105"/>
        <v>5</v>
      </c>
      <c r="G419" s="3">
        <v>0</v>
      </c>
      <c r="H419" s="55">
        <f t="shared" si="108"/>
        <v>6</v>
      </c>
      <c r="I419" s="54">
        <f t="shared" si="109"/>
        <v>4</v>
      </c>
      <c r="J419" s="231"/>
      <c r="L419" s="30" t="s">
        <v>1063</v>
      </c>
      <c r="M419" s="2"/>
      <c r="N419" s="8"/>
      <c r="Q419" s="26"/>
      <c r="R419" s="41"/>
      <c r="S419" s="26"/>
      <c r="V419" s="1" t="str">
        <f t="shared" si="100"/>
        <v>2.5\0.6:4</v>
      </c>
      <c r="Z419" s="206" t="s">
        <v>1062</v>
      </c>
      <c r="AG419" s="3" t="s">
        <v>570</v>
      </c>
      <c r="AH419" s="3">
        <v>9</v>
      </c>
      <c r="AI419" s="3">
        <v>10</v>
      </c>
    </row>
    <row r="420" spans="1:39" x14ac:dyDescent="0.3">
      <c r="A420" s="5" t="str">
        <f t="shared" si="107"/>
        <v>BBD130</v>
      </c>
      <c r="B420" s="1" t="s">
        <v>1622</v>
      </c>
      <c r="C420" s="2" t="str">
        <f t="shared" si="106"/>
        <v>DIO1</v>
      </c>
      <c r="D420" s="2">
        <v>130</v>
      </c>
      <c r="E420" s="3">
        <f t="shared" si="104"/>
        <v>2</v>
      </c>
      <c r="F420" s="3">
        <f t="shared" si="105"/>
        <v>5</v>
      </c>
      <c r="G420" s="3">
        <v>0</v>
      </c>
      <c r="H420" s="55">
        <f t="shared" si="108"/>
        <v>6</v>
      </c>
      <c r="I420" s="54">
        <f t="shared" si="109"/>
        <v>5</v>
      </c>
      <c r="J420" s="231"/>
      <c r="K420" s="2"/>
      <c r="L420" s="30" t="s">
        <v>1063</v>
      </c>
      <c r="M420" s="2"/>
      <c r="N420" s="8"/>
      <c r="Q420" s="26"/>
      <c r="R420" s="41"/>
      <c r="S420" s="26"/>
      <c r="V420" s="1" t="str">
        <f t="shared" si="100"/>
        <v>2.5\0.6:5</v>
      </c>
      <c r="Z420" s="206" t="s">
        <v>1062</v>
      </c>
      <c r="AG420" s="3" t="s">
        <v>570</v>
      </c>
      <c r="AH420" s="3">
        <v>11</v>
      </c>
      <c r="AI420" s="3">
        <v>12</v>
      </c>
    </row>
    <row r="421" spans="1:39" x14ac:dyDescent="0.3">
      <c r="A421" s="5" t="str">
        <f t="shared" si="107"/>
        <v>BBD130</v>
      </c>
      <c r="B421" s="1" t="s">
        <v>1622</v>
      </c>
      <c r="C421" s="2" t="str">
        <f t="shared" si="106"/>
        <v>DIO1</v>
      </c>
      <c r="D421" s="2">
        <v>130</v>
      </c>
      <c r="E421" s="3">
        <f t="shared" si="104"/>
        <v>2</v>
      </c>
      <c r="F421" s="3">
        <f t="shared" si="105"/>
        <v>5</v>
      </c>
      <c r="G421" s="3">
        <v>0</v>
      </c>
      <c r="H421" s="55">
        <f t="shared" si="108"/>
        <v>6</v>
      </c>
      <c r="I421" s="54">
        <f t="shared" si="109"/>
        <v>6</v>
      </c>
      <c r="J421" s="231"/>
      <c r="K421" s="2"/>
      <c r="L421" s="30" t="s">
        <v>1063</v>
      </c>
      <c r="M421" s="2"/>
      <c r="N421" s="8"/>
      <c r="Q421" s="26"/>
      <c r="S421" s="26"/>
      <c r="V421" s="1" t="str">
        <f t="shared" si="100"/>
        <v>2.5\0.6:6</v>
      </c>
      <c r="Z421" s="206" t="s">
        <v>1062</v>
      </c>
      <c r="AG421" s="3" t="s">
        <v>570</v>
      </c>
      <c r="AH421" s="3">
        <v>13</v>
      </c>
      <c r="AI421" s="3">
        <v>14</v>
      </c>
    </row>
    <row r="422" spans="1:39" ht="13.5" thickBot="1" x14ac:dyDescent="0.35">
      <c r="A422" s="5" t="str">
        <f t="shared" si="107"/>
        <v>BBD130</v>
      </c>
      <c r="B422" s="1" t="s">
        <v>1622</v>
      </c>
      <c r="C422" s="2" t="str">
        <f t="shared" si="106"/>
        <v>DIO1</v>
      </c>
      <c r="D422" s="2">
        <v>130</v>
      </c>
      <c r="E422" s="3">
        <f t="shared" si="104"/>
        <v>2</v>
      </c>
      <c r="F422" s="3">
        <f t="shared" si="105"/>
        <v>5</v>
      </c>
      <c r="G422" s="3">
        <v>0</v>
      </c>
      <c r="H422" s="55">
        <f t="shared" si="108"/>
        <v>6</v>
      </c>
      <c r="I422" s="59">
        <f t="shared" si="109"/>
        <v>7</v>
      </c>
      <c r="J422" s="230"/>
      <c r="K422" s="2"/>
      <c r="L422" s="30" t="s">
        <v>1063</v>
      </c>
      <c r="M422" s="2"/>
      <c r="N422" s="8"/>
      <c r="Q422" s="26"/>
      <c r="S422" s="26"/>
      <c r="V422" s="1" t="str">
        <f t="shared" si="100"/>
        <v>2.5\0.6:7</v>
      </c>
      <c r="Z422" s="206" t="s">
        <v>1062</v>
      </c>
      <c r="AG422" s="3" t="s">
        <v>570</v>
      </c>
      <c r="AH422" s="3">
        <v>15</v>
      </c>
      <c r="AI422" s="3">
        <v>16</v>
      </c>
    </row>
    <row r="423" spans="1:39" x14ac:dyDescent="0.3">
      <c r="A423" s="76" t="s">
        <v>1471</v>
      </c>
      <c r="B423" s="1" t="s">
        <v>1622</v>
      </c>
      <c r="C423" s="2" t="str">
        <f t="shared" si="106"/>
        <v>DIO1</v>
      </c>
      <c r="D423" s="2">
        <v>130</v>
      </c>
      <c r="E423" s="3">
        <f t="shared" si="104"/>
        <v>2</v>
      </c>
      <c r="F423" s="3">
        <f t="shared" si="105"/>
        <v>5</v>
      </c>
      <c r="G423" s="3">
        <v>0</v>
      </c>
      <c r="H423" s="62">
        <v>7</v>
      </c>
      <c r="I423" s="56">
        <v>0</v>
      </c>
      <c r="J423" s="238" t="s">
        <v>549</v>
      </c>
      <c r="K423" s="2" t="s">
        <v>1386</v>
      </c>
      <c r="L423" s="39" t="s">
        <v>1378</v>
      </c>
      <c r="M423" s="2">
        <v>4</v>
      </c>
      <c r="N423" s="8" t="s">
        <v>1624</v>
      </c>
      <c r="O423" s="1" t="s">
        <v>1384</v>
      </c>
      <c r="P423" s="1" t="s">
        <v>1623</v>
      </c>
      <c r="Q423" s="1" t="s">
        <v>1383</v>
      </c>
      <c r="T423" s="1" t="s">
        <v>464</v>
      </c>
      <c r="V423" s="1" t="str">
        <f t="shared" si="100"/>
        <v>2.5\0.7:0</v>
      </c>
      <c r="W423" s="1" t="s">
        <v>1600</v>
      </c>
      <c r="X423" s="18">
        <v>0</v>
      </c>
      <c r="Z423" s="206" t="s">
        <v>1062</v>
      </c>
      <c r="AG423" s="3" t="s">
        <v>732</v>
      </c>
      <c r="AH423" s="3">
        <v>33</v>
      </c>
      <c r="AI423" s="3">
        <v>34</v>
      </c>
      <c r="AJ423" s="200"/>
      <c r="AM423" s="3"/>
    </row>
    <row r="424" spans="1:39" x14ac:dyDescent="0.3">
      <c r="A424" s="5" t="str">
        <f t="shared" ref="A424:A430" si="110">A423</f>
        <v>BBD130</v>
      </c>
      <c r="B424" s="1" t="s">
        <v>1622</v>
      </c>
      <c r="C424" s="2" t="str">
        <f t="shared" si="106"/>
        <v>DIO1</v>
      </c>
      <c r="D424" s="2">
        <v>130</v>
      </c>
      <c r="E424" s="3">
        <f t="shared" si="104"/>
        <v>2</v>
      </c>
      <c r="F424" s="3">
        <f t="shared" si="105"/>
        <v>5</v>
      </c>
      <c r="G424" s="3">
        <v>0</v>
      </c>
      <c r="H424" s="55">
        <f t="shared" ref="H424:H430" si="111">+H423</f>
        <v>7</v>
      </c>
      <c r="I424" s="54">
        <f t="shared" ref="I424:I430" si="112">+I423+1</f>
        <v>1</v>
      </c>
      <c r="J424" s="237"/>
      <c r="K424" s="2"/>
      <c r="L424" s="39" t="s">
        <v>1378</v>
      </c>
      <c r="M424" s="2"/>
      <c r="N424" s="244"/>
      <c r="V424" s="1" t="str">
        <f t="shared" si="100"/>
        <v>2.5\0.7:1</v>
      </c>
      <c r="Z424" s="206" t="s">
        <v>1062</v>
      </c>
      <c r="AG424" s="3" t="s">
        <v>732</v>
      </c>
      <c r="AH424" s="3">
        <v>35</v>
      </c>
      <c r="AI424" s="3">
        <v>36</v>
      </c>
      <c r="AJ424" s="200"/>
      <c r="AM424" s="3"/>
    </row>
    <row r="425" spans="1:39" x14ac:dyDescent="0.3">
      <c r="A425" s="5" t="str">
        <f t="shared" si="110"/>
        <v>BBD130</v>
      </c>
      <c r="B425" s="1" t="s">
        <v>1622</v>
      </c>
      <c r="C425" s="2" t="str">
        <f t="shared" si="106"/>
        <v>DIO1</v>
      </c>
      <c r="D425" s="2">
        <v>130</v>
      </c>
      <c r="E425" s="3">
        <f t="shared" si="104"/>
        <v>2</v>
      </c>
      <c r="F425" s="3">
        <f t="shared" si="105"/>
        <v>5</v>
      </c>
      <c r="G425" s="3">
        <v>0</v>
      </c>
      <c r="H425" s="55">
        <f t="shared" si="111"/>
        <v>7</v>
      </c>
      <c r="I425" s="54">
        <f t="shared" si="112"/>
        <v>2</v>
      </c>
      <c r="J425" s="237"/>
      <c r="K425" s="2"/>
      <c r="L425" s="39" t="s">
        <v>1378</v>
      </c>
      <c r="M425" s="2"/>
      <c r="N425" s="244"/>
      <c r="V425" s="1" t="str">
        <f t="shared" si="100"/>
        <v>2.5\0.7:2</v>
      </c>
      <c r="Z425" s="206" t="s">
        <v>1062</v>
      </c>
      <c r="AG425" s="3" t="s">
        <v>732</v>
      </c>
      <c r="AH425" s="3">
        <v>37</v>
      </c>
      <c r="AI425" s="3">
        <v>38</v>
      </c>
      <c r="AJ425" s="200"/>
      <c r="AM425" s="3"/>
    </row>
    <row r="426" spans="1:39" x14ac:dyDescent="0.3">
      <c r="A426" s="5" t="str">
        <f t="shared" si="110"/>
        <v>BBD130</v>
      </c>
      <c r="B426" s="1" t="s">
        <v>1622</v>
      </c>
      <c r="C426" s="2" t="str">
        <f t="shared" si="106"/>
        <v>DIO1</v>
      </c>
      <c r="D426" s="2">
        <v>130</v>
      </c>
      <c r="E426" s="3">
        <f t="shared" si="104"/>
        <v>2</v>
      </c>
      <c r="F426" s="3">
        <f t="shared" si="105"/>
        <v>5</v>
      </c>
      <c r="G426" s="3">
        <v>0</v>
      </c>
      <c r="H426" s="55">
        <f t="shared" si="111"/>
        <v>7</v>
      </c>
      <c r="I426" s="54">
        <f t="shared" si="112"/>
        <v>3</v>
      </c>
      <c r="J426" s="237"/>
      <c r="K426" s="2"/>
      <c r="L426" s="39" t="s">
        <v>1378</v>
      </c>
      <c r="M426" s="2"/>
      <c r="N426" s="2"/>
      <c r="V426" s="1" t="str">
        <f t="shared" si="100"/>
        <v>2.5\0.7:3</v>
      </c>
      <c r="Z426" s="206" t="s">
        <v>1062</v>
      </c>
      <c r="AG426" s="3" t="s">
        <v>732</v>
      </c>
      <c r="AH426" s="3">
        <v>39</v>
      </c>
      <c r="AI426" s="3">
        <v>40</v>
      </c>
      <c r="AJ426" s="200"/>
      <c r="AM426" s="3"/>
    </row>
    <row r="427" spans="1:39" x14ac:dyDescent="0.3">
      <c r="A427" s="5" t="str">
        <f t="shared" si="110"/>
        <v>BBD130</v>
      </c>
      <c r="B427" s="1" t="s">
        <v>1622</v>
      </c>
      <c r="C427" s="2" t="str">
        <f t="shared" si="106"/>
        <v>DIO1</v>
      </c>
      <c r="D427" s="2">
        <v>130</v>
      </c>
      <c r="E427" s="3">
        <f t="shared" si="104"/>
        <v>2</v>
      </c>
      <c r="F427" s="3">
        <f t="shared" si="105"/>
        <v>5</v>
      </c>
      <c r="G427" s="3">
        <v>0</v>
      </c>
      <c r="H427" s="55">
        <f t="shared" si="111"/>
        <v>7</v>
      </c>
      <c r="I427" s="54">
        <f t="shared" si="112"/>
        <v>4</v>
      </c>
      <c r="J427" s="237"/>
      <c r="K427" s="2"/>
      <c r="L427" s="39" t="s">
        <v>1378</v>
      </c>
      <c r="M427" s="2"/>
      <c r="N427" s="2"/>
      <c r="V427" s="1" t="str">
        <f t="shared" si="100"/>
        <v>2.5\0.7:4</v>
      </c>
      <c r="Z427" s="206" t="s">
        <v>1062</v>
      </c>
      <c r="AG427" s="3" t="s">
        <v>732</v>
      </c>
      <c r="AH427" s="3">
        <v>41</v>
      </c>
      <c r="AI427" s="3">
        <v>42</v>
      </c>
      <c r="AJ427" s="200"/>
      <c r="AM427" s="3"/>
    </row>
    <row r="428" spans="1:39" x14ac:dyDescent="0.3">
      <c r="A428" s="5" t="str">
        <f t="shared" si="110"/>
        <v>BBD130</v>
      </c>
      <c r="B428" s="1" t="s">
        <v>1622</v>
      </c>
      <c r="C428" s="2" t="str">
        <f t="shared" si="106"/>
        <v>DIO1</v>
      </c>
      <c r="D428" s="2">
        <v>130</v>
      </c>
      <c r="E428" s="3">
        <f t="shared" si="104"/>
        <v>2</v>
      </c>
      <c r="F428" s="3">
        <f t="shared" si="105"/>
        <v>5</v>
      </c>
      <c r="G428" s="3">
        <v>0</v>
      </c>
      <c r="H428" s="55">
        <f t="shared" si="111"/>
        <v>7</v>
      </c>
      <c r="I428" s="54">
        <f t="shared" si="112"/>
        <v>5</v>
      </c>
      <c r="J428" s="237"/>
      <c r="K428" s="2"/>
      <c r="L428" s="39" t="s">
        <v>1378</v>
      </c>
      <c r="M428" s="2"/>
      <c r="N428" s="2"/>
      <c r="V428" s="1" t="str">
        <f t="shared" si="100"/>
        <v>2.5\0.7:5</v>
      </c>
      <c r="Z428" s="206" t="s">
        <v>1062</v>
      </c>
      <c r="AG428" s="3" t="s">
        <v>732</v>
      </c>
      <c r="AH428" s="3">
        <v>43</v>
      </c>
      <c r="AI428" s="3">
        <v>44</v>
      </c>
      <c r="AJ428" s="200"/>
      <c r="AM428" s="3"/>
    </row>
    <row r="429" spans="1:39" x14ac:dyDescent="0.3">
      <c r="A429" s="5" t="str">
        <f t="shared" si="110"/>
        <v>BBD130</v>
      </c>
      <c r="B429" s="1" t="s">
        <v>1622</v>
      </c>
      <c r="C429" s="2" t="str">
        <f t="shared" si="106"/>
        <v>DIO1</v>
      </c>
      <c r="D429" s="2">
        <v>130</v>
      </c>
      <c r="E429" s="3">
        <f t="shared" si="104"/>
        <v>2</v>
      </c>
      <c r="F429" s="3">
        <f t="shared" si="105"/>
        <v>5</v>
      </c>
      <c r="G429" s="3">
        <v>0</v>
      </c>
      <c r="H429" s="55">
        <f t="shared" si="111"/>
        <v>7</v>
      </c>
      <c r="I429" s="54">
        <f t="shared" si="112"/>
        <v>6</v>
      </c>
      <c r="J429" s="237"/>
      <c r="K429" s="2"/>
      <c r="L429" s="39" t="s">
        <v>1378</v>
      </c>
      <c r="M429" s="2"/>
      <c r="N429" s="2"/>
      <c r="V429" s="1" t="str">
        <f t="shared" si="100"/>
        <v>2.5\0.7:6</v>
      </c>
      <c r="Z429" s="206" t="s">
        <v>1062</v>
      </c>
      <c r="AG429" s="3" t="s">
        <v>732</v>
      </c>
      <c r="AH429" s="3">
        <v>45</v>
      </c>
      <c r="AI429" s="3">
        <v>46</v>
      </c>
      <c r="AJ429" s="200"/>
      <c r="AM429" s="3"/>
    </row>
    <row r="430" spans="1:39" ht="13.5" thickBot="1" x14ac:dyDescent="0.35">
      <c r="A430" s="5" t="str">
        <f t="shared" si="110"/>
        <v>BBD130</v>
      </c>
      <c r="B430" s="1" t="s">
        <v>1622</v>
      </c>
      <c r="C430" s="2" t="str">
        <f t="shared" si="106"/>
        <v>DIO1</v>
      </c>
      <c r="D430" s="2">
        <v>130</v>
      </c>
      <c r="E430" s="3">
        <f t="shared" si="104"/>
        <v>2</v>
      </c>
      <c r="F430" s="3">
        <f t="shared" si="105"/>
        <v>5</v>
      </c>
      <c r="G430" s="3">
        <v>0</v>
      </c>
      <c r="H430" s="55">
        <f t="shared" si="111"/>
        <v>7</v>
      </c>
      <c r="I430" s="59">
        <f t="shared" si="112"/>
        <v>7</v>
      </c>
      <c r="J430" s="236"/>
      <c r="K430" s="27"/>
      <c r="L430" s="39" t="s">
        <v>1378</v>
      </c>
      <c r="M430" s="2"/>
      <c r="N430" s="2"/>
      <c r="V430" s="1" t="str">
        <f t="shared" si="100"/>
        <v>2.5\0.7:7</v>
      </c>
      <c r="Z430" s="206" t="s">
        <v>1062</v>
      </c>
      <c r="AG430" s="3" t="s">
        <v>732</v>
      </c>
      <c r="AH430" s="3">
        <v>47</v>
      </c>
      <c r="AI430" s="3">
        <v>48</v>
      </c>
      <c r="AJ430" s="200"/>
      <c r="AM430" s="3"/>
    </row>
    <row r="431" spans="1:39" x14ac:dyDescent="0.3">
      <c r="A431" s="76" t="s">
        <v>1471</v>
      </c>
      <c r="B431" s="1" t="s">
        <v>1622</v>
      </c>
      <c r="C431" s="2" t="str">
        <f t="shared" si="106"/>
        <v>DIO1</v>
      </c>
      <c r="D431" s="2">
        <v>130</v>
      </c>
      <c r="E431" s="3">
        <f t="shared" si="104"/>
        <v>2</v>
      </c>
      <c r="F431" s="3">
        <f t="shared" si="105"/>
        <v>5</v>
      </c>
      <c r="G431" s="3">
        <v>0</v>
      </c>
      <c r="H431" s="57">
        <v>8</v>
      </c>
      <c r="I431" s="56"/>
      <c r="J431" s="209"/>
      <c r="K431" s="41" t="s">
        <v>300</v>
      </c>
      <c r="M431" s="2"/>
      <c r="N431" s="2"/>
      <c r="Q431" s="1" t="s">
        <v>302</v>
      </c>
      <c r="R431" s="2"/>
      <c r="V431" s="1" t="str">
        <f t="shared" si="100"/>
        <v>2.5\0.8:</v>
      </c>
      <c r="AM431" s="3"/>
    </row>
    <row r="432" spans="1:39" x14ac:dyDescent="0.3">
      <c r="A432" s="5" t="str">
        <f>A431</f>
        <v>BBD130</v>
      </c>
      <c r="B432" s="1" t="s">
        <v>1622</v>
      </c>
      <c r="C432" s="2" t="str">
        <f t="shared" si="106"/>
        <v>DIO1</v>
      </c>
      <c r="D432" s="2">
        <v>130</v>
      </c>
      <c r="E432" s="3">
        <f t="shared" si="104"/>
        <v>2</v>
      </c>
      <c r="F432" s="3">
        <f t="shared" si="105"/>
        <v>5</v>
      </c>
      <c r="G432" s="3">
        <v>0</v>
      </c>
      <c r="H432" s="55">
        <f>+H431</f>
        <v>8</v>
      </c>
      <c r="I432" s="54"/>
      <c r="J432" s="208"/>
      <c r="K432" s="2"/>
      <c r="M432" s="2"/>
      <c r="N432" s="2"/>
      <c r="Q432" s="1" t="s">
        <v>302</v>
      </c>
      <c r="R432" s="2"/>
      <c r="V432" s="1" t="str">
        <f t="shared" si="100"/>
        <v>2.5\0.8:</v>
      </c>
      <c r="AM432" s="3"/>
    </row>
    <row r="433" spans="1:39" x14ac:dyDescent="0.3">
      <c r="A433" s="5" t="str">
        <f>A432</f>
        <v>BBD130</v>
      </c>
      <c r="B433" s="1" t="s">
        <v>1622</v>
      </c>
      <c r="C433" s="2" t="str">
        <f t="shared" si="106"/>
        <v>DIO1</v>
      </c>
      <c r="D433" s="2">
        <v>130</v>
      </c>
      <c r="E433" s="3">
        <f t="shared" si="104"/>
        <v>2</v>
      </c>
      <c r="F433" s="3">
        <f t="shared" si="105"/>
        <v>5</v>
      </c>
      <c r="G433" s="3">
        <v>0</v>
      </c>
      <c r="H433" s="55">
        <f>+H432</f>
        <v>8</v>
      </c>
      <c r="I433" s="54"/>
      <c r="J433" s="208"/>
      <c r="K433" s="2"/>
      <c r="M433" s="2"/>
      <c r="N433" s="2"/>
      <c r="Q433" s="1" t="s">
        <v>302</v>
      </c>
      <c r="R433" s="2"/>
      <c r="V433" s="1" t="str">
        <f t="shared" si="100"/>
        <v>2.5\0.8:</v>
      </c>
      <c r="AM433" s="3"/>
    </row>
    <row r="434" spans="1:39" ht="13.5" thickBot="1" x14ac:dyDescent="0.35">
      <c r="A434" s="5" t="str">
        <f>A433</f>
        <v>BBD130</v>
      </c>
      <c r="B434" s="1" t="s">
        <v>1622</v>
      </c>
      <c r="C434" s="2" t="str">
        <f t="shared" si="106"/>
        <v>DIO1</v>
      </c>
      <c r="D434" s="2">
        <v>130</v>
      </c>
      <c r="E434" s="3">
        <f t="shared" si="104"/>
        <v>2</v>
      </c>
      <c r="F434" s="3">
        <f t="shared" si="105"/>
        <v>5</v>
      </c>
      <c r="G434" s="3">
        <v>0</v>
      </c>
      <c r="H434" s="55">
        <f>+H433</f>
        <v>8</v>
      </c>
      <c r="I434" s="59"/>
      <c r="J434" s="207"/>
      <c r="K434" s="2"/>
      <c r="M434" s="2"/>
      <c r="N434" s="2"/>
      <c r="Q434" s="1" t="s">
        <v>302</v>
      </c>
      <c r="R434" s="2"/>
      <c r="V434" s="1" t="str">
        <f t="shared" si="100"/>
        <v>2.5\0.8:</v>
      </c>
      <c r="AM434" s="3"/>
    </row>
    <row r="435" spans="1:39" x14ac:dyDescent="0.3">
      <c r="A435" s="76" t="s">
        <v>1471</v>
      </c>
      <c r="B435" s="1" t="s">
        <v>1622</v>
      </c>
      <c r="C435" s="2" t="str">
        <f t="shared" si="106"/>
        <v>DIO1</v>
      </c>
      <c r="D435" s="2">
        <v>130</v>
      </c>
      <c r="E435" s="3">
        <f t="shared" si="104"/>
        <v>2</v>
      </c>
      <c r="F435" s="3">
        <f t="shared" si="105"/>
        <v>5</v>
      </c>
      <c r="G435" s="3">
        <v>0</v>
      </c>
      <c r="H435" s="62">
        <v>9</v>
      </c>
      <c r="I435" s="56"/>
      <c r="J435" s="209"/>
      <c r="K435" s="41" t="s">
        <v>300</v>
      </c>
      <c r="M435" s="2"/>
      <c r="N435" s="2"/>
      <c r="R435" s="2"/>
      <c r="V435" s="1" t="str">
        <f t="shared" si="100"/>
        <v>2.5\0.9:</v>
      </c>
      <c r="AM435" s="3"/>
    </row>
    <row r="436" spans="1:39" x14ac:dyDescent="0.3">
      <c r="A436" s="5" t="str">
        <f>A435</f>
        <v>BBD130</v>
      </c>
      <c r="B436" s="1" t="s">
        <v>1622</v>
      </c>
      <c r="C436" s="2" t="str">
        <f t="shared" si="106"/>
        <v>DIO1</v>
      </c>
      <c r="D436" s="2">
        <v>130</v>
      </c>
      <c r="E436" s="3">
        <f t="shared" si="104"/>
        <v>2</v>
      </c>
      <c r="F436" s="3">
        <f t="shared" si="105"/>
        <v>5</v>
      </c>
      <c r="G436" s="3">
        <v>0</v>
      </c>
      <c r="H436" s="55">
        <f>+H435</f>
        <v>9</v>
      </c>
      <c r="I436" s="54"/>
      <c r="J436" s="208"/>
      <c r="K436" s="2"/>
      <c r="M436" s="2"/>
      <c r="N436" s="2"/>
      <c r="R436" s="2"/>
      <c r="V436" s="1" t="str">
        <f t="shared" si="100"/>
        <v>2.5\0.9:</v>
      </c>
      <c r="AM436" s="3"/>
    </row>
    <row r="437" spans="1:39" x14ac:dyDescent="0.3">
      <c r="A437" s="5" t="str">
        <f>A436</f>
        <v>BBD130</v>
      </c>
      <c r="B437" s="1" t="s">
        <v>1622</v>
      </c>
      <c r="C437" s="2" t="str">
        <f t="shared" si="106"/>
        <v>DIO1</v>
      </c>
      <c r="D437" s="2">
        <v>130</v>
      </c>
      <c r="E437" s="3">
        <f t="shared" si="104"/>
        <v>2</v>
      </c>
      <c r="F437" s="3">
        <f t="shared" si="105"/>
        <v>5</v>
      </c>
      <c r="G437" s="3">
        <v>0</v>
      </c>
      <c r="H437" s="55">
        <f>+H436</f>
        <v>9</v>
      </c>
      <c r="I437" s="54"/>
      <c r="J437" s="208"/>
      <c r="K437" s="2"/>
      <c r="M437" s="2"/>
      <c r="N437" s="2"/>
      <c r="R437" s="2"/>
      <c r="V437" s="1" t="str">
        <f t="shared" si="100"/>
        <v>2.5\0.9:</v>
      </c>
      <c r="AM437" s="3"/>
    </row>
    <row r="438" spans="1:39" ht="13.5" thickBot="1" x14ac:dyDescent="0.35">
      <c r="A438" s="5" t="str">
        <f>A437</f>
        <v>BBD130</v>
      </c>
      <c r="B438" s="1" t="s">
        <v>1622</v>
      </c>
      <c r="C438" s="2" t="str">
        <f t="shared" si="106"/>
        <v>DIO1</v>
      </c>
      <c r="D438" s="2">
        <v>130</v>
      </c>
      <c r="E438" s="3">
        <f t="shared" si="104"/>
        <v>2</v>
      </c>
      <c r="F438" s="3">
        <f t="shared" si="105"/>
        <v>5</v>
      </c>
      <c r="G438" s="3">
        <v>0</v>
      </c>
      <c r="H438" s="55">
        <f>+H437</f>
        <v>9</v>
      </c>
      <c r="I438" s="59"/>
      <c r="J438" s="207"/>
      <c r="K438" s="2"/>
      <c r="M438" s="2"/>
      <c r="N438" s="2"/>
      <c r="R438" s="2"/>
      <c r="V438" s="1" t="str">
        <f t="shared" ref="V438:V446" si="113">+CONCATENATE(E438,".",F438,"\",G438,".",H438,":",I438)</f>
        <v>2.5\0.9:</v>
      </c>
      <c r="AM438" s="3"/>
    </row>
    <row r="439" spans="1:39" x14ac:dyDescent="0.3">
      <c r="A439" s="76" t="s">
        <v>1471</v>
      </c>
      <c r="B439" s="1" t="s">
        <v>1622</v>
      </c>
      <c r="C439" s="2" t="str">
        <f t="shared" si="106"/>
        <v>DIO1</v>
      </c>
      <c r="D439" s="2">
        <v>130</v>
      </c>
      <c r="E439" s="3">
        <f t="shared" si="104"/>
        <v>2</v>
      </c>
      <c r="F439" s="3">
        <f t="shared" si="105"/>
        <v>5</v>
      </c>
      <c r="G439" s="3">
        <v>0</v>
      </c>
      <c r="H439" s="57">
        <v>10</v>
      </c>
      <c r="I439" s="56"/>
      <c r="J439" s="209"/>
      <c r="K439" s="41" t="s">
        <v>300</v>
      </c>
      <c r="M439" s="2"/>
      <c r="N439" s="2"/>
      <c r="R439" s="2"/>
      <c r="V439" s="1" t="str">
        <f t="shared" si="113"/>
        <v>2.5\0.10:</v>
      </c>
      <c r="AM439" s="3"/>
    </row>
    <row r="440" spans="1:39" x14ac:dyDescent="0.3">
      <c r="A440" s="5" t="str">
        <f>A439</f>
        <v>BBD130</v>
      </c>
      <c r="B440" s="1" t="s">
        <v>1622</v>
      </c>
      <c r="C440" s="2" t="str">
        <f t="shared" si="106"/>
        <v>DIO1</v>
      </c>
      <c r="D440" s="2">
        <v>130</v>
      </c>
      <c r="E440" s="3">
        <f t="shared" si="104"/>
        <v>2</v>
      </c>
      <c r="F440" s="3">
        <f t="shared" si="105"/>
        <v>5</v>
      </c>
      <c r="G440" s="3">
        <v>0</v>
      </c>
      <c r="H440" s="55">
        <f>+H439</f>
        <v>10</v>
      </c>
      <c r="I440" s="54"/>
      <c r="J440" s="208"/>
      <c r="K440" s="2"/>
      <c r="M440" s="2"/>
      <c r="N440" s="2"/>
      <c r="R440" s="2"/>
      <c r="V440" s="1" t="str">
        <f t="shared" si="113"/>
        <v>2.5\0.10:</v>
      </c>
      <c r="AM440" s="3"/>
    </row>
    <row r="441" spans="1:39" x14ac:dyDescent="0.3">
      <c r="A441" s="5" t="str">
        <f>A440</f>
        <v>BBD130</v>
      </c>
      <c r="B441" s="1" t="s">
        <v>1622</v>
      </c>
      <c r="C441" s="2" t="str">
        <f t="shared" si="106"/>
        <v>DIO1</v>
      </c>
      <c r="D441" s="2">
        <v>130</v>
      </c>
      <c r="E441" s="3">
        <f t="shared" si="104"/>
        <v>2</v>
      </c>
      <c r="F441" s="3">
        <f t="shared" si="105"/>
        <v>5</v>
      </c>
      <c r="G441" s="3">
        <v>0</v>
      </c>
      <c r="H441" s="55">
        <f>+H440</f>
        <v>10</v>
      </c>
      <c r="I441" s="54"/>
      <c r="J441" s="208"/>
      <c r="K441" s="2"/>
      <c r="M441" s="2"/>
      <c r="N441" s="2"/>
      <c r="R441" s="2"/>
      <c r="V441" s="1" t="str">
        <f t="shared" si="113"/>
        <v>2.5\0.10:</v>
      </c>
      <c r="AM441" s="3"/>
    </row>
    <row r="442" spans="1:39" ht="13.5" thickBot="1" x14ac:dyDescent="0.35">
      <c r="A442" s="5" t="str">
        <f>A441</f>
        <v>BBD130</v>
      </c>
      <c r="B442" s="1" t="s">
        <v>1622</v>
      </c>
      <c r="C442" s="2" t="str">
        <f t="shared" si="106"/>
        <v>DIO1</v>
      </c>
      <c r="D442" s="2">
        <v>130</v>
      </c>
      <c r="E442" s="3">
        <f t="shared" si="104"/>
        <v>2</v>
      </c>
      <c r="F442" s="3">
        <f t="shared" si="105"/>
        <v>5</v>
      </c>
      <c r="G442" s="3">
        <v>0</v>
      </c>
      <c r="H442" s="55">
        <f>+H441</f>
        <v>10</v>
      </c>
      <c r="I442" s="59"/>
      <c r="J442" s="207"/>
      <c r="K442" s="2"/>
      <c r="M442" s="2"/>
      <c r="N442" s="2"/>
      <c r="R442" s="2"/>
      <c r="V442" s="1" t="str">
        <f t="shared" si="113"/>
        <v>2.5\0.10:</v>
      </c>
      <c r="AM442" s="3"/>
    </row>
    <row r="443" spans="1:39" x14ac:dyDescent="0.3">
      <c r="A443" s="76" t="s">
        <v>1471</v>
      </c>
      <c r="B443" s="1" t="s">
        <v>1622</v>
      </c>
      <c r="C443" s="2" t="str">
        <f t="shared" si="106"/>
        <v>DIO1</v>
      </c>
      <c r="D443" s="2">
        <v>130</v>
      </c>
      <c r="E443" s="3">
        <f t="shared" si="104"/>
        <v>2</v>
      </c>
      <c r="F443" s="3">
        <f t="shared" si="105"/>
        <v>5</v>
      </c>
      <c r="G443" s="3">
        <v>0</v>
      </c>
      <c r="H443" s="57">
        <v>11</v>
      </c>
      <c r="I443" s="56"/>
      <c r="J443" s="209"/>
      <c r="K443" s="41" t="s">
        <v>300</v>
      </c>
      <c r="M443" s="2"/>
      <c r="N443" s="2"/>
      <c r="R443" s="2"/>
      <c r="V443" s="1" t="str">
        <f t="shared" si="113"/>
        <v>2.5\0.11:</v>
      </c>
      <c r="AM443" s="3"/>
    </row>
    <row r="444" spans="1:39" x14ac:dyDescent="0.3">
      <c r="A444" s="5" t="str">
        <f>A443</f>
        <v>BBD130</v>
      </c>
      <c r="B444" s="1" t="s">
        <v>1622</v>
      </c>
      <c r="C444" s="2" t="str">
        <f t="shared" si="106"/>
        <v>DIO1</v>
      </c>
      <c r="D444" s="2">
        <v>130</v>
      </c>
      <c r="E444" s="3">
        <f t="shared" si="104"/>
        <v>2</v>
      </c>
      <c r="F444" s="3">
        <f t="shared" si="105"/>
        <v>5</v>
      </c>
      <c r="G444" s="3">
        <v>0</v>
      </c>
      <c r="H444" s="55">
        <f>+H443</f>
        <v>11</v>
      </c>
      <c r="I444" s="54"/>
      <c r="J444" s="208"/>
      <c r="K444" s="2"/>
      <c r="M444" s="2"/>
      <c r="N444" s="2"/>
      <c r="R444" s="2"/>
      <c r="V444" s="1" t="str">
        <f t="shared" si="113"/>
        <v>2.5\0.11:</v>
      </c>
      <c r="AM444" s="3"/>
    </row>
    <row r="445" spans="1:39" x14ac:dyDescent="0.3">
      <c r="A445" s="5" t="str">
        <f>A444</f>
        <v>BBD130</v>
      </c>
      <c r="B445" s="1" t="s">
        <v>1622</v>
      </c>
      <c r="C445" s="2" t="str">
        <f t="shared" si="106"/>
        <v>DIO1</v>
      </c>
      <c r="D445" s="2">
        <v>130</v>
      </c>
      <c r="E445" s="3">
        <f t="shared" si="104"/>
        <v>2</v>
      </c>
      <c r="F445" s="3">
        <f t="shared" si="105"/>
        <v>5</v>
      </c>
      <c r="G445" s="3">
        <v>0</v>
      </c>
      <c r="H445" s="55">
        <f>+H444</f>
        <v>11</v>
      </c>
      <c r="I445" s="54"/>
      <c r="J445" s="208"/>
      <c r="K445" s="2"/>
      <c r="M445" s="2"/>
      <c r="N445" s="2"/>
      <c r="R445" s="2"/>
      <c r="V445" s="1" t="str">
        <f t="shared" si="113"/>
        <v>2.5\0.11:</v>
      </c>
      <c r="AM445" s="3"/>
    </row>
    <row r="446" spans="1:39" ht="13.5" thickBot="1" x14ac:dyDescent="0.35">
      <c r="A446" s="5" t="str">
        <f>A445</f>
        <v>BBD130</v>
      </c>
      <c r="B446" s="1" t="s">
        <v>1622</v>
      </c>
      <c r="C446" s="2" t="str">
        <f t="shared" si="106"/>
        <v>DIO1</v>
      </c>
      <c r="D446" s="2">
        <v>130</v>
      </c>
      <c r="E446" s="3">
        <f t="shared" si="104"/>
        <v>2</v>
      </c>
      <c r="F446" s="3">
        <f t="shared" si="105"/>
        <v>5</v>
      </c>
      <c r="G446" s="3">
        <v>0</v>
      </c>
      <c r="H446" s="55">
        <f>+H445</f>
        <v>11</v>
      </c>
      <c r="I446" s="59"/>
      <c r="J446" s="207"/>
      <c r="K446" s="2"/>
      <c r="M446" s="2"/>
      <c r="N446" s="2"/>
      <c r="R446" s="2"/>
      <c r="V446" s="1" t="str">
        <f t="shared" si="113"/>
        <v>2.5\0.11:</v>
      </c>
      <c r="AM446" s="3"/>
    </row>
    <row r="447" spans="1:39" x14ac:dyDescent="0.3">
      <c r="B447" s="1"/>
      <c r="D447" s="2"/>
      <c r="K447" s="27"/>
      <c r="L447" s="30"/>
      <c r="O447" s="2"/>
      <c r="P447" s="2"/>
      <c r="AM447" s="3"/>
    </row>
    <row r="448" spans="1:39" ht="14.5" x14ac:dyDescent="0.35">
      <c r="A448" s="2"/>
      <c r="B448" s="2"/>
      <c r="C448" s="2"/>
      <c r="D448" s="2"/>
      <c r="E448" s="2"/>
      <c r="F448" s="27"/>
      <c r="G448" s="27"/>
      <c r="I448" s="2"/>
      <c r="J448" s="2"/>
      <c r="K448" s="30" t="s">
        <v>843</v>
      </c>
      <c r="M448" s="24">
        <v>4</v>
      </c>
      <c r="N448" s="252" t="s">
        <v>464</v>
      </c>
      <c r="O448" s="24"/>
      <c r="P448" s="252" t="s">
        <v>1621</v>
      </c>
      <c r="Q448" s="24" t="s">
        <v>1620</v>
      </c>
      <c r="R448" s="24"/>
      <c r="S448" s="24" t="s">
        <v>1617</v>
      </c>
      <c r="T448" s="24" t="s">
        <v>1610</v>
      </c>
      <c r="AG448" s="202" t="s">
        <v>539</v>
      </c>
      <c r="AH448" s="202">
        <v>1</v>
      </c>
      <c r="AI448" s="202">
        <v>2</v>
      </c>
      <c r="AJ448" s="202">
        <v>3</v>
      </c>
      <c r="AK448" s="202">
        <v>4</v>
      </c>
      <c r="AL448" s="1"/>
      <c r="AM448" s="2"/>
    </row>
    <row r="449" spans="1:39" ht="15" thickBot="1" x14ac:dyDescent="0.4">
      <c r="A449" s="2"/>
      <c r="B449" s="2"/>
      <c r="C449" s="2"/>
      <c r="D449" s="2"/>
      <c r="E449" s="2"/>
      <c r="F449" s="27"/>
      <c r="G449" s="27"/>
      <c r="I449" s="2"/>
      <c r="J449" s="2"/>
      <c r="K449" s="30" t="s">
        <v>843</v>
      </c>
      <c r="L449" s="30"/>
      <c r="M449" s="1">
        <v>4</v>
      </c>
      <c r="N449" s="40" t="s">
        <v>1619</v>
      </c>
      <c r="O449" s="2" t="s">
        <v>1035</v>
      </c>
      <c r="P449" s="40" t="s">
        <v>1618</v>
      </c>
      <c r="Q449" s="1" t="s">
        <v>1028</v>
      </c>
      <c r="S449" s="1" t="s">
        <v>1617</v>
      </c>
      <c r="T449" s="1" t="s">
        <v>466</v>
      </c>
      <c r="W449" s="1" t="s">
        <v>465</v>
      </c>
      <c r="X449" s="18">
        <v>0</v>
      </c>
      <c r="AG449" s="202" t="s">
        <v>539</v>
      </c>
      <c r="AH449" s="202">
        <v>5</v>
      </c>
      <c r="AI449" s="202">
        <v>6</v>
      </c>
      <c r="AJ449" s="202">
        <v>7</v>
      </c>
      <c r="AK449" s="202">
        <v>8</v>
      </c>
      <c r="AL449" s="1"/>
      <c r="AM449" s="2"/>
    </row>
    <row r="450" spans="1:39" ht="15" thickBot="1" x14ac:dyDescent="0.4">
      <c r="B450" s="1"/>
      <c r="D450" s="2"/>
      <c r="I450" s="74"/>
      <c r="J450" s="73"/>
      <c r="K450" s="8" t="s">
        <v>117</v>
      </c>
      <c r="L450" s="40" t="s">
        <v>1032</v>
      </c>
      <c r="M450" s="2">
        <v>4</v>
      </c>
      <c r="N450" s="40" t="s">
        <v>1616</v>
      </c>
      <c r="O450" s="2" t="s">
        <v>1035</v>
      </c>
      <c r="P450" s="40" t="s">
        <v>1614</v>
      </c>
      <c r="Q450" s="1" t="s">
        <v>1028</v>
      </c>
      <c r="R450" s="2"/>
      <c r="S450" s="1" t="s">
        <v>1457</v>
      </c>
      <c r="T450" s="1" t="s">
        <v>464</v>
      </c>
      <c r="V450" s="2"/>
      <c r="W450" s="1" t="s">
        <v>1600</v>
      </c>
      <c r="X450" s="18">
        <v>0</v>
      </c>
      <c r="AG450" s="202" t="s">
        <v>539</v>
      </c>
      <c r="AH450" s="202">
        <v>9</v>
      </c>
      <c r="AI450" s="202">
        <v>10</v>
      </c>
      <c r="AJ450" s="202">
        <v>11</v>
      </c>
      <c r="AK450" s="202">
        <v>12</v>
      </c>
      <c r="AL450" s="1"/>
      <c r="AM450" s="2"/>
    </row>
    <row r="451" spans="1:39" ht="15" thickBot="1" x14ac:dyDescent="0.4">
      <c r="B451" s="1"/>
      <c r="D451" s="2"/>
      <c r="I451" s="74"/>
      <c r="J451" s="73"/>
      <c r="K451" s="8" t="s">
        <v>117</v>
      </c>
      <c r="L451" s="40" t="s">
        <v>1032</v>
      </c>
      <c r="M451" s="1">
        <v>4</v>
      </c>
      <c r="N451" s="40" t="s">
        <v>1615</v>
      </c>
      <c r="O451" s="2" t="s">
        <v>1035</v>
      </c>
      <c r="P451" s="40" t="s">
        <v>1614</v>
      </c>
      <c r="Q451" s="1" t="s">
        <v>1028</v>
      </c>
      <c r="R451" s="2"/>
      <c r="S451" s="1" t="s">
        <v>1613</v>
      </c>
      <c r="T451" s="1" t="s">
        <v>464</v>
      </c>
      <c r="V451" s="2"/>
      <c r="W451" s="1" t="s">
        <v>1600</v>
      </c>
      <c r="X451" s="18">
        <v>0</v>
      </c>
      <c r="AG451" s="202" t="s">
        <v>539</v>
      </c>
      <c r="AH451" s="202">
        <v>13</v>
      </c>
      <c r="AI451" s="202">
        <v>14</v>
      </c>
      <c r="AJ451" s="202">
        <v>15</v>
      </c>
      <c r="AK451" s="202">
        <v>16</v>
      </c>
      <c r="AL451" s="1"/>
      <c r="AM451" s="2"/>
    </row>
    <row r="452" spans="1:39" ht="15" thickBot="1" x14ac:dyDescent="0.4">
      <c r="B452" s="1"/>
      <c r="C452" s="1"/>
      <c r="D452" s="2"/>
      <c r="E452" s="3"/>
      <c r="F452" s="3"/>
      <c r="G452" s="3"/>
      <c r="H452" s="1"/>
      <c r="I452" s="74"/>
      <c r="J452" s="73"/>
      <c r="K452" s="24" t="s">
        <v>117</v>
      </c>
      <c r="L452" s="252" t="s">
        <v>1032</v>
      </c>
      <c r="M452" s="24">
        <v>4</v>
      </c>
      <c r="N452" s="252" t="s">
        <v>1612</v>
      </c>
      <c r="O452" s="24" t="s">
        <v>1035</v>
      </c>
      <c r="P452" s="252" t="s">
        <v>1611</v>
      </c>
      <c r="Q452" s="24" t="s">
        <v>1028</v>
      </c>
      <c r="R452" s="24"/>
      <c r="S452" s="24" t="s">
        <v>494</v>
      </c>
      <c r="T452" s="24" t="s">
        <v>1610</v>
      </c>
      <c r="U452" s="24"/>
      <c r="V452" s="24"/>
      <c r="W452" s="24" t="s">
        <v>1609</v>
      </c>
      <c r="X452" s="251">
        <v>0</v>
      </c>
      <c r="AG452" s="202" t="s">
        <v>539</v>
      </c>
      <c r="AH452" s="202">
        <v>17</v>
      </c>
      <c r="AI452" s="202">
        <v>18</v>
      </c>
      <c r="AJ452" s="202">
        <v>19</v>
      </c>
      <c r="AK452" s="202">
        <v>20</v>
      </c>
      <c r="AL452" s="1"/>
      <c r="AM452" s="2"/>
    </row>
    <row r="453" spans="1:39" ht="15" thickBot="1" x14ac:dyDescent="0.4">
      <c r="B453" s="1"/>
      <c r="C453" s="1"/>
      <c r="D453" s="2"/>
      <c r="E453" s="3"/>
      <c r="F453" s="3"/>
      <c r="G453" s="3"/>
      <c r="H453" s="1"/>
      <c r="I453" s="74"/>
      <c r="J453" s="73"/>
      <c r="K453" s="1" t="s">
        <v>117</v>
      </c>
      <c r="L453" s="40" t="s">
        <v>1032</v>
      </c>
      <c r="M453" s="1">
        <v>4</v>
      </c>
      <c r="N453" s="40" t="s">
        <v>1608</v>
      </c>
      <c r="O453" s="2" t="s">
        <v>1035</v>
      </c>
      <c r="P453" s="40" t="s">
        <v>1451</v>
      </c>
      <c r="Q453" s="1" t="s">
        <v>1607</v>
      </c>
      <c r="R453" s="2"/>
      <c r="S453" s="1" t="s">
        <v>1447</v>
      </c>
      <c r="T453" s="1" t="s">
        <v>1442</v>
      </c>
      <c r="V453" s="2"/>
      <c r="W453" s="1" t="s">
        <v>1600</v>
      </c>
      <c r="X453" s="18">
        <v>0</v>
      </c>
      <c r="AG453" s="202" t="s">
        <v>539</v>
      </c>
      <c r="AH453" s="202">
        <v>21</v>
      </c>
      <c r="AI453" s="202">
        <v>22</v>
      </c>
      <c r="AJ453" s="202">
        <v>23</v>
      </c>
      <c r="AK453" s="202">
        <v>24</v>
      </c>
      <c r="AL453" s="1"/>
      <c r="AM453" s="2"/>
    </row>
    <row r="454" spans="1:39" ht="15" thickBot="1" x14ac:dyDescent="0.4">
      <c r="B454" s="1"/>
      <c r="C454" s="1"/>
      <c r="D454" s="2"/>
      <c r="E454" s="3"/>
      <c r="F454" s="3"/>
      <c r="G454" s="3"/>
      <c r="H454" s="1"/>
      <c r="I454" s="74"/>
      <c r="J454" s="73"/>
      <c r="K454" s="1" t="s">
        <v>125</v>
      </c>
      <c r="L454" s="40" t="s">
        <v>1032</v>
      </c>
      <c r="M454" s="2">
        <v>4</v>
      </c>
      <c r="N454" s="40" t="s">
        <v>1442</v>
      </c>
      <c r="O454" s="2"/>
      <c r="P454" s="40"/>
      <c r="Q454" s="1" t="s">
        <v>1444</v>
      </c>
      <c r="R454" s="2"/>
      <c r="S454" s="1" t="s">
        <v>1443</v>
      </c>
      <c r="T454" s="1" t="s">
        <v>1442</v>
      </c>
      <c r="V454" s="2"/>
      <c r="W454" s="1" t="s">
        <v>1600</v>
      </c>
      <c r="X454" s="18">
        <v>0</v>
      </c>
      <c r="AG454" s="250"/>
      <c r="AH454" s="250"/>
      <c r="AI454" s="250"/>
      <c r="AJ454" s="250"/>
      <c r="AK454" s="250"/>
      <c r="AL454" s="1"/>
      <c r="AM454" s="2"/>
    </row>
    <row r="455" spans="1:39" ht="15" thickBot="1" x14ac:dyDescent="0.4">
      <c r="B455" s="1"/>
      <c r="C455" s="1"/>
      <c r="D455" s="1"/>
      <c r="E455" s="1"/>
      <c r="F455" s="1"/>
      <c r="G455" s="1"/>
      <c r="H455" s="1"/>
      <c r="I455" s="74"/>
      <c r="J455" s="73"/>
      <c r="K455" s="1" t="s">
        <v>117</v>
      </c>
      <c r="L455" s="40" t="s">
        <v>1032</v>
      </c>
      <c r="M455" s="1">
        <v>4</v>
      </c>
      <c r="N455" s="40" t="s">
        <v>1606</v>
      </c>
      <c r="O455" s="2" t="s">
        <v>1035</v>
      </c>
      <c r="P455" s="40" t="s">
        <v>1451</v>
      </c>
      <c r="Q455" s="1" t="s">
        <v>1605</v>
      </c>
      <c r="R455" s="2"/>
      <c r="S455" s="1" t="s">
        <v>1604</v>
      </c>
      <c r="T455" s="1" t="s">
        <v>1442</v>
      </c>
      <c r="V455" s="2"/>
      <c r="W455" s="1" t="s">
        <v>1600</v>
      </c>
      <c r="X455" s="18">
        <v>0</v>
      </c>
      <c r="AG455" s="202" t="s">
        <v>539</v>
      </c>
      <c r="AH455" s="202">
        <v>25</v>
      </c>
      <c r="AI455" s="202">
        <v>26</v>
      </c>
      <c r="AJ455" s="202">
        <v>27</v>
      </c>
      <c r="AK455" s="202">
        <v>28</v>
      </c>
      <c r="AL455" s="1"/>
      <c r="AM455" s="2"/>
    </row>
    <row r="456" spans="1:39" ht="15" thickBot="1" x14ac:dyDescent="0.4">
      <c r="B456" s="1"/>
      <c r="C456" s="1"/>
      <c r="D456" s="1"/>
      <c r="E456" s="1"/>
      <c r="F456" s="1"/>
      <c r="G456" s="1"/>
      <c r="H456" s="1"/>
      <c r="I456" s="74"/>
      <c r="J456" s="73"/>
      <c r="K456" s="1" t="s">
        <v>125</v>
      </c>
      <c r="L456" s="40" t="s">
        <v>1032</v>
      </c>
      <c r="M456" s="2">
        <v>4</v>
      </c>
      <c r="N456" s="40" t="s">
        <v>1442</v>
      </c>
      <c r="O456" s="2"/>
      <c r="P456" s="40"/>
      <c r="Q456" s="1" t="s">
        <v>1444</v>
      </c>
      <c r="R456" s="2"/>
      <c r="S456" s="1" t="s">
        <v>1603</v>
      </c>
      <c r="T456" s="1" t="s">
        <v>1442</v>
      </c>
      <c r="V456" s="2"/>
      <c r="W456" s="1" t="s">
        <v>1600</v>
      </c>
      <c r="X456" s="18">
        <v>0</v>
      </c>
      <c r="AG456" s="250"/>
      <c r="AH456" s="250"/>
      <c r="AI456" s="250"/>
      <c r="AJ456" s="250"/>
      <c r="AK456" s="250"/>
      <c r="AL456" s="1"/>
      <c r="AM456" s="2"/>
    </row>
    <row r="457" spans="1:39" ht="14.5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30" t="s">
        <v>843</v>
      </c>
      <c r="M457" s="1">
        <v>4</v>
      </c>
      <c r="O457" s="2"/>
      <c r="P457" s="40" t="s">
        <v>1448</v>
      </c>
      <c r="Q457" s="1" t="s">
        <v>1444</v>
      </c>
      <c r="R457" s="2" t="s">
        <v>369</v>
      </c>
      <c r="S457" s="1" t="s">
        <v>1033</v>
      </c>
      <c r="T457" s="1" t="s">
        <v>1442</v>
      </c>
      <c r="V457" s="2"/>
      <c r="W457" s="1" t="s">
        <v>1600</v>
      </c>
      <c r="X457" s="18">
        <v>0</v>
      </c>
      <c r="AG457" s="202" t="s">
        <v>539</v>
      </c>
      <c r="AH457" s="202">
        <v>29</v>
      </c>
      <c r="AI457" s="202">
        <v>30</v>
      </c>
      <c r="AJ457" s="202">
        <v>31</v>
      </c>
      <c r="AK457" s="202">
        <v>32</v>
      </c>
      <c r="AL457" s="1"/>
      <c r="AM457" s="2"/>
    </row>
    <row r="458" spans="1:39" ht="14.5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30" t="s">
        <v>843</v>
      </c>
      <c r="M458" s="2">
        <v>4</v>
      </c>
      <c r="N458" s="2"/>
      <c r="O458" s="2"/>
      <c r="P458" s="40" t="s">
        <v>1602</v>
      </c>
      <c r="Q458" s="1" t="s">
        <v>1444</v>
      </c>
      <c r="R458" s="2" t="s">
        <v>369</v>
      </c>
      <c r="S458" s="1" t="s">
        <v>1601</v>
      </c>
      <c r="T458" s="1" t="s">
        <v>1442</v>
      </c>
      <c r="V458" s="2"/>
      <c r="W458" s="1" t="s">
        <v>1600</v>
      </c>
      <c r="X458" s="18">
        <v>0</v>
      </c>
      <c r="AG458" s="202" t="s">
        <v>539</v>
      </c>
      <c r="AH458" s="202">
        <v>33</v>
      </c>
      <c r="AI458" s="202">
        <v>34</v>
      </c>
      <c r="AJ458" s="202">
        <v>35</v>
      </c>
      <c r="AK458" s="202">
        <v>36</v>
      </c>
      <c r="AL458" s="1"/>
      <c r="AM458" s="2"/>
    </row>
    <row r="459" spans="1:39" ht="14.5" x14ac:dyDescent="0.35">
      <c r="B459" s="1"/>
      <c r="C459" s="1"/>
      <c r="D459" s="1"/>
      <c r="E459" s="1"/>
      <c r="F459" s="1"/>
      <c r="G459" s="1"/>
      <c r="H459" s="1"/>
      <c r="I459" s="1"/>
      <c r="J459" s="1"/>
      <c r="M459" s="2"/>
      <c r="N459" s="2"/>
      <c r="O459" s="2"/>
      <c r="P459" s="2"/>
      <c r="R459" s="2"/>
      <c r="V459" s="2"/>
      <c r="AG459" s="202" t="s">
        <v>539</v>
      </c>
      <c r="AH459" s="202">
        <v>37</v>
      </c>
      <c r="AI459" s="202">
        <v>38</v>
      </c>
      <c r="AJ459" s="202">
        <v>39</v>
      </c>
      <c r="AK459" s="202">
        <v>40</v>
      </c>
      <c r="AL459" s="1"/>
      <c r="AM459" s="2"/>
    </row>
    <row r="460" spans="1:39" ht="14.5" x14ac:dyDescent="0.35">
      <c r="B460" s="1"/>
      <c r="C460" s="1"/>
      <c r="D460" s="1"/>
      <c r="E460" s="1"/>
      <c r="F460" s="1"/>
      <c r="G460" s="1"/>
      <c r="H460" s="1"/>
      <c r="I460" s="1"/>
      <c r="J460" s="1"/>
      <c r="M460" s="2"/>
      <c r="N460" s="2"/>
      <c r="O460" s="2"/>
      <c r="P460" s="2"/>
      <c r="Q460" s="2"/>
      <c r="R460" s="2"/>
      <c r="V460" s="2"/>
      <c r="AG460" s="202" t="s">
        <v>539</v>
      </c>
      <c r="AH460" s="202">
        <v>41</v>
      </c>
      <c r="AI460" s="202">
        <v>42</v>
      </c>
      <c r="AJ460" s="202">
        <v>43</v>
      </c>
      <c r="AK460" s="202">
        <v>44</v>
      </c>
      <c r="AL460" s="1"/>
      <c r="AM460" s="2"/>
    </row>
    <row r="461" spans="1:39" ht="14.5" x14ac:dyDescent="0.35">
      <c r="B461" s="1"/>
      <c r="C461" s="1"/>
      <c r="D461" s="1"/>
      <c r="E461" s="1"/>
      <c r="F461" s="1"/>
      <c r="G461" s="1"/>
      <c r="H461" s="1"/>
      <c r="I461" s="1"/>
      <c r="J461" s="1"/>
      <c r="AB461" s="7"/>
      <c r="AG461" s="202" t="s">
        <v>539</v>
      </c>
      <c r="AH461" s="202">
        <v>45</v>
      </c>
      <c r="AI461" s="202">
        <v>46</v>
      </c>
      <c r="AJ461" s="202">
        <v>47</v>
      </c>
      <c r="AK461" s="202">
        <v>48</v>
      </c>
      <c r="AL461" s="1"/>
      <c r="AM461" s="2"/>
    </row>
    <row r="462" spans="1:39" s="2" customFormat="1" ht="12.5" x14ac:dyDescent="0.25">
      <c r="S462" s="1"/>
      <c r="T462" s="1"/>
      <c r="U462" s="1"/>
      <c r="W462" s="1"/>
      <c r="X462" s="18"/>
      <c r="Y462" s="1"/>
      <c r="Z462" s="201"/>
      <c r="AA462" s="20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9" s="2" customFormat="1" ht="12.5" x14ac:dyDescent="0.25">
      <c r="S463" s="1"/>
      <c r="T463" s="1"/>
      <c r="U463" s="1"/>
      <c r="W463" s="1"/>
      <c r="X463" s="18"/>
      <c r="Y463" s="1"/>
      <c r="Z463" s="201"/>
      <c r="AA463" s="20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9" x14ac:dyDescent="0.3">
      <c r="B464" s="1"/>
      <c r="C464" s="1"/>
      <c r="D464" s="1"/>
      <c r="E464" s="1"/>
      <c r="F464" s="1"/>
      <c r="G464" s="1"/>
      <c r="H464" s="1"/>
      <c r="I464" s="1"/>
      <c r="J464" s="1"/>
      <c r="AB464" s="7"/>
      <c r="AL464" s="1"/>
      <c r="AM464" s="2"/>
    </row>
    <row r="465" spans="1:51" s="6" customFormat="1" ht="15.5" x14ac:dyDescent="0.35">
      <c r="A465" s="71"/>
      <c r="B465" s="53" t="s">
        <v>1599</v>
      </c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226"/>
      <c r="T465" s="226"/>
      <c r="U465" s="226"/>
      <c r="V465" s="71"/>
      <c r="W465" s="226"/>
      <c r="X465" s="227"/>
      <c r="Y465" s="226"/>
      <c r="Z465" s="225"/>
      <c r="AA465" s="225"/>
      <c r="AB465" s="7"/>
      <c r="AC465" s="7"/>
      <c r="AD465" s="7"/>
      <c r="AE465" s="7"/>
      <c r="AF465" s="7"/>
      <c r="AG465" s="8"/>
      <c r="AH465" s="8"/>
      <c r="AI465" s="8"/>
      <c r="AJ465" s="8"/>
      <c r="AK465" s="8"/>
      <c r="AL465" s="200"/>
      <c r="AM465" s="50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</row>
    <row r="466" spans="1:51" s="6" customFormat="1" ht="13.5" thickBo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S466" s="1"/>
      <c r="T466" s="1"/>
      <c r="U466" s="1"/>
      <c r="W466" s="1"/>
      <c r="X466" s="18"/>
      <c r="Y466" s="7"/>
      <c r="Z466" s="225"/>
      <c r="AA466" s="225"/>
      <c r="AB466" s="7"/>
      <c r="AC466" s="7"/>
      <c r="AD466" s="7"/>
      <c r="AE466" s="7"/>
      <c r="AF466" s="7"/>
      <c r="AG466" s="8"/>
      <c r="AH466" s="8"/>
      <c r="AI466" s="8"/>
      <c r="AJ466" s="8"/>
      <c r="AK466" s="8"/>
      <c r="AL466" s="200"/>
      <c r="AM466" s="50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</row>
    <row r="467" spans="1:51" ht="13.5" thickBot="1" x14ac:dyDescent="0.35">
      <c r="A467" s="31" t="s">
        <v>1598</v>
      </c>
      <c r="B467" s="1" t="s">
        <v>1470</v>
      </c>
      <c r="C467" s="2" t="s">
        <v>459</v>
      </c>
      <c r="D467" s="2">
        <v>130</v>
      </c>
      <c r="E467" s="3">
        <v>2</v>
      </c>
      <c r="F467" s="3">
        <v>6</v>
      </c>
      <c r="G467" s="3">
        <v>0</v>
      </c>
      <c r="H467" s="62"/>
      <c r="I467" s="263"/>
      <c r="J467" s="264"/>
      <c r="K467" s="2"/>
      <c r="L467" s="6"/>
      <c r="M467" s="6"/>
      <c r="N467" s="6"/>
      <c r="O467" s="6"/>
      <c r="P467" s="6"/>
      <c r="Q467" s="6"/>
      <c r="R467" s="6"/>
      <c r="V467" s="6"/>
      <c r="Y467" s="7"/>
      <c r="Z467" s="206"/>
      <c r="AA467" s="206"/>
      <c r="AB467" s="7"/>
      <c r="AC467" s="7"/>
      <c r="AD467" s="7"/>
      <c r="AE467" s="7"/>
      <c r="AF467" s="7"/>
    </row>
    <row r="468" spans="1:51" ht="13.5" thickBot="1" x14ac:dyDescent="0.35">
      <c r="A468" s="76" t="s">
        <v>1471</v>
      </c>
      <c r="B468" s="1" t="s">
        <v>1470</v>
      </c>
      <c r="C468" s="2" t="str">
        <f t="shared" ref="C468:C499" si="114">+C467</f>
        <v>DIO1</v>
      </c>
      <c r="D468" s="2">
        <v>130</v>
      </c>
      <c r="E468" s="3">
        <f t="shared" ref="E468:E499" si="115">+E467</f>
        <v>2</v>
      </c>
      <c r="F468" s="3">
        <f t="shared" ref="F468:F499" si="116">+F467</f>
        <v>6</v>
      </c>
      <c r="G468" s="3">
        <v>0</v>
      </c>
      <c r="H468" s="6"/>
      <c r="I468" s="263" t="s">
        <v>458</v>
      </c>
      <c r="J468" s="265"/>
      <c r="K468" s="1" t="s">
        <v>457</v>
      </c>
      <c r="L468" s="6"/>
      <c r="M468" s="6"/>
      <c r="N468" s="6"/>
      <c r="O468" s="6"/>
      <c r="P468" s="6"/>
      <c r="Q468" s="6"/>
      <c r="R468" s="6"/>
      <c r="V468" s="6"/>
      <c r="Y468" s="7"/>
      <c r="Z468" s="206"/>
      <c r="AA468" s="206"/>
      <c r="AC468" s="7"/>
      <c r="AD468" s="7"/>
      <c r="AE468" s="7"/>
      <c r="AF468" s="7"/>
    </row>
    <row r="469" spans="1:51" ht="13.5" thickBot="1" x14ac:dyDescent="0.35">
      <c r="A469" s="76" t="s">
        <v>1471</v>
      </c>
      <c r="B469" s="1" t="s">
        <v>1470</v>
      </c>
      <c r="C469" s="2" t="str">
        <f t="shared" si="114"/>
        <v>DIO1</v>
      </c>
      <c r="D469" s="2">
        <v>130</v>
      </c>
      <c r="E469" s="3">
        <f t="shared" si="115"/>
        <v>2</v>
      </c>
      <c r="F469" s="3">
        <f t="shared" si="116"/>
        <v>6</v>
      </c>
      <c r="G469" s="3">
        <v>0</v>
      </c>
      <c r="H469" s="6"/>
      <c r="I469" s="263" t="s">
        <v>456</v>
      </c>
      <c r="J469" s="265"/>
      <c r="K469" s="2" t="s">
        <v>455</v>
      </c>
      <c r="L469" s="6"/>
      <c r="M469" s="70" t="s">
        <v>454</v>
      </c>
      <c r="N469" s="70"/>
      <c r="O469" s="70" t="s">
        <v>453</v>
      </c>
      <c r="P469" s="70"/>
      <c r="Q469" s="70" t="s">
        <v>452</v>
      </c>
      <c r="R469" s="6"/>
      <c r="V469" s="6"/>
      <c r="Y469" s="8" t="s">
        <v>1597</v>
      </c>
      <c r="Z469" s="249"/>
      <c r="AA469" s="249"/>
      <c r="AC469" s="7"/>
      <c r="AD469" s="7"/>
      <c r="AE469" s="7"/>
    </row>
    <row r="470" spans="1:51" ht="13.5" thickBot="1" x14ac:dyDescent="0.35">
      <c r="A470" s="76" t="s">
        <v>1471</v>
      </c>
      <c r="B470" s="1" t="s">
        <v>1470</v>
      </c>
      <c r="C470" s="2" t="str">
        <f t="shared" si="114"/>
        <v>DIO1</v>
      </c>
      <c r="D470" s="2">
        <v>130</v>
      </c>
      <c r="E470" s="3">
        <f t="shared" si="115"/>
        <v>2</v>
      </c>
      <c r="F470" s="3">
        <f t="shared" si="116"/>
        <v>6</v>
      </c>
      <c r="G470" s="3">
        <v>0</v>
      </c>
      <c r="H470" s="27">
        <v>0</v>
      </c>
      <c r="I470" s="263" t="s">
        <v>451</v>
      </c>
      <c r="J470" s="264"/>
      <c r="K470" s="1" t="s">
        <v>450</v>
      </c>
      <c r="L470" s="14" t="s">
        <v>1020</v>
      </c>
      <c r="M470" s="70">
        <f>+COUNTA(L471:L614)</f>
        <v>120</v>
      </c>
      <c r="N470" s="70"/>
      <c r="O470" s="70">
        <f>+COUNTBLANK(O471:O614)</f>
        <v>71</v>
      </c>
      <c r="P470" s="70"/>
      <c r="Q470" s="69">
        <f>+O470/M470</f>
        <v>0.59166666666666667</v>
      </c>
      <c r="Y470" s="7" t="s">
        <v>1596</v>
      </c>
      <c r="Z470" s="206"/>
      <c r="AA470" s="206"/>
      <c r="AC470" s="7"/>
      <c r="AD470" s="7"/>
      <c r="AE470" s="7"/>
    </row>
    <row r="471" spans="1:51" x14ac:dyDescent="0.3">
      <c r="A471" s="76" t="s">
        <v>1471</v>
      </c>
      <c r="B471" s="1" t="s">
        <v>1470</v>
      </c>
      <c r="C471" s="2" t="str">
        <f t="shared" si="114"/>
        <v>DIO1</v>
      </c>
      <c r="D471" s="2">
        <v>130</v>
      </c>
      <c r="E471" s="3">
        <f t="shared" si="115"/>
        <v>2</v>
      </c>
      <c r="F471" s="3">
        <f t="shared" si="116"/>
        <v>6</v>
      </c>
      <c r="G471" s="3">
        <v>0</v>
      </c>
      <c r="H471" s="62">
        <v>1</v>
      </c>
      <c r="I471" s="56">
        <v>0</v>
      </c>
      <c r="J471" s="61" t="s">
        <v>316</v>
      </c>
      <c r="K471" s="2" t="s">
        <v>315</v>
      </c>
      <c r="L471" s="1" t="s">
        <v>21</v>
      </c>
      <c r="M471" s="2">
        <v>4</v>
      </c>
      <c r="N471" s="1" t="s">
        <v>1583</v>
      </c>
      <c r="O471" s="1" t="s">
        <v>72</v>
      </c>
      <c r="P471" s="1" t="s">
        <v>1595</v>
      </c>
      <c r="Q471" s="13" t="s">
        <v>950</v>
      </c>
      <c r="R471" s="2" t="s">
        <v>24</v>
      </c>
      <c r="S471" s="13" t="s">
        <v>1219</v>
      </c>
      <c r="T471" s="12" t="s">
        <v>1583</v>
      </c>
      <c r="U471" s="12"/>
      <c r="V471" s="1" t="str">
        <f t="shared" ref="V471:V502" si="117">+CONCATENATE(E471,".",F471,"\",G471,".",H471,":",I471)</f>
        <v>2.6\0.1:0</v>
      </c>
      <c r="W471" s="1" t="s">
        <v>1582</v>
      </c>
      <c r="X471" s="18">
        <v>0</v>
      </c>
      <c r="Y471" s="7"/>
      <c r="Z471" s="206" t="s">
        <v>1198</v>
      </c>
      <c r="AA471" s="206"/>
      <c r="AB471" s="7"/>
      <c r="AC471" s="7"/>
      <c r="AD471" s="7"/>
      <c r="AE471" s="7"/>
      <c r="AG471" s="3" t="s">
        <v>768</v>
      </c>
      <c r="AH471" s="3"/>
      <c r="AI471" s="3">
        <v>1</v>
      </c>
      <c r="AJ471" s="205"/>
      <c r="AM471" s="3"/>
    </row>
    <row r="472" spans="1:51" x14ac:dyDescent="0.3">
      <c r="A472" s="76" t="s">
        <v>1471</v>
      </c>
      <c r="B472" s="1" t="s">
        <v>1470</v>
      </c>
      <c r="C472" s="2" t="str">
        <f t="shared" si="114"/>
        <v>DIO1</v>
      </c>
      <c r="D472" s="2">
        <v>130</v>
      </c>
      <c r="E472" s="3">
        <f t="shared" si="115"/>
        <v>2</v>
      </c>
      <c r="F472" s="3">
        <f t="shared" si="116"/>
        <v>6</v>
      </c>
      <c r="G472" s="3">
        <v>0</v>
      </c>
      <c r="H472" s="60">
        <f>H471</f>
        <v>1</v>
      </c>
      <c r="I472" s="54">
        <f t="shared" ref="I472:I502" si="118">+I471+1</f>
        <v>1</v>
      </c>
      <c r="J472" s="61"/>
      <c r="L472" s="1" t="s">
        <v>21</v>
      </c>
      <c r="M472" s="2">
        <v>4</v>
      </c>
      <c r="N472" s="1" t="s">
        <v>1583</v>
      </c>
      <c r="O472" s="12" t="s">
        <v>320</v>
      </c>
      <c r="P472" s="12" t="s">
        <v>1594</v>
      </c>
      <c r="Q472" s="13" t="s">
        <v>1218</v>
      </c>
      <c r="R472" s="12" t="s">
        <v>18</v>
      </c>
      <c r="S472" s="13" t="s">
        <v>1217</v>
      </c>
      <c r="T472" s="12" t="s">
        <v>1583</v>
      </c>
      <c r="U472" s="12"/>
      <c r="V472" s="1" t="str">
        <f t="shared" si="117"/>
        <v>2.6\0.1:1</v>
      </c>
      <c r="W472" s="1" t="s">
        <v>1582</v>
      </c>
      <c r="X472" s="18">
        <v>0</v>
      </c>
      <c r="Y472" s="7"/>
      <c r="Z472" s="206" t="s">
        <v>1198</v>
      </c>
      <c r="AA472" s="206"/>
      <c r="AB472" s="7"/>
      <c r="AC472" s="7"/>
      <c r="AD472" s="7"/>
      <c r="AE472" s="7"/>
      <c r="AG472" s="3" t="s">
        <v>768</v>
      </c>
      <c r="AH472" s="3"/>
      <c r="AI472" s="3">
        <v>2</v>
      </c>
      <c r="AJ472" s="205"/>
      <c r="AL472" s="242"/>
      <c r="AM472" s="3"/>
    </row>
    <row r="473" spans="1:51" x14ac:dyDescent="0.3">
      <c r="A473" s="5" t="str">
        <f t="shared" ref="A473:A502" si="119">A472</f>
        <v>BBD130</v>
      </c>
      <c r="B473" s="1" t="s">
        <v>1470</v>
      </c>
      <c r="C473" s="2" t="str">
        <f t="shared" si="114"/>
        <v>DIO1</v>
      </c>
      <c r="D473" s="2">
        <v>130</v>
      </c>
      <c r="E473" s="3">
        <f t="shared" si="115"/>
        <v>2</v>
      </c>
      <c r="F473" s="3">
        <f t="shared" si="116"/>
        <v>6</v>
      </c>
      <c r="G473" s="3">
        <v>0</v>
      </c>
      <c r="H473" s="60">
        <f>H471</f>
        <v>1</v>
      </c>
      <c r="I473" s="54">
        <f t="shared" si="118"/>
        <v>2</v>
      </c>
      <c r="J473" s="61"/>
      <c r="K473" s="30"/>
      <c r="L473" s="1" t="s">
        <v>21</v>
      </c>
      <c r="M473" s="2">
        <v>4</v>
      </c>
      <c r="N473" s="1" t="s">
        <v>1583</v>
      </c>
      <c r="O473" s="12" t="s">
        <v>350</v>
      </c>
      <c r="P473" s="12" t="s">
        <v>1593</v>
      </c>
      <c r="Q473" s="13" t="s">
        <v>1216</v>
      </c>
      <c r="R473" s="12" t="s">
        <v>18</v>
      </c>
      <c r="S473" s="13" t="s">
        <v>1215</v>
      </c>
      <c r="T473" s="12" t="s">
        <v>1583</v>
      </c>
      <c r="U473" s="12"/>
      <c r="V473" s="1" t="str">
        <f t="shared" si="117"/>
        <v>2.6\0.1:2</v>
      </c>
      <c r="W473" s="1" t="s">
        <v>1582</v>
      </c>
      <c r="X473" s="18">
        <v>0</v>
      </c>
      <c r="Y473" s="7"/>
      <c r="Z473" s="206" t="s">
        <v>1198</v>
      </c>
      <c r="AA473" s="206"/>
      <c r="AB473" s="7"/>
      <c r="AC473" s="7"/>
      <c r="AD473" s="7"/>
      <c r="AE473" s="7"/>
      <c r="AG473" s="3" t="s">
        <v>768</v>
      </c>
      <c r="AH473" s="3"/>
      <c r="AI473" s="3">
        <v>3</v>
      </c>
      <c r="AJ473" s="205"/>
      <c r="AL473" s="242"/>
      <c r="AM473" s="3"/>
    </row>
    <row r="474" spans="1:51" x14ac:dyDescent="0.3">
      <c r="A474" s="5" t="str">
        <f t="shared" si="119"/>
        <v>BBD130</v>
      </c>
      <c r="B474" s="1" t="s">
        <v>1470</v>
      </c>
      <c r="C474" s="2" t="str">
        <f t="shared" si="114"/>
        <v>DIO1</v>
      </c>
      <c r="D474" s="2">
        <v>130</v>
      </c>
      <c r="E474" s="3">
        <f t="shared" si="115"/>
        <v>2</v>
      </c>
      <c r="F474" s="3">
        <f t="shared" si="116"/>
        <v>6</v>
      </c>
      <c r="G474" s="3">
        <v>0</v>
      </c>
      <c r="H474" s="60">
        <f t="shared" ref="H474:H485" si="120">H471</f>
        <v>1</v>
      </c>
      <c r="I474" s="54">
        <f t="shared" si="118"/>
        <v>3</v>
      </c>
      <c r="J474" s="61"/>
      <c r="K474" s="30"/>
      <c r="L474" s="1" t="s">
        <v>21</v>
      </c>
      <c r="M474" s="2">
        <v>4</v>
      </c>
      <c r="N474" s="1" t="s">
        <v>1583</v>
      </c>
      <c r="O474" s="12" t="s">
        <v>348</v>
      </c>
      <c r="P474" s="12" t="s">
        <v>1592</v>
      </c>
      <c r="Q474" s="13" t="s">
        <v>1214</v>
      </c>
      <c r="R474" s="12" t="s">
        <v>18</v>
      </c>
      <c r="S474" s="13" t="s">
        <v>1213</v>
      </c>
      <c r="T474" s="12" t="s">
        <v>1583</v>
      </c>
      <c r="U474" s="12"/>
      <c r="V474" s="1" t="str">
        <f t="shared" si="117"/>
        <v>2.6\0.1:3</v>
      </c>
      <c r="W474" s="1" t="s">
        <v>1582</v>
      </c>
      <c r="X474" s="18">
        <v>0</v>
      </c>
      <c r="Y474" s="7"/>
      <c r="Z474" s="206" t="s">
        <v>1198</v>
      </c>
      <c r="AA474" s="206"/>
      <c r="AB474" s="7"/>
      <c r="AC474" s="7"/>
      <c r="AD474" s="7"/>
      <c r="AE474" s="7"/>
      <c r="AG474" s="3" t="s">
        <v>768</v>
      </c>
      <c r="AH474" s="3"/>
      <c r="AI474" s="3">
        <v>4</v>
      </c>
      <c r="AJ474" s="205"/>
      <c r="AL474" s="242"/>
      <c r="AM474" s="3"/>
    </row>
    <row r="475" spans="1:51" x14ac:dyDescent="0.3">
      <c r="A475" s="5" t="str">
        <f t="shared" si="119"/>
        <v>BBD130</v>
      </c>
      <c r="B475" s="1" t="s">
        <v>1470</v>
      </c>
      <c r="C475" s="2" t="str">
        <f t="shared" si="114"/>
        <v>DIO1</v>
      </c>
      <c r="D475" s="2">
        <v>130</v>
      </c>
      <c r="E475" s="3">
        <f t="shared" si="115"/>
        <v>2</v>
      </c>
      <c r="F475" s="3">
        <f t="shared" si="116"/>
        <v>6</v>
      </c>
      <c r="G475" s="3">
        <v>0</v>
      </c>
      <c r="H475" s="60">
        <f t="shared" si="120"/>
        <v>1</v>
      </c>
      <c r="I475" s="54">
        <f t="shared" si="118"/>
        <v>4</v>
      </c>
      <c r="J475" s="61"/>
      <c r="K475" s="30"/>
      <c r="L475" s="1" t="s">
        <v>21</v>
      </c>
      <c r="M475" s="2">
        <v>4</v>
      </c>
      <c r="N475" s="1" t="s">
        <v>1583</v>
      </c>
      <c r="O475" s="12" t="s">
        <v>345</v>
      </c>
      <c r="P475" s="12" t="s">
        <v>1591</v>
      </c>
      <c r="Q475" s="13" t="s">
        <v>1212</v>
      </c>
      <c r="R475" s="12" t="s">
        <v>18</v>
      </c>
      <c r="S475" s="13" t="s">
        <v>1211</v>
      </c>
      <c r="T475" s="12" t="s">
        <v>1583</v>
      </c>
      <c r="U475" s="12"/>
      <c r="V475" s="1" t="str">
        <f t="shared" si="117"/>
        <v>2.6\0.1:4</v>
      </c>
      <c r="W475" s="1" t="s">
        <v>1582</v>
      </c>
      <c r="X475" s="18">
        <v>0</v>
      </c>
      <c r="Y475" s="7"/>
      <c r="Z475" s="206" t="s">
        <v>1198</v>
      </c>
      <c r="AA475" s="206"/>
      <c r="AB475" s="7"/>
      <c r="AC475" s="7"/>
      <c r="AD475" s="7"/>
      <c r="AE475" s="7"/>
      <c r="AG475" s="3" t="s">
        <v>768</v>
      </c>
      <c r="AH475" s="3"/>
      <c r="AI475" s="3">
        <v>5</v>
      </c>
      <c r="AJ475" s="205"/>
      <c r="AM475" s="3"/>
    </row>
    <row r="476" spans="1:51" x14ac:dyDescent="0.3">
      <c r="A476" s="5" t="str">
        <f t="shared" si="119"/>
        <v>BBD130</v>
      </c>
      <c r="B476" s="1" t="s">
        <v>1470</v>
      </c>
      <c r="C476" s="2" t="str">
        <f t="shared" si="114"/>
        <v>DIO1</v>
      </c>
      <c r="D476" s="2">
        <v>130</v>
      </c>
      <c r="E476" s="3">
        <f t="shared" si="115"/>
        <v>2</v>
      </c>
      <c r="F476" s="3">
        <f t="shared" si="116"/>
        <v>6</v>
      </c>
      <c r="G476" s="3">
        <v>0</v>
      </c>
      <c r="H476" s="60">
        <f t="shared" si="120"/>
        <v>1</v>
      </c>
      <c r="I476" s="54">
        <f t="shared" si="118"/>
        <v>5</v>
      </c>
      <c r="J476" s="61"/>
      <c r="K476" s="30"/>
      <c r="L476" s="1" t="s">
        <v>21</v>
      </c>
      <c r="M476" s="2">
        <v>4</v>
      </c>
      <c r="N476" s="1" t="s">
        <v>1583</v>
      </c>
      <c r="O476" s="12" t="s">
        <v>342</v>
      </c>
      <c r="P476" s="12" t="s">
        <v>1590</v>
      </c>
      <c r="Q476" s="13" t="s">
        <v>1589</v>
      </c>
      <c r="R476" s="12" t="s">
        <v>18</v>
      </c>
      <c r="S476" s="13" t="s">
        <v>1008</v>
      </c>
      <c r="T476" s="12" t="s">
        <v>1583</v>
      </c>
      <c r="U476" s="12"/>
      <c r="V476" s="1" t="str">
        <f t="shared" si="117"/>
        <v>2.6\0.1:5</v>
      </c>
      <c r="W476" s="1" t="s">
        <v>1582</v>
      </c>
      <c r="X476" s="18">
        <v>0</v>
      </c>
      <c r="Y476" s="7"/>
      <c r="Z476" s="206" t="s">
        <v>1198</v>
      </c>
      <c r="AA476" s="206"/>
      <c r="AB476" s="7"/>
      <c r="AC476" s="7"/>
      <c r="AD476" s="7"/>
      <c r="AE476" s="7"/>
      <c r="AG476" s="3" t="s">
        <v>768</v>
      </c>
      <c r="AH476" s="3"/>
      <c r="AI476" s="3">
        <v>6</v>
      </c>
      <c r="AJ476" s="205"/>
      <c r="AM476" s="3"/>
    </row>
    <row r="477" spans="1:51" x14ac:dyDescent="0.3">
      <c r="A477" s="5" t="str">
        <f t="shared" si="119"/>
        <v>BBD130</v>
      </c>
      <c r="B477" s="1" t="s">
        <v>1470</v>
      </c>
      <c r="C477" s="2" t="str">
        <f t="shared" si="114"/>
        <v>DIO1</v>
      </c>
      <c r="D477" s="2">
        <v>130</v>
      </c>
      <c r="E477" s="3">
        <f t="shared" si="115"/>
        <v>2</v>
      </c>
      <c r="F477" s="3">
        <f t="shared" si="116"/>
        <v>6</v>
      </c>
      <c r="G477" s="3">
        <v>0</v>
      </c>
      <c r="H477" s="60">
        <f t="shared" si="120"/>
        <v>1</v>
      </c>
      <c r="I477" s="54">
        <f t="shared" si="118"/>
        <v>6</v>
      </c>
      <c r="J477" s="61"/>
      <c r="K477" s="30"/>
      <c r="L477" s="1" t="s">
        <v>21</v>
      </c>
      <c r="M477" s="2">
        <v>4</v>
      </c>
      <c r="N477" s="1" t="s">
        <v>1583</v>
      </c>
      <c r="O477" s="12" t="s">
        <v>339</v>
      </c>
      <c r="P477" s="12" t="s">
        <v>1588</v>
      </c>
      <c r="Q477" s="13" t="s">
        <v>1587</v>
      </c>
      <c r="R477" s="12" t="s">
        <v>18</v>
      </c>
      <c r="S477" s="13" t="s">
        <v>1207</v>
      </c>
      <c r="T477" s="12" t="s">
        <v>1583</v>
      </c>
      <c r="U477" s="12"/>
      <c r="V477" s="1" t="str">
        <f t="shared" si="117"/>
        <v>2.6\0.1:6</v>
      </c>
      <c r="W477" s="1" t="s">
        <v>1582</v>
      </c>
      <c r="X477" s="18">
        <v>0</v>
      </c>
      <c r="Y477" s="7"/>
      <c r="Z477" s="206" t="s">
        <v>1198</v>
      </c>
      <c r="AA477" s="206"/>
      <c r="AB477" s="7"/>
      <c r="AC477" s="7"/>
      <c r="AD477" s="7"/>
      <c r="AE477" s="7"/>
      <c r="AG477" s="3" t="s">
        <v>768</v>
      </c>
      <c r="AH477" s="3"/>
      <c r="AI477" s="3">
        <v>7</v>
      </c>
      <c r="AJ477" s="205"/>
      <c r="AM477" s="3"/>
    </row>
    <row r="478" spans="1:51" x14ac:dyDescent="0.3">
      <c r="A478" s="5" t="str">
        <f t="shared" si="119"/>
        <v>BBD130</v>
      </c>
      <c r="B478" s="1" t="s">
        <v>1470</v>
      </c>
      <c r="C478" s="2" t="str">
        <f t="shared" si="114"/>
        <v>DIO1</v>
      </c>
      <c r="D478" s="2">
        <v>130</v>
      </c>
      <c r="E478" s="3">
        <f t="shared" si="115"/>
        <v>2</v>
      </c>
      <c r="F478" s="3">
        <f t="shared" si="116"/>
        <v>6</v>
      </c>
      <c r="G478" s="3">
        <v>0</v>
      </c>
      <c r="H478" s="60">
        <f t="shared" si="120"/>
        <v>1</v>
      </c>
      <c r="I478" s="54">
        <f t="shared" si="118"/>
        <v>7</v>
      </c>
      <c r="J478" s="61"/>
      <c r="K478" s="30"/>
      <c r="L478" s="1" t="s">
        <v>21</v>
      </c>
      <c r="M478" s="2">
        <v>4</v>
      </c>
      <c r="N478" s="1" t="s">
        <v>1583</v>
      </c>
      <c r="O478" s="12" t="s">
        <v>336</v>
      </c>
      <c r="P478" s="12" t="s">
        <v>1586</v>
      </c>
      <c r="Q478" s="13" t="s">
        <v>1585</v>
      </c>
      <c r="R478" s="12" t="s">
        <v>18</v>
      </c>
      <c r="S478" s="13" t="s">
        <v>661</v>
      </c>
      <c r="T478" s="12" t="s">
        <v>1583</v>
      </c>
      <c r="U478" s="12"/>
      <c r="V478" s="1" t="str">
        <f t="shared" si="117"/>
        <v>2.6\0.1:7</v>
      </c>
      <c r="W478" s="1" t="s">
        <v>1582</v>
      </c>
      <c r="X478" s="18">
        <v>0</v>
      </c>
      <c r="Y478" s="7"/>
      <c r="Z478" s="206" t="s">
        <v>1198</v>
      </c>
      <c r="AA478" s="206"/>
      <c r="AB478" s="7"/>
      <c r="AC478" s="7"/>
      <c r="AD478" s="7"/>
      <c r="AE478" s="7"/>
      <c r="AG478" s="3" t="s">
        <v>768</v>
      </c>
      <c r="AH478" s="3"/>
      <c r="AI478" s="3">
        <v>8</v>
      </c>
      <c r="AJ478" s="205"/>
      <c r="AM478" s="3"/>
    </row>
    <row r="479" spans="1:51" x14ac:dyDescent="0.3">
      <c r="A479" s="5" t="str">
        <f t="shared" si="119"/>
        <v>BBD130</v>
      </c>
      <c r="B479" s="1" t="s">
        <v>1470</v>
      </c>
      <c r="C479" s="2" t="str">
        <f t="shared" si="114"/>
        <v>DIO1</v>
      </c>
      <c r="D479" s="2">
        <v>130</v>
      </c>
      <c r="E479" s="3">
        <f t="shared" si="115"/>
        <v>2</v>
      </c>
      <c r="F479" s="3">
        <f t="shared" si="116"/>
        <v>6</v>
      </c>
      <c r="G479" s="3">
        <v>0</v>
      </c>
      <c r="H479" s="60">
        <f t="shared" si="120"/>
        <v>1</v>
      </c>
      <c r="I479" s="54">
        <f t="shared" si="118"/>
        <v>8</v>
      </c>
      <c r="J479" s="61"/>
      <c r="K479" s="30"/>
      <c r="L479" s="1" t="s">
        <v>21</v>
      </c>
      <c r="M479" s="2">
        <v>4</v>
      </c>
      <c r="N479" s="1" t="s">
        <v>1583</v>
      </c>
      <c r="O479" s="12" t="s">
        <v>334</v>
      </c>
      <c r="P479" s="12" t="s">
        <v>1584</v>
      </c>
      <c r="Q479" s="13" t="s">
        <v>1002</v>
      </c>
      <c r="R479" s="12" t="s">
        <v>18</v>
      </c>
      <c r="S479" s="13" t="s">
        <v>1003</v>
      </c>
      <c r="T479" s="12" t="s">
        <v>1583</v>
      </c>
      <c r="U479" s="12"/>
      <c r="V479" s="1" t="str">
        <f t="shared" si="117"/>
        <v>2.6\0.1:8</v>
      </c>
      <c r="W479" s="1" t="s">
        <v>1582</v>
      </c>
      <c r="X479" s="18">
        <v>0</v>
      </c>
      <c r="Y479" s="7"/>
      <c r="Z479" s="206" t="s">
        <v>1198</v>
      </c>
      <c r="AA479" s="206"/>
      <c r="AB479" s="7"/>
      <c r="AC479" s="7"/>
      <c r="AD479" s="7"/>
      <c r="AE479" s="7"/>
      <c r="AG479" s="3" t="s">
        <v>768</v>
      </c>
      <c r="AH479" s="3"/>
      <c r="AI479" s="3">
        <v>9</v>
      </c>
      <c r="AJ479" s="205"/>
      <c r="AM479" s="3"/>
    </row>
    <row r="480" spans="1:51" x14ac:dyDescent="0.3">
      <c r="A480" s="5" t="str">
        <f t="shared" si="119"/>
        <v>BBD130</v>
      </c>
      <c r="B480" s="1" t="s">
        <v>1470</v>
      </c>
      <c r="C480" s="2" t="str">
        <f t="shared" si="114"/>
        <v>DIO1</v>
      </c>
      <c r="D480" s="2">
        <v>130</v>
      </c>
      <c r="E480" s="3">
        <f t="shared" si="115"/>
        <v>2</v>
      </c>
      <c r="F480" s="3">
        <f t="shared" si="116"/>
        <v>6</v>
      </c>
      <c r="G480" s="3">
        <v>0</v>
      </c>
      <c r="H480" s="60">
        <f t="shared" si="120"/>
        <v>1</v>
      </c>
      <c r="I480" s="54">
        <f t="shared" si="118"/>
        <v>9</v>
      </c>
      <c r="J480" s="61"/>
      <c r="K480" s="30"/>
      <c r="L480" s="1" t="s">
        <v>21</v>
      </c>
      <c r="M480" s="2">
        <v>4</v>
      </c>
      <c r="N480" s="1" t="s">
        <v>1583</v>
      </c>
      <c r="O480" s="12" t="s">
        <v>332</v>
      </c>
      <c r="P480" s="12" t="s">
        <v>1584</v>
      </c>
      <c r="Q480" s="13" t="s">
        <v>1002</v>
      </c>
      <c r="R480" s="12" t="s">
        <v>18</v>
      </c>
      <c r="S480" s="13" t="s">
        <v>1202</v>
      </c>
      <c r="T480" s="12" t="s">
        <v>1583</v>
      </c>
      <c r="U480" s="12"/>
      <c r="V480" s="1" t="str">
        <f t="shared" si="117"/>
        <v>2.6\0.1:9</v>
      </c>
      <c r="W480" s="1" t="s">
        <v>1582</v>
      </c>
      <c r="X480" s="18">
        <v>0</v>
      </c>
      <c r="Y480" s="7"/>
      <c r="Z480" s="206" t="s">
        <v>1198</v>
      </c>
      <c r="AA480" s="206"/>
      <c r="AB480" s="7"/>
      <c r="AC480" s="7"/>
      <c r="AD480" s="7"/>
      <c r="AE480" s="7"/>
      <c r="AG480" s="3" t="s">
        <v>768</v>
      </c>
      <c r="AH480" s="3"/>
      <c r="AI480" s="3">
        <v>10</v>
      </c>
      <c r="AJ480" s="205"/>
      <c r="AM480" s="3"/>
    </row>
    <row r="481" spans="1:39" x14ac:dyDescent="0.3">
      <c r="A481" s="5" t="str">
        <f t="shared" si="119"/>
        <v>BBD130</v>
      </c>
      <c r="B481" s="1" t="s">
        <v>1470</v>
      </c>
      <c r="C481" s="2" t="str">
        <f t="shared" si="114"/>
        <v>DIO1</v>
      </c>
      <c r="D481" s="2">
        <v>130</v>
      </c>
      <c r="E481" s="3">
        <f t="shared" si="115"/>
        <v>2</v>
      </c>
      <c r="F481" s="3">
        <f t="shared" si="116"/>
        <v>6</v>
      </c>
      <c r="G481" s="3">
        <v>0</v>
      </c>
      <c r="H481" s="60">
        <f t="shared" si="120"/>
        <v>1</v>
      </c>
      <c r="I481" s="54">
        <f t="shared" si="118"/>
        <v>10</v>
      </c>
      <c r="J481" s="61"/>
      <c r="K481" s="30"/>
      <c r="L481" s="1" t="s">
        <v>21</v>
      </c>
      <c r="M481" s="2">
        <v>4</v>
      </c>
      <c r="N481" s="1" t="s">
        <v>1583</v>
      </c>
      <c r="O481" s="12" t="s">
        <v>330</v>
      </c>
      <c r="P481" s="12" t="s">
        <v>1584</v>
      </c>
      <c r="Q481" s="13" t="s">
        <v>1002</v>
      </c>
      <c r="R481" s="12" t="s">
        <v>18</v>
      </c>
      <c r="S481" s="13" t="s">
        <v>1201</v>
      </c>
      <c r="T481" s="12" t="s">
        <v>1583</v>
      </c>
      <c r="V481" s="1" t="str">
        <f t="shared" si="117"/>
        <v>2.6\0.1:10</v>
      </c>
      <c r="W481" s="1" t="s">
        <v>1582</v>
      </c>
      <c r="X481" s="18">
        <v>0</v>
      </c>
      <c r="Y481" s="7"/>
      <c r="Z481" s="206" t="s">
        <v>1198</v>
      </c>
      <c r="AA481" s="206"/>
      <c r="AB481" s="7"/>
      <c r="AC481" s="7"/>
      <c r="AD481" s="7"/>
      <c r="AE481" s="7"/>
      <c r="AG481" s="3" t="s">
        <v>768</v>
      </c>
      <c r="AH481" s="3"/>
      <c r="AI481" s="3">
        <v>11</v>
      </c>
      <c r="AJ481" s="205"/>
      <c r="AM481" s="3"/>
    </row>
    <row r="482" spans="1:39" x14ac:dyDescent="0.3">
      <c r="A482" s="5" t="str">
        <f t="shared" si="119"/>
        <v>BBD130</v>
      </c>
      <c r="B482" s="1" t="s">
        <v>1470</v>
      </c>
      <c r="C482" s="2" t="str">
        <f t="shared" si="114"/>
        <v>DIO1</v>
      </c>
      <c r="D482" s="2">
        <v>130</v>
      </c>
      <c r="E482" s="3">
        <f t="shared" si="115"/>
        <v>2</v>
      </c>
      <c r="F482" s="3">
        <f t="shared" si="116"/>
        <v>6</v>
      </c>
      <c r="G482" s="3">
        <v>0</v>
      </c>
      <c r="H482" s="60">
        <f t="shared" si="120"/>
        <v>1</v>
      </c>
      <c r="I482" s="54">
        <f t="shared" si="118"/>
        <v>11</v>
      </c>
      <c r="J482" s="61"/>
      <c r="K482" s="30"/>
      <c r="L482" s="1" t="s">
        <v>21</v>
      </c>
      <c r="M482" s="2">
        <v>4</v>
      </c>
      <c r="N482" s="1" t="s">
        <v>1583</v>
      </c>
      <c r="O482" s="12" t="s">
        <v>328</v>
      </c>
      <c r="P482" s="12" t="s">
        <v>1584</v>
      </c>
      <c r="Q482" s="13" t="s">
        <v>1002</v>
      </c>
      <c r="R482" s="12" t="s">
        <v>18</v>
      </c>
      <c r="S482" s="13" t="s">
        <v>1200</v>
      </c>
      <c r="T482" s="12" t="s">
        <v>1583</v>
      </c>
      <c r="V482" s="1" t="str">
        <f t="shared" si="117"/>
        <v>2.6\0.1:11</v>
      </c>
      <c r="W482" s="1" t="s">
        <v>1582</v>
      </c>
      <c r="X482" s="18">
        <v>0</v>
      </c>
      <c r="Y482" s="7"/>
      <c r="Z482" s="206" t="s">
        <v>1198</v>
      </c>
      <c r="AA482" s="206"/>
      <c r="AB482" s="7"/>
      <c r="AC482" s="7"/>
      <c r="AD482" s="7"/>
      <c r="AE482" s="7"/>
      <c r="AG482" s="3" t="s">
        <v>768</v>
      </c>
      <c r="AH482" s="3"/>
      <c r="AI482" s="3">
        <v>12</v>
      </c>
      <c r="AJ482" s="205"/>
      <c r="AM482" s="3"/>
    </row>
    <row r="483" spans="1:39" x14ac:dyDescent="0.3">
      <c r="A483" s="5" t="str">
        <f t="shared" si="119"/>
        <v>BBD130</v>
      </c>
      <c r="B483" s="1" t="s">
        <v>1470</v>
      </c>
      <c r="C483" s="2" t="str">
        <f t="shared" si="114"/>
        <v>DIO1</v>
      </c>
      <c r="D483" s="2">
        <v>130</v>
      </c>
      <c r="E483" s="3">
        <f t="shared" si="115"/>
        <v>2</v>
      </c>
      <c r="F483" s="3">
        <f t="shared" si="116"/>
        <v>6</v>
      </c>
      <c r="G483" s="3">
        <v>0</v>
      </c>
      <c r="H483" s="60">
        <f t="shared" si="120"/>
        <v>1</v>
      </c>
      <c r="I483" s="54">
        <f t="shared" si="118"/>
        <v>12</v>
      </c>
      <c r="J483" s="61"/>
      <c r="K483" s="30"/>
      <c r="L483" s="1" t="s">
        <v>21</v>
      </c>
      <c r="M483" s="2"/>
      <c r="N483" s="40"/>
      <c r="O483" s="12"/>
      <c r="P483" s="239"/>
      <c r="Q483" s="1" t="s">
        <v>302</v>
      </c>
      <c r="R483" s="12" t="s">
        <v>302</v>
      </c>
      <c r="V483" s="1" t="str">
        <f t="shared" si="117"/>
        <v>2.6\0.1:12</v>
      </c>
      <c r="Y483" s="7"/>
      <c r="Z483" s="206" t="s">
        <v>1062</v>
      </c>
      <c r="AA483" s="206"/>
      <c r="AB483" s="7"/>
      <c r="AC483" s="7"/>
      <c r="AD483" s="7"/>
      <c r="AE483" s="7"/>
      <c r="AG483" s="3" t="s">
        <v>768</v>
      </c>
      <c r="AH483" s="3"/>
      <c r="AI483" s="3">
        <v>13</v>
      </c>
      <c r="AJ483" s="205"/>
      <c r="AM483" s="3"/>
    </row>
    <row r="484" spans="1:39" x14ac:dyDescent="0.3">
      <c r="A484" s="5" t="str">
        <f t="shared" si="119"/>
        <v>BBD130</v>
      </c>
      <c r="B484" s="1" t="s">
        <v>1470</v>
      </c>
      <c r="C484" s="2" t="str">
        <f t="shared" si="114"/>
        <v>DIO1</v>
      </c>
      <c r="D484" s="2">
        <v>130</v>
      </c>
      <c r="E484" s="3">
        <f t="shared" si="115"/>
        <v>2</v>
      </c>
      <c r="F484" s="3">
        <f t="shared" si="116"/>
        <v>6</v>
      </c>
      <c r="G484" s="3">
        <v>0</v>
      </c>
      <c r="H484" s="60">
        <f t="shared" si="120"/>
        <v>1</v>
      </c>
      <c r="I484" s="54">
        <f t="shared" si="118"/>
        <v>13</v>
      </c>
      <c r="J484" s="61"/>
      <c r="K484" s="30"/>
      <c r="L484" s="1" t="s">
        <v>21</v>
      </c>
      <c r="M484" s="2"/>
      <c r="N484" s="40"/>
      <c r="O484" s="12"/>
      <c r="P484" s="239"/>
      <c r="Q484" s="1" t="s">
        <v>302</v>
      </c>
      <c r="R484" s="12" t="s">
        <v>302</v>
      </c>
      <c r="V484" s="1" t="str">
        <f t="shared" si="117"/>
        <v>2.6\0.1:13</v>
      </c>
      <c r="Y484" s="7"/>
      <c r="Z484" s="206" t="s">
        <v>1062</v>
      </c>
      <c r="AA484" s="206"/>
      <c r="AB484" s="7"/>
      <c r="AC484" s="7"/>
      <c r="AD484" s="7"/>
      <c r="AE484" s="7"/>
      <c r="AG484" s="3" t="s">
        <v>768</v>
      </c>
      <c r="AH484" s="3"/>
      <c r="AI484" s="3">
        <v>14</v>
      </c>
      <c r="AJ484" s="205"/>
      <c r="AM484" s="3"/>
    </row>
    <row r="485" spans="1:39" x14ac:dyDescent="0.3">
      <c r="A485" s="5" t="str">
        <f t="shared" si="119"/>
        <v>BBD130</v>
      </c>
      <c r="B485" s="1" t="s">
        <v>1470</v>
      </c>
      <c r="C485" s="2" t="str">
        <f t="shared" si="114"/>
        <v>DIO1</v>
      </c>
      <c r="D485" s="2">
        <v>130</v>
      </c>
      <c r="E485" s="3">
        <f t="shared" si="115"/>
        <v>2</v>
      </c>
      <c r="F485" s="3">
        <f t="shared" si="116"/>
        <v>6</v>
      </c>
      <c r="G485" s="3">
        <v>0</v>
      </c>
      <c r="H485" s="60">
        <f t="shared" si="120"/>
        <v>1</v>
      </c>
      <c r="I485" s="54">
        <f t="shared" si="118"/>
        <v>14</v>
      </c>
      <c r="J485" s="61"/>
      <c r="K485" s="30"/>
      <c r="L485" s="1" t="s">
        <v>21</v>
      </c>
      <c r="M485" s="2"/>
      <c r="N485" s="40"/>
      <c r="O485" s="12"/>
      <c r="P485" s="239"/>
      <c r="Q485" s="1" t="s">
        <v>302</v>
      </c>
      <c r="R485" s="12" t="s">
        <v>302</v>
      </c>
      <c r="V485" s="1" t="str">
        <f t="shared" si="117"/>
        <v>2.6\0.1:14</v>
      </c>
      <c r="Y485" s="7"/>
      <c r="Z485" s="206" t="s">
        <v>1062</v>
      </c>
      <c r="AA485" s="206"/>
      <c r="AB485" s="7"/>
      <c r="AC485" s="7"/>
      <c r="AD485" s="7"/>
      <c r="AE485" s="7"/>
      <c r="AG485" s="3" t="s">
        <v>768</v>
      </c>
      <c r="AH485" s="3"/>
      <c r="AI485" s="3">
        <v>15</v>
      </c>
      <c r="AJ485" s="205"/>
      <c r="AM485" s="3"/>
    </row>
    <row r="486" spans="1:39" x14ac:dyDescent="0.3">
      <c r="A486" s="5" t="str">
        <f t="shared" si="119"/>
        <v>BBD130</v>
      </c>
      <c r="B486" s="1" t="s">
        <v>1470</v>
      </c>
      <c r="C486" s="2" t="str">
        <f t="shared" si="114"/>
        <v>DIO1</v>
      </c>
      <c r="D486" s="2">
        <v>130</v>
      </c>
      <c r="E486" s="3">
        <f t="shared" si="115"/>
        <v>2</v>
      </c>
      <c r="F486" s="3">
        <f t="shared" si="116"/>
        <v>6</v>
      </c>
      <c r="G486" s="3">
        <v>0</v>
      </c>
      <c r="H486" s="60">
        <f t="shared" ref="H486:H502" si="121">H482</f>
        <v>1</v>
      </c>
      <c r="I486" s="54">
        <f t="shared" si="118"/>
        <v>15</v>
      </c>
      <c r="J486" s="61"/>
      <c r="K486" s="30"/>
      <c r="L486" s="1" t="s">
        <v>21</v>
      </c>
      <c r="M486" s="2"/>
      <c r="N486" s="40"/>
      <c r="O486" s="12"/>
      <c r="P486" s="239"/>
      <c r="Q486" s="2" t="s">
        <v>302</v>
      </c>
      <c r="R486" s="12" t="s">
        <v>302</v>
      </c>
      <c r="V486" s="1" t="str">
        <f t="shared" si="117"/>
        <v>2.6\0.1:15</v>
      </c>
      <c r="Y486" s="7"/>
      <c r="Z486" s="206" t="s">
        <v>1062</v>
      </c>
      <c r="AA486" s="206"/>
      <c r="AB486" s="7"/>
      <c r="AC486" s="7"/>
      <c r="AD486" s="7"/>
      <c r="AE486" s="7"/>
      <c r="AG486" s="3" t="s">
        <v>768</v>
      </c>
      <c r="AH486" s="3"/>
      <c r="AI486" s="3">
        <v>16</v>
      </c>
      <c r="AJ486" s="205"/>
      <c r="AM486" s="3"/>
    </row>
    <row r="487" spans="1:39" x14ac:dyDescent="0.3">
      <c r="A487" s="5" t="str">
        <f t="shared" si="119"/>
        <v>BBD130</v>
      </c>
      <c r="B487" s="1" t="s">
        <v>1470</v>
      </c>
      <c r="C487" s="2" t="str">
        <f t="shared" si="114"/>
        <v>DIO1</v>
      </c>
      <c r="D487" s="2">
        <v>130</v>
      </c>
      <c r="E487" s="3">
        <f t="shared" si="115"/>
        <v>2</v>
      </c>
      <c r="F487" s="3">
        <f t="shared" si="116"/>
        <v>6</v>
      </c>
      <c r="G487" s="3">
        <v>0</v>
      </c>
      <c r="H487" s="60">
        <f t="shared" si="121"/>
        <v>1</v>
      </c>
      <c r="I487" s="54">
        <f t="shared" si="118"/>
        <v>16</v>
      </c>
      <c r="J487" s="61"/>
      <c r="L487" s="1" t="s">
        <v>21</v>
      </c>
      <c r="M487" s="2">
        <v>4</v>
      </c>
      <c r="N487" s="1" t="s">
        <v>1467</v>
      </c>
      <c r="O487" s="41" t="s">
        <v>962</v>
      </c>
      <c r="P487" s="41" t="s">
        <v>1466</v>
      </c>
      <c r="Q487" s="41" t="s">
        <v>963</v>
      </c>
      <c r="R487" s="41" t="s">
        <v>46</v>
      </c>
      <c r="S487" s="13" t="s">
        <v>962</v>
      </c>
      <c r="T487" s="1" t="s">
        <v>474</v>
      </c>
      <c r="V487" s="1" t="str">
        <f t="shared" si="117"/>
        <v>2.6\0.1:16</v>
      </c>
      <c r="W487" s="1" t="s">
        <v>475</v>
      </c>
      <c r="X487" s="18">
        <v>0</v>
      </c>
      <c r="Y487" s="7"/>
      <c r="Z487" s="206" t="s">
        <v>1062</v>
      </c>
      <c r="AA487" s="206"/>
      <c r="AB487" s="7"/>
      <c r="AC487" s="7"/>
      <c r="AD487" s="7"/>
      <c r="AE487" s="7"/>
      <c r="AG487" s="3" t="s">
        <v>768</v>
      </c>
      <c r="AH487" s="3">
        <v>17</v>
      </c>
      <c r="AI487" s="3">
        <v>18</v>
      </c>
      <c r="AJ487" s="205"/>
      <c r="AM487" s="3"/>
    </row>
    <row r="488" spans="1:39" x14ac:dyDescent="0.3">
      <c r="A488" s="5" t="str">
        <f t="shared" si="119"/>
        <v>BBD130</v>
      </c>
      <c r="B488" s="1" t="s">
        <v>1470</v>
      </c>
      <c r="C488" s="2" t="str">
        <f t="shared" si="114"/>
        <v>DIO1</v>
      </c>
      <c r="D488" s="2">
        <v>130</v>
      </c>
      <c r="E488" s="3">
        <f t="shared" si="115"/>
        <v>2</v>
      </c>
      <c r="F488" s="3">
        <f t="shared" si="116"/>
        <v>6</v>
      </c>
      <c r="G488" s="3">
        <v>0</v>
      </c>
      <c r="H488" s="60">
        <f t="shared" si="121"/>
        <v>1</v>
      </c>
      <c r="I488" s="54">
        <f t="shared" si="118"/>
        <v>17</v>
      </c>
      <c r="J488" s="61"/>
      <c r="K488" s="30"/>
      <c r="L488" s="1" t="s">
        <v>21</v>
      </c>
      <c r="M488" s="2">
        <v>4</v>
      </c>
      <c r="N488" s="1" t="s">
        <v>1467</v>
      </c>
      <c r="O488" s="41" t="s">
        <v>959</v>
      </c>
      <c r="P488" s="41" t="s">
        <v>1466</v>
      </c>
      <c r="Q488" s="41" t="s">
        <v>960</v>
      </c>
      <c r="R488" s="41" t="s">
        <v>46</v>
      </c>
      <c r="S488" s="13" t="s">
        <v>959</v>
      </c>
      <c r="T488" s="1" t="s">
        <v>474</v>
      </c>
      <c r="V488" s="1" t="str">
        <f t="shared" si="117"/>
        <v>2.6\0.1:17</v>
      </c>
      <c r="W488" s="1" t="s">
        <v>475</v>
      </c>
      <c r="X488" s="18">
        <v>0</v>
      </c>
      <c r="Y488" s="7"/>
      <c r="Z488" s="206" t="s">
        <v>1062</v>
      </c>
      <c r="AA488" s="206"/>
      <c r="AB488" s="7"/>
      <c r="AC488" s="7"/>
      <c r="AD488" s="7"/>
      <c r="AE488" s="7"/>
      <c r="AG488" s="3" t="s">
        <v>768</v>
      </c>
      <c r="AH488" s="3">
        <v>19</v>
      </c>
      <c r="AI488" s="3">
        <v>20</v>
      </c>
      <c r="AJ488" s="205"/>
      <c r="AM488" s="3"/>
    </row>
    <row r="489" spans="1:39" x14ac:dyDescent="0.3">
      <c r="A489" s="5" t="str">
        <f t="shared" si="119"/>
        <v>BBD130</v>
      </c>
      <c r="B489" s="1" t="s">
        <v>1470</v>
      </c>
      <c r="C489" s="2" t="str">
        <f t="shared" si="114"/>
        <v>DIO1</v>
      </c>
      <c r="D489" s="2">
        <v>130</v>
      </c>
      <c r="E489" s="3">
        <f t="shared" si="115"/>
        <v>2</v>
      </c>
      <c r="F489" s="3">
        <f t="shared" si="116"/>
        <v>6</v>
      </c>
      <c r="G489" s="3">
        <v>0</v>
      </c>
      <c r="H489" s="60">
        <f t="shared" si="121"/>
        <v>1</v>
      </c>
      <c r="I489" s="54">
        <f t="shared" si="118"/>
        <v>18</v>
      </c>
      <c r="J489" s="61"/>
      <c r="K489" s="30"/>
      <c r="L489" s="1" t="s">
        <v>21</v>
      </c>
      <c r="M489" s="2"/>
      <c r="Q489" s="1" t="s">
        <v>302</v>
      </c>
      <c r="R489" s="1" t="s">
        <v>302</v>
      </c>
      <c r="S489" s="13"/>
      <c r="V489" s="1" t="str">
        <f t="shared" si="117"/>
        <v>2.6\0.1:18</v>
      </c>
      <c r="Y489" s="7"/>
      <c r="Z489" s="206" t="s">
        <v>1062</v>
      </c>
      <c r="AA489" s="206"/>
      <c r="AB489" s="7"/>
      <c r="AC489" s="7"/>
      <c r="AD489" s="7"/>
      <c r="AE489" s="7"/>
      <c r="AG489" s="3" t="s">
        <v>768</v>
      </c>
      <c r="AH489" s="3">
        <v>21</v>
      </c>
      <c r="AI489" s="3">
        <v>22</v>
      </c>
      <c r="AJ489" s="205"/>
      <c r="AM489" s="3"/>
    </row>
    <row r="490" spans="1:39" x14ac:dyDescent="0.3">
      <c r="A490" s="5" t="str">
        <f t="shared" si="119"/>
        <v>BBD130</v>
      </c>
      <c r="B490" s="1" t="s">
        <v>1470</v>
      </c>
      <c r="C490" s="2" t="str">
        <f t="shared" si="114"/>
        <v>DIO1</v>
      </c>
      <c r="D490" s="2">
        <v>130</v>
      </c>
      <c r="E490" s="3">
        <f t="shared" si="115"/>
        <v>2</v>
      </c>
      <c r="F490" s="3">
        <f t="shared" si="116"/>
        <v>6</v>
      </c>
      <c r="G490" s="3">
        <v>0</v>
      </c>
      <c r="H490" s="60">
        <f t="shared" si="121"/>
        <v>1</v>
      </c>
      <c r="I490" s="54">
        <f t="shared" si="118"/>
        <v>19</v>
      </c>
      <c r="J490" s="61"/>
      <c r="K490" s="30"/>
      <c r="L490" s="1" t="s">
        <v>21</v>
      </c>
      <c r="M490" s="2">
        <v>4</v>
      </c>
      <c r="N490" s="1" t="s">
        <v>1581</v>
      </c>
      <c r="O490" s="1" t="s">
        <v>994</v>
      </c>
      <c r="P490" s="1" t="s">
        <v>1578</v>
      </c>
      <c r="Q490" s="41" t="s">
        <v>1577</v>
      </c>
      <c r="R490" s="1" t="s">
        <v>1147</v>
      </c>
      <c r="S490" s="13"/>
      <c r="T490" s="1" t="s">
        <v>1576</v>
      </c>
      <c r="V490" s="1" t="str">
        <f t="shared" si="117"/>
        <v>2.6\0.1:19</v>
      </c>
      <c r="W490" s="1" t="s">
        <v>1500</v>
      </c>
      <c r="X490" s="18">
        <v>0</v>
      </c>
      <c r="Y490" s="7"/>
      <c r="Z490" s="206" t="s">
        <v>1062</v>
      </c>
      <c r="AA490" s="206"/>
      <c r="AB490" s="7"/>
      <c r="AC490" s="7"/>
      <c r="AD490" s="7"/>
      <c r="AE490" s="7"/>
      <c r="AG490" s="3" t="s">
        <v>768</v>
      </c>
      <c r="AH490" s="3">
        <v>23</v>
      </c>
      <c r="AI490" s="3">
        <v>24</v>
      </c>
      <c r="AJ490" s="205"/>
      <c r="AM490" s="3"/>
    </row>
    <row r="491" spans="1:39" x14ac:dyDescent="0.3">
      <c r="A491" s="5" t="str">
        <f t="shared" si="119"/>
        <v>BBD130</v>
      </c>
      <c r="B491" s="1" t="s">
        <v>1470</v>
      </c>
      <c r="C491" s="2" t="str">
        <f t="shared" si="114"/>
        <v>DIO1</v>
      </c>
      <c r="D491" s="2">
        <v>130</v>
      </c>
      <c r="E491" s="3">
        <f t="shared" si="115"/>
        <v>2</v>
      </c>
      <c r="F491" s="3">
        <f t="shared" si="116"/>
        <v>6</v>
      </c>
      <c r="G491" s="3">
        <v>0</v>
      </c>
      <c r="H491" s="60">
        <f t="shared" si="121"/>
        <v>1</v>
      </c>
      <c r="I491" s="54">
        <f t="shared" si="118"/>
        <v>20</v>
      </c>
      <c r="J491" s="61"/>
      <c r="K491" s="30"/>
      <c r="L491" s="1" t="s">
        <v>21</v>
      </c>
      <c r="M491" s="2">
        <v>4</v>
      </c>
      <c r="N491" s="1" t="s">
        <v>1580</v>
      </c>
      <c r="O491" s="1" t="s">
        <v>1579</v>
      </c>
      <c r="P491" s="1" t="s">
        <v>1578</v>
      </c>
      <c r="Q491" s="41" t="s">
        <v>1577</v>
      </c>
      <c r="R491" s="1" t="s">
        <v>1151</v>
      </c>
      <c r="S491" s="13"/>
      <c r="T491" s="1" t="s">
        <v>1576</v>
      </c>
      <c r="V491" s="1" t="str">
        <f t="shared" si="117"/>
        <v>2.6\0.1:20</v>
      </c>
      <c r="W491" s="1" t="s">
        <v>1500</v>
      </c>
      <c r="X491" s="18">
        <v>0</v>
      </c>
      <c r="Y491" s="7"/>
      <c r="Z491" s="206" t="s">
        <v>1062</v>
      </c>
      <c r="AA491" s="206"/>
      <c r="AB491" s="7"/>
      <c r="AC491" s="7"/>
      <c r="AD491" s="7"/>
      <c r="AE491" s="7"/>
      <c r="AG491" s="3" t="s">
        <v>768</v>
      </c>
      <c r="AH491" s="3">
        <v>25</v>
      </c>
      <c r="AI491" s="3">
        <v>26</v>
      </c>
      <c r="AJ491" s="205"/>
      <c r="AM491" s="3"/>
    </row>
    <row r="492" spans="1:39" x14ac:dyDescent="0.3">
      <c r="A492" s="5" t="str">
        <f t="shared" si="119"/>
        <v>BBD130</v>
      </c>
      <c r="B492" s="1" t="s">
        <v>1470</v>
      </c>
      <c r="C492" s="2" t="str">
        <f t="shared" si="114"/>
        <v>DIO1</v>
      </c>
      <c r="D492" s="2">
        <v>130</v>
      </c>
      <c r="E492" s="3">
        <f t="shared" si="115"/>
        <v>2</v>
      </c>
      <c r="F492" s="3">
        <f t="shared" si="116"/>
        <v>6</v>
      </c>
      <c r="G492" s="3">
        <v>0</v>
      </c>
      <c r="H492" s="60">
        <f t="shared" si="121"/>
        <v>1</v>
      </c>
      <c r="I492" s="54">
        <f t="shared" si="118"/>
        <v>21</v>
      </c>
      <c r="J492" s="61"/>
      <c r="K492" s="30"/>
      <c r="L492" s="1" t="s">
        <v>21</v>
      </c>
      <c r="M492" s="2">
        <v>4</v>
      </c>
      <c r="N492" s="1" t="s">
        <v>1465</v>
      </c>
      <c r="O492" s="1" t="s">
        <v>962</v>
      </c>
      <c r="P492" s="1" t="s">
        <v>1464</v>
      </c>
      <c r="Q492" s="1" t="s">
        <v>963</v>
      </c>
      <c r="R492" s="1" t="s">
        <v>46</v>
      </c>
      <c r="S492" s="13" t="s">
        <v>962</v>
      </c>
      <c r="T492" s="1" t="s">
        <v>473</v>
      </c>
      <c r="V492" s="1" t="str">
        <f t="shared" si="117"/>
        <v>2.6\0.1:21</v>
      </c>
      <c r="W492" s="1" t="s">
        <v>472</v>
      </c>
      <c r="X492" s="18">
        <v>0</v>
      </c>
      <c r="Y492" s="7"/>
      <c r="Z492" s="206" t="s">
        <v>1062</v>
      </c>
      <c r="AA492" s="206"/>
      <c r="AB492" s="7"/>
      <c r="AC492" s="7"/>
      <c r="AD492" s="7"/>
      <c r="AE492" s="7"/>
      <c r="AG492" s="3" t="s">
        <v>768</v>
      </c>
      <c r="AH492" s="3">
        <v>27</v>
      </c>
      <c r="AI492" s="3">
        <v>28</v>
      </c>
      <c r="AJ492" s="205"/>
      <c r="AM492" s="3"/>
    </row>
    <row r="493" spans="1:39" x14ac:dyDescent="0.3">
      <c r="A493" s="5" t="str">
        <f t="shared" si="119"/>
        <v>BBD130</v>
      </c>
      <c r="B493" s="1" t="s">
        <v>1470</v>
      </c>
      <c r="C493" s="2" t="str">
        <f t="shared" si="114"/>
        <v>DIO1</v>
      </c>
      <c r="D493" s="2">
        <v>130</v>
      </c>
      <c r="E493" s="3">
        <f t="shared" si="115"/>
        <v>2</v>
      </c>
      <c r="F493" s="3">
        <f t="shared" si="116"/>
        <v>6</v>
      </c>
      <c r="G493" s="3">
        <v>0</v>
      </c>
      <c r="H493" s="60">
        <f t="shared" si="121"/>
        <v>1</v>
      </c>
      <c r="I493" s="54">
        <f t="shared" si="118"/>
        <v>22</v>
      </c>
      <c r="J493" s="61"/>
      <c r="K493" s="30"/>
      <c r="L493" s="1" t="s">
        <v>21</v>
      </c>
      <c r="M493" s="2">
        <v>4</v>
      </c>
      <c r="N493" s="1" t="s">
        <v>1465</v>
      </c>
      <c r="O493" s="1" t="s">
        <v>959</v>
      </c>
      <c r="P493" s="1" t="s">
        <v>1464</v>
      </c>
      <c r="Q493" s="41" t="s">
        <v>960</v>
      </c>
      <c r="R493" s="1" t="s">
        <v>46</v>
      </c>
      <c r="S493" s="13" t="s">
        <v>959</v>
      </c>
      <c r="T493" s="1" t="s">
        <v>473</v>
      </c>
      <c r="V493" s="1" t="str">
        <f t="shared" si="117"/>
        <v>2.6\0.1:22</v>
      </c>
      <c r="W493" s="1" t="s">
        <v>472</v>
      </c>
      <c r="X493" s="18">
        <v>0</v>
      </c>
      <c r="Y493" s="7"/>
      <c r="Z493" s="206" t="s">
        <v>1062</v>
      </c>
      <c r="AA493" s="206"/>
      <c r="AB493" s="7"/>
      <c r="AC493" s="7"/>
      <c r="AD493" s="7"/>
      <c r="AE493" s="7"/>
      <c r="AG493" s="3" t="s">
        <v>768</v>
      </c>
      <c r="AH493" s="3">
        <v>29</v>
      </c>
      <c r="AI493" s="3">
        <v>30</v>
      </c>
      <c r="AJ493" s="205"/>
      <c r="AM493" s="3"/>
    </row>
    <row r="494" spans="1:39" x14ac:dyDescent="0.3">
      <c r="A494" s="5" t="str">
        <f t="shared" si="119"/>
        <v>BBD130</v>
      </c>
      <c r="B494" s="1" t="s">
        <v>1470</v>
      </c>
      <c r="C494" s="2" t="str">
        <f t="shared" si="114"/>
        <v>DIO1</v>
      </c>
      <c r="D494" s="2">
        <v>130</v>
      </c>
      <c r="E494" s="3">
        <f t="shared" si="115"/>
        <v>2</v>
      </c>
      <c r="F494" s="3">
        <f t="shared" si="116"/>
        <v>6</v>
      </c>
      <c r="G494" s="3">
        <v>0</v>
      </c>
      <c r="H494" s="60">
        <f t="shared" si="121"/>
        <v>1</v>
      </c>
      <c r="I494" s="54">
        <f t="shared" si="118"/>
        <v>23</v>
      </c>
      <c r="J494" s="61"/>
      <c r="K494" s="30"/>
      <c r="L494" s="1" t="s">
        <v>21</v>
      </c>
      <c r="M494" s="2"/>
      <c r="Q494" s="41" t="s">
        <v>302</v>
      </c>
      <c r="R494" s="1" t="s">
        <v>302</v>
      </c>
      <c r="S494" s="13"/>
      <c r="V494" s="1" t="str">
        <f t="shared" si="117"/>
        <v>2.6\0.1:23</v>
      </c>
      <c r="Y494" s="7"/>
      <c r="Z494" s="206" t="s">
        <v>1062</v>
      </c>
      <c r="AA494" s="206"/>
      <c r="AB494" s="7"/>
      <c r="AC494" s="7"/>
      <c r="AD494" s="7"/>
      <c r="AE494" s="7"/>
      <c r="AG494" s="3" t="s">
        <v>768</v>
      </c>
      <c r="AH494" s="3">
        <v>31</v>
      </c>
      <c r="AI494" s="3">
        <v>32</v>
      </c>
      <c r="AJ494" s="205"/>
      <c r="AM494" s="3"/>
    </row>
    <row r="495" spans="1:39" x14ac:dyDescent="0.3">
      <c r="A495" s="5" t="str">
        <f t="shared" si="119"/>
        <v>BBD130</v>
      </c>
      <c r="B495" s="1" t="s">
        <v>1470</v>
      </c>
      <c r="C495" s="2" t="str">
        <f t="shared" si="114"/>
        <v>DIO1</v>
      </c>
      <c r="D495" s="2">
        <v>130</v>
      </c>
      <c r="E495" s="3">
        <f t="shared" si="115"/>
        <v>2</v>
      </c>
      <c r="F495" s="3">
        <f t="shared" si="116"/>
        <v>6</v>
      </c>
      <c r="G495" s="3">
        <v>0</v>
      </c>
      <c r="H495" s="60">
        <f t="shared" si="121"/>
        <v>1</v>
      </c>
      <c r="I495" s="54">
        <f t="shared" si="118"/>
        <v>24</v>
      </c>
      <c r="J495" s="61"/>
      <c r="K495" s="30"/>
      <c r="L495" s="1" t="s">
        <v>21</v>
      </c>
      <c r="M495" s="2">
        <v>5</v>
      </c>
      <c r="N495" s="1" t="s">
        <v>1465</v>
      </c>
      <c r="O495" s="1" t="s">
        <v>26</v>
      </c>
      <c r="P495" s="1" t="s">
        <v>1464</v>
      </c>
      <c r="Q495" s="41" t="s">
        <v>1575</v>
      </c>
      <c r="R495" s="6" t="s">
        <v>24</v>
      </c>
      <c r="S495" s="13" t="s">
        <v>26</v>
      </c>
      <c r="T495" s="1" t="s">
        <v>473</v>
      </c>
      <c r="V495" s="1" t="str">
        <f t="shared" si="117"/>
        <v>2.6\0.1:24</v>
      </c>
      <c r="Y495" s="7"/>
      <c r="Z495" s="206" t="s">
        <v>1062</v>
      </c>
      <c r="AA495" s="206"/>
      <c r="AB495" s="7"/>
      <c r="AC495" s="7"/>
      <c r="AD495" s="7"/>
      <c r="AE495" s="7"/>
      <c r="AG495" s="3" t="s">
        <v>768</v>
      </c>
      <c r="AH495" s="3">
        <v>33</v>
      </c>
      <c r="AI495" s="3">
        <v>34</v>
      </c>
      <c r="AJ495" s="205"/>
      <c r="AM495" s="3"/>
    </row>
    <row r="496" spans="1:39" x14ac:dyDescent="0.3">
      <c r="A496" s="5" t="str">
        <f t="shared" si="119"/>
        <v>BBD130</v>
      </c>
      <c r="B496" s="1" t="s">
        <v>1470</v>
      </c>
      <c r="C496" s="2" t="str">
        <f t="shared" si="114"/>
        <v>DIO1</v>
      </c>
      <c r="D496" s="2">
        <v>130</v>
      </c>
      <c r="E496" s="3">
        <f t="shared" si="115"/>
        <v>2</v>
      </c>
      <c r="F496" s="3">
        <f t="shared" si="116"/>
        <v>6</v>
      </c>
      <c r="G496" s="3">
        <v>0</v>
      </c>
      <c r="H496" s="60">
        <f t="shared" si="121"/>
        <v>1</v>
      </c>
      <c r="I496" s="54">
        <f t="shared" si="118"/>
        <v>25</v>
      </c>
      <c r="J496" s="61"/>
      <c r="K496" s="30"/>
      <c r="L496" s="1" t="s">
        <v>21</v>
      </c>
      <c r="M496" s="2">
        <v>4</v>
      </c>
      <c r="N496" s="1" t="s">
        <v>1574</v>
      </c>
      <c r="O496" s="1" t="s">
        <v>1384</v>
      </c>
      <c r="P496" s="1" t="s">
        <v>1464</v>
      </c>
      <c r="Q496" s="41" t="s">
        <v>1383</v>
      </c>
      <c r="R496" s="1" t="s">
        <v>46</v>
      </c>
      <c r="S496" s="13"/>
      <c r="T496" s="1" t="s">
        <v>473</v>
      </c>
      <c r="V496" s="1" t="str">
        <f t="shared" si="117"/>
        <v>2.6\0.1:25</v>
      </c>
      <c r="W496" s="1" t="s">
        <v>1500</v>
      </c>
      <c r="X496" s="18">
        <v>0</v>
      </c>
      <c r="Y496" s="7"/>
      <c r="Z496" s="206" t="s">
        <v>1062</v>
      </c>
      <c r="AA496" s="206"/>
      <c r="AB496" s="7"/>
      <c r="AC496" s="7"/>
      <c r="AD496" s="7"/>
      <c r="AE496" s="7"/>
      <c r="AG496" s="3" t="s">
        <v>768</v>
      </c>
      <c r="AH496" s="3">
        <v>35</v>
      </c>
      <c r="AI496" s="3">
        <v>36</v>
      </c>
      <c r="AJ496" s="205"/>
      <c r="AM496" s="3"/>
    </row>
    <row r="497" spans="1:39" x14ac:dyDescent="0.3">
      <c r="A497" s="5" t="str">
        <f t="shared" si="119"/>
        <v>BBD130</v>
      </c>
      <c r="B497" s="1" t="s">
        <v>1470</v>
      </c>
      <c r="C497" s="2" t="str">
        <f t="shared" si="114"/>
        <v>DIO1</v>
      </c>
      <c r="D497" s="2">
        <v>130</v>
      </c>
      <c r="E497" s="3">
        <f t="shared" si="115"/>
        <v>2</v>
      </c>
      <c r="F497" s="3">
        <f t="shared" si="116"/>
        <v>6</v>
      </c>
      <c r="G497" s="3">
        <v>0</v>
      </c>
      <c r="H497" s="60">
        <f t="shared" si="121"/>
        <v>1</v>
      </c>
      <c r="I497" s="54">
        <f t="shared" si="118"/>
        <v>26</v>
      </c>
      <c r="J497" s="61"/>
      <c r="K497" s="30"/>
      <c r="L497" s="1" t="s">
        <v>21</v>
      </c>
      <c r="M497" s="2"/>
      <c r="Q497" s="1" t="s">
        <v>302</v>
      </c>
      <c r="R497" s="1" t="s">
        <v>302</v>
      </c>
      <c r="S497" s="13"/>
      <c r="V497" s="1" t="str">
        <f t="shared" si="117"/>
        <v>2.6\0.1:26</v>
      </c>
      <c r="Y497" s="7"/>
      <c r="Z497" s="206" t="s">
        <v>1062</v>
      </c>
      <c r="AA497" s="206"/>
      <c r="AC497" s="7"/>
      <c r="AD497" s="7"/>
      <c r="AE497" s="7"/>
      <c r="AG497" s="3" t="s">
        <v>768</v>
      </c>
      <c r="AH497" s="3">
        <v>37</v>
      </c>
      <c r="AI497" s="3">
        <v>38</v>
      </c>
      <c r="AJ497" s="205"/>
      <c r="AM497" s="3"/>
    </row>
    <row r="498" spans="1:39" x14ac:dyDescent="0.3">
      <c r="A498" s="5" t="str">
        <f t="shared" si="119"/>
        <v>BBD130</v>
      </c>
      <c r="B498" s="1" t="s">
        <v>1470</v>
      </c>
      <c r="C498" s="2" t="str">
        <f t="shared" si="114"/>
        <v>DIO1</v>
      </c>
      <c r="D498" s="2">
        <v>130</v>
      </c>
      <c r="E498" s="3">
        <f t="shared" si="115"/>
        <v>2</v>
      </c>
      <c r="F498" s="3">
        <f t="shared" si="116"/>
        <v>6</v>
      </c>
      <c r="G498" s="3">
        <v>0</v>
      </c>
      <c r="H498" s="60">
        <f t="shared" si="121"/>
        <v>1</v>
      </c>
      <c r="I498" s="54">
        <f t="shared" si="118"/>
        <v>27</v>
      </c>
      <c r="J498" s="61"/>
      <c r="K498" s="30"/>
      <c r="L498" s="1" t="s">
        <v>21</v>
      </c>
      <c r="M498" s="2">
        <v>4</v>
      </c>
      <c r="N498" s="1" t="s">
        <v>474</v>
      </c>
      <c r="O498" s="1" t="s">
        <v>967</v>
      </c>
      <c r="P498" s="1" t="s">
        <v>1573</v>
      </c>
      <c r="Q498" s="221" t="s">
        <v>966</v>
      </c>
      <c r="R498" s="220" t="s">
        <v>18</v>
      </c>
      <c r="S498" s="13" t="s">
        <v>1572</v>
      </c>
      <c r="T498" s="1" t="s">
        <v>474</v>
      </c>
      <c r="V498" s="1" t="str">
        <f t="shared" si="117"/>
        <v>2.6\0.1:27</v>
      </c>
      <c r="W498" s="1" t="s">
        <v>475</v>
      </c>
      <c r="X498" s="18">
        <v>0</v>
      </c>
      <c r="Y498" s="7"/>
      <c r="Z498" s="206" t="s">
        <v>1062</v>
      </c>
      <c r="AA498" s="206"/>
      <c r="AC498" s="7"/>
      <c r="AD498" s="7"/>
      <c r="AE498" s="7"/>
      <c r="AG498" s="3" t="s">
        <v>768</v>
      </c>
      <c r="AH498" s="3">
        <v>39</v>
      </c>
      <c r="AI498" s="3">
        <v>40</v>
      </c>
      <c r="AJ498" s="205"/>
      <c r="AM498" s="3"/>
    </row>
    <row r="499" spans="1:39" x14ac:dyDescent="0.3">
      <c r="A499" s="5" t="str">
        <f t="shared" si="119"/>
        <v>BBD130</v>
      </c>
      <c r="B499" s="1" t="s">
        <v>1470</v>
      </c>
      <c r="C499" s="2" t="str">
        <f t="shared" si="114"/>
        <v>DIO1</v>
      </c>
      <c r="D499" s="2">
        <v>130</v>
      </c>
      <c r="E499" s="3">
        <f t="shared" si="115"/>
        <v>2</v>
      </c>
      <c r="F499" s="3">
        <f t="shared" si="116"/>
        <v>6</v>
      </c>
      <c r="G499" s="3">
        <v>0</v>
      </c>
      <c r="H499" s="60">
        <f t="shared" si="121"/>
        <v>1</v>
      </c>
      <c r="I499" s="54">
        <f t="shared" si="118"/>
        <v>28</v>
      </c>
      <c r="J499" s="61"/>
      <c r="K499" s="30"/>
      <c r="L499" s="1" t="s">
        <v>21</v>
      </c>
      <c r="M499" s="2"/>
      <c r="N499" s="40"/>
      <c r="P499" s="40"/>
      <c r="Q499" s="41" t="s">
        <v>302</v>
      </c>
      <c r="R499" s="1" t="s">
        <v>302</v>
      </c>
      <c r="S499" s="13"/>
      <c r="V499" s="1" t="str">
        <f t="shared" si="117"/>
        <v>2.6\0.1:28</v>
      </c>
      <c r="Y499" s="7"/>
      <c r="Z499" s="206" t="s">
        <v>1062</v>
      </c>
      <c r="AA499" s="206"/>
      <c r="AC499" s="7"/>
      <c r="AD499" s="7"/>
      <c r="AE499" s="7"/>
      <c r="AG499" s="3" t="s">
        <v>768</v>
      </c>
      <c r="AH499" s="3">
        <v>41</v>
      </c>
      <c r="AI499" s="3">
        <v>42</v>
      </c>
      <c r="AJ499" s="205"/>
      <c r="AM499" s="3"/>
    </row>
    <row r="500" spans="1:39" x14ac:dyDescent="0.3">
      <c r="A500" s="5" t="str">
        <f t="shared" si="119"/>
        <v>BBD130</v>
      </c>
      <c r="B500" s="1" t="s">
        <v>1470</v>
      </c>
      <c r="C500" s="2" t="str">
        <f t="shared" ref="C500:C531" si="122">+C499</f>
        <v>DIO1</v>
      </c>
      <c r="D500" s="2">
        <v>130</v>
      </c>
      <c r="E500" s="3">
        <f t="shared" ref="E500:E531" si="123">+E499</f>
        <v>2</v>
      </c>
      <c r="F500" s="3">
        <f t="shared" ref="F500:F531" si="124">+F499</f>
        <v>6</v>
      </c>
      <c r="G500" s="3">
        <v>0</v>
      </c>
      <c r="H500" s="60">
        <f t="shared" si="121"/>
        <v>1</v>
      </c>
      <c r="I500" s="54">
        <f t="shared" si="118"/>
        <v>29</v>
      </c>
      <c r="J500" s="61"/>
      <c r="K500" s="30"/>
      <c r="L500" s="1" t="s">
        <v>21</v>
      </c>
      <c r="M500" s="2"/>
      <c r="N500" s="40"/>
      <c r="P500" s="40"/>
      <c r="Q500" s="41" t="s">
        <v>302</v>
      </c>
      <c r="R500" s="1" t="s">
        <v>302</v>
      </c>
      <c r="S500" s="13"/>
      <c r="V500" s="1" t="str">
        <f t="shared" si="117"/>
        <v>2.6\0.1:29</v>
      </c>
      <c r="Y500" s="7"/>
      <c r="Z500" s="206" t="s">
        <v>1062</v>
      </c>
      <c r="AA500" s="206"/>
      <c r="AC500" s="7"/>
      <c r="AD500" s="7"/>
      <c r="AE500" s="7"/>
      <c r="AG500" s="3" t="s">
        <v>768</v>
      </c>
      <c r="AH500" s="3">
        <v>43</v>
      </c>
      <c r="AI500" s="3">
        <v>44</v>
      </c>
      <c r="AJ500" s="205"/>
      <c r="AM500" s="3"/>
    </row>
    <row r="501" spans="1:39" x14ac:dyDescent="0.3">
      <c r="A501" s="5" t="str">
        <f t="shared" si="119"/>
        <v>BBD130</v>
      </c>
      <c r="B501" s="1" t="s">
        <v>1470</v>
      </c>
      <c r="C501" s="2" t="str">
        <f t="shared" si="122"/>
        <v>DIO1</v>
      </c>
      <c r="D501" s="2">
        <v>130</v>
      </c>
      <c r="E501" s="3">
        <f t="shared" si="123"/>
        <v>2</v>
      </c>
      <c r="F501" s="3">
        <f t="shared" si="124"/>
        <v>6</v>
      </c>
      <c r="G501" s="3">
        <v>0</v>
      </c>
      <c r="H501" s="60">
        <f t="shared" si="121"/>
        <v>1</v>
      </c>
      <c r="I501" s="54">
        <f t="shared" si="118"/>
        <v>30</v>
      </c>
      <c r="J501" s="61"/>
      <c r="K501" s="30"/>
      <c r="L501" s="1" t="s">
        <v>21</v>
      </c>
      <c r="M501" s="2"/>
      <c r="N501" s="40"/>
      <c r="P501" s="40"/>
      <c r="Q501" s="221" t="s">
        <v>302</v>
      </c>
      <c r="R501" s="220" t="s">
        <v>302</v>
      </c>
      <c r="S501" s="13"/>
      <c r="V501" s="1" t="str">
        <f t="shared" si="117"/>
        <v>2.6\0.1:30</v>
      </c>
      <c r="Y501" s="7"/>
      <c r="Z501" s="206" t="s">
        <v>1062</v>
      </c>
      <c r="AA501" s="206"/>
      <c r="AC501" s="7"/>
      <c r="AD501" s="7"/>
      <c r="AE501" s="7"/>
      <c r="AG501" s="3" t="s">
        <v>768</v>
      </c>
      <c r="AH501" s="3">
        <v>45</v>
      </c>
      <c r="AI501" s="3">
        <v>46</v>
      </c>
      <c r="AJ501" s="205"/>
      <c r="AM501" s="3"/>
    </row>
    <row r="502" spans="1:39" ht="13.5" thickBot="1" x14ac:dyDescent="0.35">
      <c r="A502" s="5" t="str">
        <f t="shared" si="119"/>
        <v>BBD130</v>
      </c>
      <c r="B502" s="1" t="s">
        <v>1470</v>
      </c>
      <c r="C502" s="2" t="str">
        <f t="shared" si="122"/>
        <v>DIO1</v>
      </c>
      <c r="D502" s="2">
        <v>130</v>
      </c>
      <c r="E502" s="3">
        <f t="shared" si="123"/>
        <v>2</v>
      </c>
      <c r="F502" s="3">
        <f t="shared" si="124"/>
        <v>6</v>
      </c>
      <c r="G502" s="3">
        <v>0</v>
      </c>
      <c r="H502" s="60">
        <f t="shared" si="121"/>
        <v>1</v>
      </c>
      <c r="I502" s="59">
        <f t="shared" si="118"/>
        <v>31</v>
      </c>
      <c r="J502" s="58"/>
      <c r="K502" s="30"/>
      <c r="L502" s="1" t="s">
        <v>21</v>
      </c>
      <c r="M502" s="2"/>
      <c r="N502" s="40"/>
      <c r="O502" s="2"/>
      <c r="P502" s="40"/>
      <c r="Q502" s="1" t="s">
        <v>302</v>
      </c>
      <c r="R502" s="1" t="s">
        <v>302</v>
      </c>
      <c r="S502" s="13"/>
      <c r="V502" s="1" t="str">
        <f t="shared" si="117"/>
        <v>2.6\0.1:31</v>
      </c>
      <c r="Y502" s="7"/>
      <c r="Z502" s="206" t="s">
        <v>1062</v>
      </c>
      <c r="AA502" s="206"/>
      <c r="AC502" s="7"/>
      <c r="AD502" s="7"/>
      <c r="AE502" s="7"/>
      <c r="AG502" s="3" t="s">
        <v>768</v>
      </c>
      <c r="AH502" s="3">
        <v>47</v>
      </c>
      <c r="AI502" s="3">
        <v>48</v>
      </c>
      <c r="AJ502" s="205"/>
      <c r="AM502" s="3"/>
    </row>
    <row r="503" spans="1:39" x14ac:dyDescent="0.3">
      <c r="A503" s="76" t="s">
        <v>1471</v>
      </c>
      <c r="B503" s="1" t="s">
        <v>1470</v>
      </c>
      <c r="C503" s="2" t="str">
        <f t="shared" si="122"/>
        <v>DIO1</v>
      </c>
      <c r="D503" s="2">
        <v>130</v>
      </c>
      <c r="E503" s="3">
        <f t="shared" si="123"/>
        <v>2</v>
      </c>
      <c r="F503" s="3">
        <f t="shared" si="124"/>
        <v>6</v>
      </c>
      <c r="G503" s="3">
        <v>0</v>
      </c>
      <c r="H503" s="57">
        <f>+H487+1</f>
        <v>2</v>
      </c>
      <c r="I503" s="56">
        <v>0</v>
      </c>
      <c r="J503" s="222" t="s">
        <v>316</v>
      </c>
      <c r="K503" s="2" t="s">
        <v>315</v>
      </c>
      <c r="L503" s="1" t="s">
        <v>21</v>
      </c>
      <c r="M503" s="2">
        <v>4</v>
      </c>
      <c r="N503" s="1" t="s">
        <v>597</v>
      </c>
      <c r="O503" s="1" t="s">
        <v>736</v>
      </c>
      <c r="P503" s="1" t="s">
        <v>1482</v>
      </c>
      <c r="Q503" s="1" t="s">
        <v>1571</v>
      </c>
      <c r="R503" s="1" t="s">
        <v>18</v>
      </c>
      <c r="S503" s="13"/>
      <c r="T503" s="1" t="s">
        <v>597</v>
      </c>
      <c r="V503" s="1" t="str">
        <f t="shared" ref="V503:V534" si="125">+CONCATENATE(E503,".",F503,"\",G503,".",H503,":",I503)</f>
        <v>2.6\0.2:0</v>
      </c>
      <c r="W503" s="1" t="s">
        <v>1500</v>
      </c>
      <c r="X503" s="18">
        <v>0</v>
      </c>
      <c r="Y503" s="7"/>
      <c r="Z503" s="206" t="s">
        <v>1062</v>
      </c>
      <c r="AA503" s="206"/>
      <c r="AC503" s="7"/>
      <c r="AD503" s="7"/>
      <c r="AE503" s="7"/>
      <c r="AG503" s="3" t="s">
        <v>732</v>
      </c>
      <c r="AH503" s="3">
        <v>1</v>
      </c>
      <c r="AI503" s="3">
        <v>2</v>
      </c>
      <c r="AJ503" s="205"/>
      <c r="AM503" s="3"/>
    </row>
    <row r="504" spans="1:39" x14ac:dyDescent="0.3">
      <c r="A504" s="5" t="str">
        <f t="shared" ref="A504:A534" si="126">A503</f>
        <v>BBD130</v>
      </c>
      <c r="B504" s="1" t="s">
        <v>1470</v>
      </c>
      <c r="C504" s="2" t="str">
        <f t="shared" si="122"/>
        <v>DIO1</v>
      </c>
      <c r="D504" s="2">
        <v>130</v>
      </c>
      <c r="E504" s="3">
        <f t="shared" si="123"/>
        <v>2</v>
      </c>
      <c r="F504" s="3">
        <f t="shared" si="124"/>
        <v>6</v>
      </c>
      <c r="G504" s="3">
        <v>0</v>
      </c>
      <c r="H504" s="60">
        <f>H503</f>
        <v>2</v>
      </c>
      <c r="I504" s="54">
        <f t="shared" ref="I504:I534" si="127">+I503+1</f>
        <v>1</v>
      </c>
      <c r="J504" s="61"/>
      <c r="L504" s="1" t="s">
        <v>21</v>
      </c>
      <c r="M504" s="2">
        <v>4</v>
      </c>
      <c r="N504" s="1" t="s">
        <v>597</v>
      </c>
      <c r="O504" s="1" t="s">
        <v>448</v>
      </c>
      <c r="P504" s="1" t="s">
        <v>1482</v>
      </c>
      <c r="Q504" s="1" t="s">
        <v>1568</v>
      </c>
      <c r="R504" s="1" t="s">
        <v>18</v>
      </c>
      <c r="S504" s="13"/>
      <c r="T504" s="1" t="s">
        <v>597</v>
      </c>
      <c r="V504" s="1" t="str">
        <f t="shared" si="125"/>
        <v>2.6\0.2:1</v>
      </c>
      <c r="W504" s="1" t="s">
        <v>1500</v>
      </c>
      <c r="X504" s="18">
        <v>0</v>
      </c>
      <c r="Y504" s="7"/>
      <c r="Z504" s="206" t="s">
        <v>1062</v>
      </c>
      <c r="AA504" s="206"/>
      <c r="AC504" s="7"/>
      <c r="AD504" s="7"/>
      <c r="AE504" s="7"/>
      <c r="AG504" s="3" t="s">
        <v>732</v>
      </c>
      <c r="AH504" s="3">
        <v>3</v>
      </c>
      <c r="AI504" s="3">
        <v>4</v>
      </c>
      <c r="AJ504" s="205"/>
      <c r="AM504" s="3"/>
    </row>
    <row r="505" spans="1:39" x14ac:dyDescent="0.3">
      <c r="A505" s="5" t="str">
        <f t="shared" si="126"/>
        <v>BBD130</v>
      </c>
      <c r="B505" s="1" t="s">
        <v>1470</v>
      </c>
      <c r="C505" s="2" t="str">
        <f t="shared" si="122"/>
        <v>DIO1</v>
      </c>
      <c r="D505" s="2">
        <v>130</v>
      </c>
      <c r="E505" s="3">
        <f t="shared" si="123"/>
        <v>2</v>
      </c>
      <c r="F505" s="3">
        <f t="shared" si="124"/>
        <v>6</v>
      </c>
      <c r="G505" s="3">
        <v>0</v>
      </c>
      <c r="H505" s="60">
        <f>H503</f>
        <v>2</v>
      </c>
      <c r="I505" s="54">
        <f t="shared" si="127"/>
        <v>2</v>
      </c>
      <c r="J505" s="61"/>
      <c r="K505" s="30"/>
      <c r="L505" s="1" t="s">
        <v>21</v>
      </c>
      <c r="M505" s="2">
        <v>4</v>
      </c>
      <c r="N505" s="1" t="s">
        <v>597</v>
      </c>
      <c r="O505" s="1" t="s">
        <v>435</v>
      </c>
      <c r="P505" s="1" t="s">
        <v>1482</v>
      </c>
      <c r="Q505" s="1" t="s">
        <v>1570</v>
      </c>
      <c r="R505" s="1" t="s">
        <v>24</v>
      </c>
      <c r="S505" s="13"/>
      <c r="T505" s="1" t="s">
        <v>597</v>
      </c>
      <c r="V505" s="1" t="str">
        <f t="shared" si="125"/>
        <v>2.6\0.2:2</v>
      </c>
      <c r="W505" s="1" t="s">
        <v>1500</v>
      </c>
      <c r="X505" s="18">
        <v>0</v>
      </c>
      <c r="Y505" s="7"/>
      <c r="Z505" s="206" t="s">
        <v>1062</v>
      </c>
      <c r="AA505" s="206"/>
      <c r="AC505" s="7"/>
      <c r="AD505" s="7"/>
      <c r="AE505" s="7"/>
      <c r="AG505" s="3" t="s">
        <v>732</v>
      </c>
      <c r="AH505" s="3">
        <v>5</v>
      </c>
      <c r="AI505" s="3">
        <v>6</v>
      </c>
      <c r="AJ505" s="205"/>
      <c r="AM505" s="3"/>
    </row>
    <row r="506" spans="1:39" x14ac:dyDescent="0.3">
      <c r="A506" s="5" t="str">
        <f t="shared" si="126"/>
        <v>BBD130</v>
      </c>
      <c r="B506" s="1" t="s">
        <v>1470</v>
      </c>
      <c r="C506" s="2" t="str">
        <f t="shared" si="122"/>
        <v>DIO1</v>
      </c>
      <c r="D506" s="2">
        <v>130</v>
      </c>
      <c r="E506" s="3">
        <f t="shared" si="123"/>
        <v>2</v>
      </c>
      <c r="F506" s="3">
        <f t="shared" si="124"/>
        <v>6</v>
      </c>
      <c r="G506" s="3">
        <v>0</v>
      </c>
      <c r="H506" s="60">
        <f t="shared" ref="H506:H517" si="128">H503</f>
        <v>2</v>
      </c>
      <c r="I506" s="54">
        <f t="shared" si="127"/>
        <v>3</v>
      </c>
      <c r="J506" s="61"/>
      <c r="K506" s="30"/>
      <c r="L506" s="1" t="s">
        <v>21</v>
      </c>
      <c r="M506" s="2">
        <v>4</v>
      </c>
      <c r="N506" s="1" t="s">
        <v>1567</v>
      </c>
      <c r="O506" s="1" t="s">
        <v>448</v>
      </c>
      <c r="P506" s="1" t="s">
        <v>1569</v>
      </c>
      <c r="Q506" s="1" t="s">
        <v>1568</v>
      </c>
      <c r="R506" s="1" t="s">
        <v>18</v>
      </c>
      <c r="S506" s="13"/>
      <c r="T506" s="1" t="s">
        <v>1567</v>
      </c>
      <c r="V506" s="1" t="str">
        <f t="shared" si="125"/>
        <v>2.6\0.2:3</v>
      </c>
      <c r="W506" s="1" t="s">
        <v>1500</v>
      </c>
      <c r="X506" s="18">
        <v>0</v>
      </c>
      <c r="Y506" s="7"/>
      <c r="Z506" s="206" t="s">
        <v>1062</v>
      </c>
      <c r="AA506" s="206"/>
      <c r="AC506" s="7"/>
      <c r="AD506" s="7"/>
      <c r="AE506" s="7"/>
      <c r="AG506" s="3" t="s">
        <v>732</v>
      </c>
      <c r="AH506" s="3">
        <v>7</v>
      </c>
      <c r="AI506" s="3">
        <v>8</v>
      </c>
      <c r="AJ506" s="205"/>
      <c r="AM506" s="3"/>
    </row>
    <row r="507" spans="1:39" x14ac:dyDescent="0.3">
      <c r="A507" s="5" t="str">
        <f t="shared" si="126"/>
        <v>BBD130</v>
      </c>
      <c r="B507" s="1" t="s">
        <v>1470</v>
      </c>
      <c r="C507" s="2" t="str">
        <f t="shared" si="122"/>
        <v>DIO1</v>
      </c>
      <c r="D507" s="2">
        <v>130</v>
      </c>
      <c r="E507" s="3">
        <f t="shared" si="123"/>
        <v>2</v>
      </c>
      <c r="F507" s="3">
        <f t="shared" si="124"/>
        <v>6</v>
      </c>
      <c r="G507" s="3">
        <v>0</v>
      </c>
      <c r="H507" s="60">
        <f t="shared" si="128"/>
        <v>2</v>
      </c>
      <c r="I507" s="54">
        <f t="shared" si="127"/>
        <v>4</v>
      </c>
      <c r="J507" s="61"/>
      <c r="K507" s="30"/>
      <c r="L507" s="1" t="s">
        <v>21</v>
      </c>
      <c r="M507" s="2"/>
      <c r="Q507" s="1" t="s">
        <v>302</v>
      </c>
      <c r="R507" s="1" t="s">
        <v>302</v>
      </c>
      <c r="S507" s="13"/>
      <c r="V507" s="1" t="str">
        <f t="shared" si="125"/>
        <v>2.6\0.2:4</v>
      </c>
      <c r="Y507" s="7"/>
      <c r="Z507" s="206" t="s">
        <v>1062</v>
      </c>
      <c r="AA507" s="206"/>
      <c r="AC507" s="7"/>
      <c r="AD507" s="7"/>
      <c r="AE507" s="7"/>
      <c r="AG507" s="3" t="s">
        <v>732</v>
      </c>
      <c r="AH507" s="3">
        <v>9</v>
      </c>
      <c r="AI507" s="3">
        <v>10</v>
      </c>
      <c r="AJ507" s="205"/>
      <c r="AM507" s="3"/>
    </row>
    <row r="508" spans="1:39" x14ac:dyDescent="0.3">
      <c r="A508" s="5" t="str">
        <f t="shared" si="126"/>
        <v>BBD130</v>
      </c>
      <c r="B508" s="1" t="s">
        <v>1470</v>
      </c>
      <c r="C508" s="2" t="str">
        <f t="shared" si="122"/>
        <v>DIO1</v>
      </c>
      <c r="D508" s="2">
        <v>130</v>
      </c>
      <c r="E508" s="3">
        <f t="shared" si="123"/>
        <v>2</v>
      </c>
      <c r="F508" s="3">
        <f t="shared" si="124"/>
        <v>6</v>
      </c>
      <c r="G508" s="3">
        <v>0</v>
      </c>
      <c r="H508" s="60">
        <f t="shared" si="128"/>
        <v>2</v>
      </c>
      <c r="I508" s="54">
        <f t="shared" si="127"/>
        <v>5</v>
      </c>
      <c r="J508" s="61"/>
      <c r="K508" s="30"/>
      <c r="L508" s="1" t="s">
        <v>21</v>
      </c>
      <c r="M508" s="2"/>
      <c r="Q508" s="1" t="s">
        <v>302</v>
      </c>
      <c r="R508" s="1" t="s">
        <v>302</v>
      </c>
      <c r="S508" s="13"/>
      <c r="V508" s="1" t="str">
        <f t="shared" si="125"/>
        <v>2.6\0.2:5</v>
      </c>
      <c r="Y508" s="7"/>
      <c r="Z508" s="206" t="s">
        <v>1062</v>
      </c>
      <c r="AA508" s="206"/>
      <c r="AC508" s="7"/>
      <c r="AD508" s="7"/>
      <c r="AE508" s="7"/>
      <c r="AG508" s="3" t="s">
        <v>732</v>
      </c>
      <c r="AH508" s="3">
        <v>11</v>
      </c>
      <c r="AI508" s="3">
        <v>12</v>
      </c>
      <c r="AJ508" s="205"/>
      <c r="AM508" s="3"/>
    </row>
    <row r="509" spans="1:39" x14ac:dyDescent="0.3">
      <c r="A509" s="5" t="str">
        <f t="shared" si="126"/>
        <v>BBD130</v>
      </c>
      <c r="B509" s="1" t="s">
        <v>1470</v>
      </c>
      <c r="C509" s="2" t="str">
        <f t="shared" si="122"/>
        <v>DIO1</v>
      </c>
      <c r="D509" s="2">
        <v>130</v>
      </c>
      <c r="E509" s="3">
        <f t="shared" si="123"/>
        <v>2</v>
      </c>
      <c r="F509" s="3">
        <f t="shared" si="124"/>
        <v>6</v>
      </c>
      <c r="G509" s="3">
        <v>0</v>
      </c>
      <c r="H509" s="60">
        <f t="shared" si="128"/>
        <v>2</v>
      </c>
      <c r="I509" s="54">
        <f t="shared" si="127"/>
        <v>6</v>
      </c>
      <c r="J509" s="61"/>
      <c r="K509" s="30"/>
      <c r="L509" s="1" t="s">
        <v>21</v>
      </c>
      <c r="M509" s="2">
        <v>4</v>
      </c>
      <c r="N509" s="1" t="s">
        <v>1566</v>
      </c>
      <c r="O509" s="220" t="s">
        <v>962</v>
      </c>
      <c r="P509" s="220" t="s">
        <v>1462</v>
      </c>
      <c r="Q509" s="1" t="s">
        <v>963</v>
      </c>
      <c r="R509" s="1" t="s">
        <v>46</v>
      </c>
      <c r="S509" s="13" t="s">
        <v>962</v>
      </c>
      <c r="T509" s="1" t="s">
        <v>71</v>
      </c>
      <c r="V509" s="1" t="str">
        <f t="shared" si="125"/>
        <v>2.6\0.2:6</v>
      </c>
      <c r="W509" s="1" t="s">
        <v>70</v>
      </c>
      <c r="X509" s="18">
        <v>0</v>
      </c>
      <c r="Y509" s="7"/>
      <c r="Z509" s="206" t="s">
        <v>1062</v>
      </c>
      <c r="AA509" s="206"/>
      <c r="AC509" s="7"/>
      <c r="AD509" s="7"/>
      <c r="AE509" s="7"/>
      <c r="AG509" s="3" t="s">
        <v>732</v>
      </c>
      <c r="AH509" s="3">
        <v>13</v>
      </c>
      <c r="AI509" s="3">
        <v>14</v>
      </c>
      <c r="AJ509" s="205"/>
      <c r="AM509" s="3"/>
    </row>
    <row r="510" spans="1:39" x14ac:dyDescent="0.3">
      <c r="A510" s="5" t="str">
        <f t="shared" si="126"/>
        <v>BBD130</v>
      </c>
      <c r="B510" s="1" t="s">
        <v>1470</v>
      </c>
      <c r="C510" s="2" t="str">
        <f t="shared" si="122"/>
        <v>DIO1</v>
      </c>
      <c r="D510" s="2">
        <v>130</v>
      </c>
      <c r="E510" s="3">
        <f t="shared" si="123"/>
        <v>2</v>
      </c>
      <c r="F510" s="3">
        <f t="shared" si="124"/>
        <v>6</v>
      </c>
      <c r="G510" s="3">
        <v>0</v>
      </c>
      <c r="H510" s="60">
        <f t="shared" si="128"/>
        <v>2</v>
      </c>
      <c r="I510" s="54">
        <f t="shared" si="127"/>
        <v>7</v>
      </c>
      <c r="J510" s="61"/>
      <c r="K510" s="30"/>
      <c r="L510" s="1" t="s">
        <v>21</v>
      </c>
      <c r="M510" s="2">
        <v>4</v>
      </c>
      <c r="N510" s="1" t="s">
        <v>1566</v>
      </c>
      <c r="O510" s="220" t="s">
        <v>959</v>
      </c>
      <c r="P510" s="220" t="s">
        <v>1462</v>
      </c>
      <c r="Q510" s="1" t="s">
        <v>960</v>
      </c>
      <c r="R510" s="1" t="s">
        <v>46</v>
      </c>
      <c r="S510" s="13" t="s">
        <v>959</v>
      </c>
      <c r="T510" s="1" t="s">
        <v>71</v>
      </c>
      <c r="V510" s="1" t="str">
        <f t="shared" si="125"/>
        <v>2.6\0.2:7</v>
      </c>
      <c r="W510" s="1" t="s">
        <v>70</v>
      </c>
      <c r="X510" s="18">
        <v>0</v>
      </c>
      <c r="Y510" s="7"/>
      <c r="Z510" s="206" t="s">
        <v>1062</v>
      </c>
      <c r="AA510" s="206"/>
      <c r="AC510" s="7"/>
      <c r="AD510" s="7"/>
      <c r="AE510" s="7"/>
      <c r="AG510" s="3" t="s">
        <v>732</v>
      </c>
      <c r="AH510" s="3">
        <v>15</v>
      </c>
      <c r="AI510" s="3">
        <v>16</v>
      </c>
      <c r="AJ510" s="205"/>
      <c r="AM510" s="3"/>
    </row>
    <row r="511" spans="1:39" x14ac:dyDescent="0.3">
      <c r="A511" s="5" t="str">
        <f t="shared" si="126"/>
        <v>BBD130</v>
      </c>
      <c r="B511" s="1" t="s">
        <v>1470</v>
      </c>
      <c r="C511" s="2" t="str">
        <f t="shared" si="122"/>
        <v>DIO1</v>
      </c>
      <c r="D511" s="2">
        <v>130</v>
      </c>
      <c r="E511" s="3">
        <f t="shared" si="123"/>
        <v>2</v>
      </c>
      <c r="F511" s="3">
        <f t="shared" si="124"/>
        <v>6</v>
      </c>
      <c r="G511" s="3">
        <v>0</v>
      </c>
      <c r="H511" s="60">
        <f t="shared" si="128"/>
        <v>2</v>
      </c>
      <c r="I511" s="54">
        <f t="shared" si="127"/>
        <v>8</v>
      </c>
      <c r="J511" s="61"/>
      <c r="K511" s="30"/>
      <c r="L511" s="1" t="s">
        <v>21</v>
      </c>
      <c r="M511" s="2">
        <v>5</v>
      </c>
      <c r="N511" s="1" t="s">
        <v>1566</v>
      </c>
      <c r="O511" s="1" t="s">
        <v>26</v>
      </c>
      <c r="P511" s="1" t="s">
        <v>1462</v>
      </c>
      <c r="Q511" s="1" t="s">
        <v>1145</v>
      </c>
      <c r="R511" s="6" t="s">
        <v>24</v>
      </c>
      <c r="S511" s="13" t="s">
        <v>26</v>
      </c>
      <c r="T511" s="1" t="s">
        <v>71</v>
      </c>
      <c r="V511" s="1" t="str">
        <f t="shared" si="125"/>
        <v>2.6\0.2:8</v>
      </c>
      <c r="W511" s="1" t="s">
        <v>70</v>
      </c>
      <c r="X511" s="18">
        <v>0</v>
      </c>
      <c r="Y511" s="7"/>
      <c r="Z511" s="206" t="s">
        <v>1062</v>
      </c>
      <c r="AA511" s="206"/>
      <c r="AC511" s="7"/>
      <c r="AD511" s="7"/>
      <c r="AE511" s="7"/>
      <c r="AG511" s="3" t="s">
        <v>732</v>
      </c>
      <c r="AH511" s="3">
        <v>17</v>
      </c>
      <c r="AI511" s="3">
        <v>18</v>
      </c>
      <c r="AJ511" s="205"/>
      <c r="AM511" s="3"/>
    </row>
    <row r="512" spans="1:39" x14ac:dyDescent="0.3">
      <c r="A512" s="5" t="str">
        <f t="shared" si="126"/>
        <v>BBD130</v>
      </c>
      <c r="B512" s="1" t="s">
        <v>1470</v>
      </c>
      <c r="C512" s="2" t="str">
        <f t="shared" si="122"/>
        <v>DIO1</v>
      </c>
      <c r="D512" s="2">
        <v>130</v>
      </c>
      <c r="E512" s="3">
        <f t="shared" si="123"/>
        <v>2</v>
      </c>
      <c r="F512" s="3">
        <f t="shared" si="124"/>
        <v>6</v>
      </c>
      <c r="G512" s="3">
        <v>0</v>
      </c>
      <c r="H512" s="60">
        <f t="shared" si="128"/>
        <v>2</v>
      </c>
      <c r="I512" s="54">
        <f t="shared" si="127"/>
        <v>9</v>
      </c>
      <c r="J512" s="61"/>
      <c r="K512" s="30"/>
      <c r="L512" s="1" t="s">
        <v>21</v>
      </c>
      <c r="M512" s="2"/>
      <c r="Q512" s="1" t="s">
        <v>302</v>
      </c>
      <c r="R512" s="1" t="s">
        <v>302</v>
      </c>
      <c r="S512" s="13"/>
      <c r="V512" s="1" t="str">
        <f t="shared" si="125"/>
        <v>2.6\0.2:9</v>
      </c>
      <c r="Y512" s="7"/>
      <c r="Z512" s="206" t="s">
        <v>1062</v>
      </c>
      <c r="AA512" s="206"/>
      <c r="AC512" s="7"/>
      <c r="AD512" s="7"/>
      <c r="AE512" s="7"/>
      <c r="AG512" s="3" t="s">
        <v>732</v>
      </c>
      <c r="AH512" s="3">
        <v>19</v>
      </c>
      <c r="AI512" s="3">
        <v>20</v>
      </c>
      <c r="AJ512" s="205"/>
      <c r="AM512" s="3"/>
    </row>
    <row r="513" spans="1:39" x14ac:dyDescent="0.3">
      <c r="A513" s="5" t="str">
        <f t="shared" si="126"/>
        <v>BBD130</v>
      </c>
      <c r="B513" s="1" t="s">
        <v>1470</v>
      </c>
      <c r="C513" s="2" t="str">
        <f t="shared" si="122"/>
        <v>DIO1</v>
      </c>
      <c r="D513" s="2">
        <v>130</v>
      </c>
      <c r="E513" s="3">
        <f t="shared" si="123"/>
        <v>2</v>
      </c>
      <c r="F513" s="3">
        <f t="shared" si="124"/>
        <v>6</v>
      </c>
      <c r="G513" s="3">
        <v>0</v>
      </c>
      <c r="H513" s="60">
        <f t="shared" si="128"/>
        <v>2</v>
      </c>
      <c r="I513" s="54">
        <f t="shared" si="127"/>
        <v>10</v>
      </c>
      <c r="J513" s="61"/>
      <c r="K513" s="30"/>
      <c r="L513" s="1" t="s">
        <v>21</v>
      </c>
      <c r="M513" s="2">
        <v>5</v>
      </c>
      <c r="N513" s="1" t="s">
        <v>1459</v>
      </c>
      <c r="O513" s="220" t="s">
        <v>26</v>
      </c>
      <c r="P513" s="220" t="s">
        <v>1549</v>
      </c>
      <c r="Q513" s="1" t="s">
        <v>1145</v>
      </c>
      <c r="R513" s="6" t="s">
        <v>24</v>
      </c>
      <c r="S513" s="13" t="s">
        <v>26</v>
      </c>
      <c r="T513" s="1" t="s">
        <v>477</v>
      </c>
      <c r="V513" s="1" t="str">
        <f t="shared" si="125"/>
        <v>2.6\0.2:10</v>
      </c>
      <c r="W513" s="8" t="s">
        <v>476</v>
      </c>
      <c r="X513" s="3">
        <v>0</v>
      </c>
      <c r="Z513" s="206" t="s">
        <v>1062</v>
      </c>
      <c r="AC513" s="7"/>
      <c r="AD513" s="7"/>
      <c r="AE513" s="7"/>
      <c r="AG513" s="3" t="s">
        <v>732</v>
      </c>
      <c r="AH513" s="3">
        <v>21</v>
      </c>
      <c r="AI513" s="3">
        <v>22</v>
      </c>
      <c r="AJ513" s="205"/>
      <c r="AM513" s="3"/>
    </row>
    <row r="514" spans="1:39" x14ac:dyDescent="0.3">
      <c r="A514" s="5" t="str">
        <f t="shared" si="126"/>
        <v>BBD130</v>
      </c>
      <c r="B514" s="1" t="s">
        <v>1470</v>
      </c>
      <c r="C514" s="2" t="str">
        <f t="shared" si="122"/>
        <v>DIO1</v>
      </c>
      <c r="D514" s="2">
        <v>130</v>
      </c>
      <c r="E514" s="3">
        <f t="shared" si="123"/>
        <v>2</v>
      </c>
      <c r="F514" s="3">
        <f t="shared" si="124"/>
        <v>6</v>
      </c>
      <c r="G514" s="3">
        <v>0</v>
      </c>
      <c r="H514" s="60">
        <f t="shared" si="128"/>
        <v>2</v>
      </c>
      <c r="I514" s="54">
        <f t="shared" si="127"/>
        <v>11</v>
      </c>
      <c r="J514" s="61"/>
      <c r="K514" s="30"/>
      <c r="L514" s="1" t="s">
        <v>21</v>
      </c>
      <c r="M514" s="2">
        <v>5</v>
      </c>
      <c r="N514" s="1" t="s">
        <v>1459</v>
      </c>
      <c r="O514" s="220" t="s">
        <v>962</v>
      </c>
      <c r="P514" s="220" t="s">
        <v>1549</v>
      </c>
      <c r="Q514" s="1" t="s">
        <v>963</v>
      </c>
      <c r="R514" s="1" t="s">
        <v>46</v>
      </c>
      <c r="S514" s="13" t="s">
        <v>962</v>
      </c>
      <c r="T514" s="1" t="s">
        <v>477</v>
      </c>
      <c r="V514" s="1" t="str">
        <f t="shared" si="125"/>
        <v>2.6\0.2:11</v>
      </c>
      <c r="W514" s="8" t="s">
        <v>476</v>
      </c>
      <c r="X514" s="3">
        <v>0</v>
      </c>
      <c r="Z514" s="206" t="s">
        <v>1062</v>
      </c>
      <c r="AC514" s="7"/>
      <c r="AD514" s="7"/>
      <c r="AE514" s="7"/>
      <c r="AG514" s="3" t="s">
        <v>732</v>
      </c>
      <c r="AH514" s="3">
        <v>23</v>
      </c>
      <c r="AI514" s="3">
        <v>24</v>
      </c>
      <c r="AJ514" s="205"/>
      <c r="AM514" s="3"/>
    </row>
    <row r="515" spans="1:39" x14ac:dyDescent="0.3">
      <c r="A515" s="5" t="str">
        <f t="shared" si="126"/>
        <v>BBD130</v>
      </c>
      <c r="B515" s="1" t="s">
        <v>1470</v>
      </c>
      <c r="C515" s="2" t="str">
        <f t="shared" si="122"/>
        <v>DIO1</v>
      </c>
      <c r="D515" s="2">
        <v>130</v>
      </c>
      <c r="E515" s="3">
        <f t="shared" si="123"/>
        <v>2</v>
      </c>
      <c r="F515" s="3">
        <f t="shared" si="124"/>
        <v>6</v>
      </c>
      <c r="G515" s="3">
        <v>0</v>
      </c>
      <c r="H515" s="60">
        <f t="shared" si="128"/>
        <v>2</v>
      </c>
      <c r="I515" s="54">
        <f t="shared" si="127"/>
        <v>12</v>
      </c>
      <c r="J515" s="61"/>
      <c r="K515" s="30"/>
      <c r="L515" s="1" t="s">
        <v>21</v>
      </c>
      <c r="M515" s="2">
        <v>5</v>
      </c>
      <c r="N515" s="1" t="s">
        <v>1459</v>
      </c>
      <c r="O515" s="1" t="s">
        <v>959</v>
      </c>
      <c r="P515" s="1" t="s">
        <v>1549</v>
      </c>
      <c r="Q515" s="1" t="s">
        <v>960</v>
      </c>
      <c r="R515" s="1" t="s">
        <v>46</v>
      </c>
      <c r="S515" s="13" t="s">
        <v>959</v>
      </c>
      <c r="T515" s="1" t="s">
        <v>477</v>
      </c>
      <c r="V515" s="1" t="str">
        <f t="shared" si="125"/>
        <v>2.6\0.2:12</v>
      </c>
      <c r="W515" s="8" t="s">
        <v>476</v>
      </c>
      <c r="X515" s="3">
        <v>0</v>
      </c>
      <c r="Y515" s="7"/>
      <c r="Z515" s="206" t="s">
        <v>1062</v>
      </c>
      <c r="AA515" s="206"/>
      <c r="AC515" s="7"/>
      <c r="AD515" s="7"/>
      <c r="AE515" s="7"/>
      <c r="AG515" s="3" t="s">
        <v>732</v>
      </c>
      <c r="AH515" s="3">
        <v>25</v>
      </c>
      <c r="AI515" s="3">
        <v>26</v>
      </c>
      <c r="AJ515" s="205"/>
      <c r="AM515" s="3"/>
    </row>
    <row r="516" spans="1:39" x14ac:dyDescent="0.3">
      <c r="A516" s="5" t="str">
        <f t="shared" si="126"/>
        <v>BBD130</v>
      </c>
      <c r="B516" s="1" t="s">
        <v>1470</v>
      </c>
      <c r="C516" s="2" t="str">
        <f t="shared" si="122"/>
        <v>DIO1</v>
      </c>
      <c r="D516" s="2">
        <v>130</v>
      </c>
      <c r="E516" s="3">
        <f t="shared" si="123"/>
        <v>2</v>
      </c>
      <c r="F516" s="3">
        <f t="shared" si="124"/>
        <v>6</v>
      </c>
      <c r="G516" s="3">
        <v>0</v>
      </c>
      <c r="H516" s="60">
        <f t="shared" si="128"/>
        <v>2</v>
      </c>
      <c r="I516" s="54">
        <f t="shared" si="127"/>
        <v>13</v>
      </c>
      <c r="J516" s="61"/>
      <c r="K516" s="30"/>
      <c r="L516" s="1" t="s">
        <v>21</v>
      </c>
      <c r="M516" s="2">
        <v>4</v>
      </c>
      <c r="N516" s="1" t="s">
        <v>1459</v>
      </c>
      <c r="O516" s="1" t="s">
        <v>61</v>
      </c>
      <c r="P516" s="1" t="s">
        <v>1549</v>
      </c>
      <c r="Q516" s="1" t="s">
        <v>1028</v>
      </c>
      <c r="R516" s="1" t="s">
        <v>18</v>
      </c>
      <c r="S516" s="13" t="s">
        <v>1457</v>
      </c>
      <c r="T516" s="1" t="s">
        <v>477</v>
      </c>
      <c r="V516" s="1" t="str">
        <f t="shared" si="125"/>
        <v>2.6\0.2:13</v>
      </c>
      <c r="W516" s="1" t="s">
        <v>1441</v>
      </c>
      <c r="X516" s="18">
        <v>0</v>
      </c>
      <c r="Y516" s="7"/>
      <c r="Z516" s="206" t="s">
        <v>1198</v>
      </c>
      <c r="AA516" s="206"/>
      <c r="AC516" s="7"/>
      <c r="AD516" s="7"/>
      <c r="AE516" s="7"/>
      <c r="AG516" s="3" t="s">
        <v>732</v>
      </c>
      <c r="AH516" s="3">
        <v>27</v>
      </c>
      <c r="AI516" s="3">
        <v>28</v>
      </c>
      <c r="AJ516" s="205"/>
      <c r="AM516" s="3"/>
    </row>
    <row r="517" spans="1:39" x14ac:dyDescent="0.3">
      <c r="A517" s="5" t="str">
        <f t="shared" si="126"/>
        <v>BBD130</v>
      </c>
      <c r="B517" s="1" t="s">
        <v>1470</v>
      </c>
      <c r="C517" s="2" t="str">
        <f t="shared" si="122"/>
        <v>DIO1</v>
      </c>
      <c r="D517" s="2">
        <v>130</v>
      </c>
      <c r="E517" s="3">
        <f t="shared" si="123"/>
        <v>2</v>
      </c>
      <c r="F517" s="3">
        <f t="shared" si="124"/>
        <v>6</v>
      </c>
      <c r="G517" s="3">
        <v>0</v>
      </c>
      <c r="H517" s="60">
        <f t="shared" si="128"/>
        <v>2</v>
      </c>
      <c r="I517" s="54">
        <f t="shared" si="127"/>
        <v>14</v>
      </c>
      <c r="J517" s="61"/>
      <c r="K517" s="30"/>
      <c r="L517" s="1" t="s">
        <v>21</v>
      </c>
      <c r="M517" s="246">
        <v>5</v>
      </c>
      <c r="N517" s="246" t="s">
        <v>1565</v>
      </c>
      <c r="O517" s="246" t="s">
        <v>1564</v>
      </c>
      <c r="P517" s="246" t="s">
        <v>1549</v>
      </c>
      <c r="Q517" s="246" t="s">
        <v>1563</v>
      </c>
      <c r="R517" s="246" t="s">
        <v>18</v>
      </c>
      <c r="S517" s="246"/>
      <c r="T517" s="246" t="s">
        <v>1473</v>
      </c>
      <c r="V517" s="1" t="str">
        <f t="shared" si="125"/>
        <v>2.6\0.2:14</v>
      </c>
      <c r="W517" s="246" t="s">
        <v>1472</v>
      </c>
      <c r="X517" s="246">
        <v>0</v>
      </c>
      <c r="Y517" s="7"/>
      <c r="Z517" s="206" t="s">
        <v>1062</v>
      </c>
      <c r="AA517" s="206"/>
      <c r="AC517" s="7"/>
      <c r="AD517" s="7"/>
      <c r="AE517" s="7"/>
      <c r="AG517" s="3" t="s">
        <v>732</v>
      </c>
      <c r="AH517" s="3">
        <v>29</v>
      </c>
      <c r="AI517" s="3">
        <v>30</v>
      </c>
      <c r="AJ517" s="205"/>
      <c r="AM517" s="3"/>
    </row>
    <row r="518" spans="1:39" x14ac:dyDescent="0.3">
      <c r="A518" s="5" t="str">
        <f t="shared" si="126"/>
        <v>BBD130</v>
      </c>
      <c r="B518" s="1" t="s">
        <v>1470</v>
      </c>
      <c r="C518" s="2" t="str">
        <f t="shared" si="122"/>
        <v>DIO1</v>
      </c>
      <c r="D518" s="2">
        <v>130</v>
      </c>
      <c r="E518" s="3">
        <f t="shared" si="123"/>
        <v>2</v>
      </c>
      <c r="F518" s="3">
        <f t="shared" si="124"/>
        <v>6</v>
      </c>
      <c r="G518" s="3">
        <v>0</v>
      </c>
      <c r="H518" s="60">
        <f t="shared" ref="H518:H534" si="129">H514</f>
        <v>2</v>
      </c>
      <c r="I518" s="54">
        <f t="shared" si="127"/>
        <v>15</v>
      </c>
      <c r="J518" s="61"/>
      <c r="K518" s="30"/>
      <c r="L518" s="1" t="s">
        <v>21</v>
      </c>
      <c r="M518" s="246">
        <v>5</v>
      </c>
      <c r="N518" s="246" t="s">
        <v>1562</v>
      </c>
      <c r="O518" s="246" t="s">
        <v>989</v>
      </c>
      <c r="P518" s="1" t="s">
        <v>1549</v>
      </c>
      <c r="Q518" s="246" t="s">
        <v>1511</v>
      </c>
      <c r="R518" s="1" t="s">
        <v>18</v>
      </c>
      <c r="S518" s="13"/>
      <c r="T518" s="1" t="s">
        <v>1473</v>
      </c>
      <c r="V518" s="1" t="str">
        <f t="shared" si="125"/>
        <v>2.6\0.2:15</v>
      </c>
      <c r="W518" s="1" t="s">
        <v>1472</v>
      </c>
      <c r="X518" s="18">
        <v>0</v>
      </c>
      <c r="Y518" s="7"/>
      <c r="Z518" s="206" t="s">
        <v>1062</v>
      </c>
      <c r="AA518" s="206"/>
      <c r="AC518" s="7"/>
      <c r="AD518" s="7"/>
      <c r="AE518" s="7"/>
      <c r="AG518" s="3" t="s">
        <v>732</v>
      </c>
      <c r="AH518" s="3">
        <v>31</v>
      </c>
      <c r="AI518" s="3">
        <v>32</v>
      </c>
      <c r="AJ518" s="205"/>
      <c r="AM518" s="3"/>
    </row>
    <row r="519" spans="1:39" x14ac:dyDescent="0.3">
      <c r="A519" s="5" t="str">
        <f t="shared" si="126"/>
        <v>BBD130</v>
      </c>
      <c r="B519" s="1" t="s">
        <v>1470</v>
      </c>
      <c r="C519" s="2" t="str">
        <f t="shared" si="122"/>
        <v>DIO1</v>
      </c>
      <c r="D519" s="2">
        <v>130</v>
      </c>
      <c r="E519" s="3">
        <f t="shared" si="123"/>
        <v>2</v>
      </c>
      <c r="F519" s="3">
        <f t="shared" si="124"/>
        <v>6</v>
      </c>
      <c r="G519" s="3">
        <v>0</v>
      </c>
      <c r="H519" s="60">
        <f t="shared" si="129"/>
        <v>2</v>
      </c>
      <c r="I519" s="54">
        <f t="shared" si="127"/>
        <v>16</v>
      </c>
      <c r="J519" s="61"/>
      <c r="K519" s="2"/>
      <c r="L519" s="1" t="s">
        <v>21</v>
      </c>
      <c r="M519" s="2">
        <v>4</v>
      </c>
      <c r="N519" s="1" t="s">
        <v>1561</v>
      </c>
      <c r="O519" s="1" t="s">
        <v>994</v>
      </c>
      <c r="P519" s="1" t="s">
        <v>1549</v>
      </c>
      <c r="Q519" s="1" t="s">
        <v>1560</v>
      </c>
      <c r="R519" s="1" t="s">
        <v>18</v>
      </c>
      <c r="S519" s="13"/>
      <c r="T519" s="1" t="s">
        <v>1473</v>
      </c>
      <c r="V519" s="1" t="str">
        <f t="shared" si="125"/>
        <v>2.6\0.2:16</v>
      </c>
      <c r="W519" s="1" t="s">
        <v>1472</v>
      </c>
      <c r="X519" s="18">
        <v>0</v>
      </c>
      <c r="Y519" s="7"/>
      <c r="Z519" s="206" t="s">
        <v>1062</v>
      </c>
      <c r="AA519" s="206"/>
      <c r="AC519" s="7"/>
      <c r="AD519" s="7"/>
      <c r="AE519" s="7"/>
      <c r="AG519" s="3" t="s">
        <v>668</v>
      </c>
      <c r="AH519" s="3">
        <v>1</v>
      </c>
      <c r="AI519" s="3">
        <v>2</v>
      </c>
      <c r="AJ519" s="205"/>
      <c r="AM519" s="3"/>
    </row>
    <row r="520" spans="1:39" x14ac:dyDescent="0.3">
      <c r="A520" s="5" t="str">
        <f t="shared" si="126"/>
        <v>BBD130</v>
      </c>
      <c r="B520" s="1" t="s">
        <v>1470</v>
      </c>
      <c r="C520" s="2" t="str">
        <f t="shared" si="122"/>
        <v>DIO1</v>
      </c>
      <c r="D520" s="2">
        <v>130</v>
      </c>
      <c r="E520" s="3">
        <f t="shared" si="123"/>
        <v>2</v>
      </c>
      <c r="F520" s="3">
        <f t="shared" si="124"/>
        <v>6</v>
      </c>
      <c r="G520" s="3">
        <v>0</v>
      </c>
      <c r="H520" s="60">
        <f t="shared" si="129"/>
        <v>2</v>
      </c>
      <c r="I520" s="54">
        <f t="shared" si="127"/>
        <v>17</v>
      </c>
      <c r="J520" s="61"/>
      <c r="K520" s="30"/>
      <c r="L520" s="1" t="s">
        <v>21</v>
      </c>
      <c r="M520" s="2">
        <v>4</v>
      </c>
      <c r="N520" s="1" t="s">
        <v>1559</v>
      </c>
      <c r="O520" s="1" t="s">
        <v>650</v>
      </c>
      <c r="P520" s="1" t="s">
        <v>1549</v>
      </c>
      <c r="Q520" s="246" t="s">
        <v>1558</v>
      </c>
      <c r="R520" s="246" t="s">
        <v>18</v>
      </c>
      <c r="S520" s="13"/>
      <c r="T520" s="246" t="s">
        <v>1473</v>
      </c>
      <c r="V520" s="1" t="str">
        <f t="shared" si="125"/>
        <v>2.6\0.2:17</v>
      </c>
      <c r="W520" s="1" t="s">
        <v>1472</v>
      </c>
      <c r="X520" s="18">
        <v>0</v>
      </c>
      <c r="Y520" s="7"/>
      <c r="Z520" s="206" t="s">
        <v>1062</v>
      </c>
      <c r="AA520" s="206"/>
      <c r="AC520" s="7"/>
      <c r="AD520" s="7"/>
      <c r="AE520" s="7"/>
      <c r="AG520" s="3" t="s">
        <v>668</v>
      </c>
      <c r="AH520" s="3">
        <v>3</v>
      </c>
      <c r="AI520" s="3">
        <v>4</v>
      </c>
      <c r="AJ520" s="205"/>
      <c r="AM520" s="3"/>
    </row>
    <row r="521" spans="1:39" x14ac:dyDescent="0.3">
      <c r="A521" s="5" t="str">
        <f t="shared" si="126"/>
        <v>BBD130</v>
      </c>
      <c r="B521" s="1" t="s">
        <v>1470</v>
      </c>
      <c r="C521" s="2" t="str">
        <f t="shared" si="122"/>
        <v>DIO1</v>
      </c>
      <c r="D521" s="2">
        <v>130</v>
      </c>
      <c r="E521" s="3">
        <f t="shared" si="123"/>
        <v>2</v>
      </c>
      <c r="F521" s="3">
        <f t="shared" si="124"/>
        <v>6</v>
      </c>
      <c r="G521" s="3">
        <v>0</v>
      </c>
      <c r="H521" s="60">
        <f t="shared" si="129"/>
        <v>2</v>
      </c>
      <c r="I521" s="54">
        <f t="shared" si="127"/>
        <v>18</v>
      </c>
      <c r="J521" s="61"/>
      <c r="K521" s="30"/>
      <c r="L521" s="1" t="s">
        <v>21</v>
      </c>
      <c r="M521" s="246">
        <v>5</v>
      </c>
      <c r="N521" s="246" t="s">
        <v>1557</v>
      </c>
      <c r="O521" s="246" t="s">
        <v>1556</v>
      </c>
      <c r="P521" s="246" t="s">
        <v>1549</v>
      </c>
      <c r="Q521" s="246" t="s">
        <v>1555</v>
      </c>
      <c r="R521" s="246" t="s">
        <v>18</v>
      </c>
      <c r="S521" s="246"/>
      <c r="T521" s="246" t="s">
        <v>1473</v>
      </c>
      <c r="V521" s="1" t="str">
        <f t="shared" si="125"/>
        <v>2.6\0.2:18</v>
      </c>
      <c r="W521" s="1" t="s">
        <v>1472</v>
      </c>
      <c r="X521" s="18">
        <v>0</v>
      </c>
      <c r="Y521" s="7"/>
      <c r="Z521" s="206" t="s">
        <v>1062</v>
      </c>
      <c r="AA521" s="206"/>
      <c r="AC521" s="7"/>
      <c r="AD521" s="7"/>
      <c r="AE521" s="7"/>
      <c r="AG521" s="3" t="s">
        <v>668</v>
      </c>
      <c r="AH521" s="3">
        <v>5</v>
      </c>
      <c r="AI521" s="3">
        <v>6</v>
      </c>
      <c r="AJ521" s="205"/>
      <c r="AM521" s="3"/>
    </row>
    <row r="522" spans="1:39" x14ac:dyDescent="0.3">
      <c r="A522" s="5" t="str">
        <f t="shared" si="126"/>
        <v>BBD130</v>
      </c>
      <c r="B522" s="1" t="s">
        <v>1470</v>
      </c>
      <c r="C522" s="2" t="str">
        <f t="shared" si="122"/>
        <v>DIO1</v>
      </c>
      <c r="D522" s="2">
        <v>130</v>
      </c>
      <c r="E522" s="3">
        <f t="shared" si="123"/>
        <v>2</v>
      </c>
      <c r="F522" s="3">
        <f t="shared" si="124"/>
        <v>6</v>
      </c>
      <c r="G522" s="3">
        <v>0</v>
      </c>
      <c r="H522" s="60">
        <f t="shared" si="129"/>
        <v>2</v>
      </c>
      <c r="I522" s="54">
        <f t="shared" si="127"/>
        <v>19</v>
      </c>
      <c r="J522" s="61"/>
      <c r="K522" s="30"/>
      <c r="L522" s="1" t="s">
        <v>21</v>
      </c>
      <c r="M522" s="246">
        <v>5</v>
      </c>
      <c r="N522" s="246" t="s">
        <v>1554</v>
      </c>
      <c r="O522" s="246" t="s">
        <v>1553</v>
      </c>
      <c r="P522" s="246" t="s">
        <v>1549</v>
      </c>
      <c r="Q522" s="246" t="s">
        <v>1552</v>
      </c>
      <c r="R522" s="246" t="s">
        <v>18</v>
      </c>
      <c r="S522" s="246"/>
      <c r="T522" s="246" t="s">
        <v>1473</v>
      </c>
      <c r="V522" s="1" t="str">
        <f t="shared" si="125"/>
        <v>2.6\0.2:19</v>
      </c>
      <c r="W522" s="246" t="s">
        <v>1472</v>
      </c>
      <c r="X522" s="246">
        <v>0</v>
      </c>
      <c r="Y522" s="7"/>
      <c r="Z522" s="206" t="s">
        <v>1062</v>
      </c>
      <c r="AA522" s="206"/>
      <c r="AC522" s="7"/>
      <c r="AD522" s="7"/>
      <c r="AE522" s="7"/>
      <c r="AG522" s="3" t="s">
        <v>668</v>
      </c>
      <c r="AH522" s="3">
        <v>7</v>
      </c>
      <c r="AI522" s="3">
        <v>8</v>
      </c>
      <c r="AJ522" s="205"/>
      <c r="AM522" s="3"/>
    </row>
    <row r="523" spans="1:39" x14ac:dyDescent="0.3">
      <c r="A523" s="5" t="str">
        <f t="shared" si="126"/>
        <v>BBD130</v>
      </c>
      <c r="B523" s="1" t="s">
        <v>1470</v>
      </c>
      <c r="C523" s="2" t="str">
        <f t="shared" si="122"/>
        <v>DIO1</v>
      </c>
      <c r="D523" s="2">
        <v>130</v>
      </c>
      <c r="E523" s="3">
        <f t="shared" si="123"/>
        <v>2</v>
      </c>
      <c r="F523" s="3">
        <f t="shared" si="124"/>
        <v>6</v>
      </c>
      <c r="G523" s="3">
        <v>0</v>
      </c>
      <c r="H523" s="60">
        <f t="shared" si="129"/>
        <v>2</v>
      </c>
      <c r="I523" s="54">
        <f t="shared" si="127"/>
        <v>20</v>
      </c>
      <c r="J523" s="61"/>
      <c r="K523" s="30"/>
      <c r="L523" s="1" t="s">
        <v>21</v>
      </c>
      <c r="M523" s="246">
        <v>5</v>
      </c>
      <c r="N523" s="246" t="s">
        <v>1551</v>
      </c>
      <c r="O523" s="246" t="s">
        <v>1550</v>
      </c>
      <c r="P523" s="246" t="s">
        <v>1549</v>
      </c>
      <c r="Q523" s="246" t="s">
        <v>1548</v>
      </c>
      <c r="R523" s="246" t="s">
        <v>18</v>
      </c>
      <c r="S523" s="246"/>
      <c r="T523" s="246" t="s">
        <v>1473</v>
      </c>
      <c r="V523" s="1" t="str">
        <f t="shared" si="125"/>
        <v>2.6\0.2:20</v>
      </c>
      <c r="W523" s="246" t="s">
        <v>1472</v>
      </c>
      <c r="X523" s="246">
        <v>0</v>
      </c>
      <c r="Y523" s="7"/>
      <c r="Z523" s="206" t="s">
        <v>1062</v>
      </c>
      <c r="AA523" s="206"/>
      <c r="AC523" s="7"/>
      <c r="AD523" s="7"/>
      <c r="AE523" s="7"/>
      <c r="AG523" s="3" t="s">
        <v>668</v>
      </c>
      <c r="AH523" s="3">
        <v>9</v>
      </c>
      <c r="AI523" s="3">
        <v>10</v>
      </c>
      <c r="AJ523" s="205"/>
      <c r="AM523" s="3"/>
    </row>
    <row r="524" spans="1:39" x14ac:dyDescent="0.3">
      <c r="A524" s="5" t="str">
        <f t="shared" si="126"/>
        <v>BBD130</v>
      </c>
      <c r="B524" s="1" t="s">
        <v>1470</v>
      </c>
      <c r="C524" s="2" t="str">
        <f t="shared" si="122"/>
        <v>DIO1</v>
      </c>
      <c r="D524" s="2">
        <v>130</v>
      </c>
      <c r="E524" s="3">
        <f t="shared" si="123"/>
        <v>2</v>
      </c>
      <c r="F524" s="3">
        <f t="shared" si="124"/>
        <v>6</v>
      </c>
      <c r="G524" s="3">
        <v>0</v>
      </c>
      <c r="H524" s="60">
        <f t="shared" si="129"/>
        <v>2</v>
      </c>
      <c r="I524" s="54">
        <f t="shared" si="127"/>
        <v>21</v>
      </c>
      <c r="J524" s="61"/>
      <c r="K524" s="30"/>
      <c r="L524" s="1" t="s">
        <v>21</v>
      </c>
      <c r="M524" s="2">
        <v>4</v>
      </c>
      <c r="N524" s="1" t="s">
        <v>1456</v>
      </c>
      <c r="O524" s="1" t="s">
        <v>672</v>
      </c>
      <c r="P524" s="1" t="s">
        <v>1455</v>
      </c>
      <c r="Q524" s="2" t="s">
        <v>1547</v>
      </c>
      <c r="R524" s="2" t="s">
        <v>46</v>
      </c>
      <c r="S524" s="13" t="s">
        <v>672</v>
      </c>
      <c r="T524" s="1" t="s">
        <v>492</v>
      </c>
      <c r="V524" s="1" t="str">
        <f t="shared" si="125"/>
        <v>2.6\0.2:21</v>
      </c>
      <c r="W524" s="1" t="s">
        <v>1441</v>
      </c>
      <c r="X524" s="18">
        <v>0</v>
      </c>
      <c r="Y524" s="7"/>
      <c r="Z524" s="206" t="s">
        <v>1062</v>
      </c>
      <c r="AA524" s="206"/>
      <c r="AC524" s="7"/>
      <c r="AD524" s="7"/>
      <c r="AE524" s="7"/>
      <c r="AG524" s="3" t="s">
        <v>668</v>
      </c>
      <c r="AH524" s="3">
        <v>11</v>
      </c>
      <c r="AI524" s="3">
        <v>12</v>
      </c>
      <c r="AJ524" s="205"/>
      <c r="AM524" s="3"/>
    </row>
    <row r="525" spans="1:39" x14ac:dyDescent="0.3">
      <c r="A525" s="5" t="str">
        <f t="shared" si="126"/>
        <v>BBD130</v>
      </c>
      <c r="B525" s="1" t="s">
        <v>1470</v>
      </c>
      <c r="C525" s="2" t="str">
        <f t="shared" si="122"/>
        <v>DIO1</v>
      </c>
      <c r="D525" s="2">
        <v>130</v>
      </c>
      <c r="E525" s="3">
        <f t="shared" si="123"/>
        <v>2</v>
      </c>
      <c r="F525" s="3">
        <f t="shared" si="124"/>
        <v>6</v>
      </c>
      <c r="G525" s="3">
        <v>0</v>
      </c>
      <c r="H525" s="60">
        <f t="shared" si="129"/>
        <v>2</v>
      </c>
      <c r="I525" s="54">
        <f t="shared" si="127"/>
        <v>22</v>
      </c>
      <c r="J525" s="61"/>
      <c r="K525" s="30"/>
      <c r="L525" s="1" t="s">
        <v>21</v>
      </c>
      <c r="M525" s="2">
        <v>4</v>
      </c>
      <c r="N525" s="1" t="s">
        <v>1456</v>
      </c>
      <c r="O525" s="1" t="s">
        <v>1323</v>
      </c>
      <c r="P525" s="1" t="s">
        <v>1455</v>
      </c>
      <c r="Q525" s="2" t="s">
        <v>1546</v>
      </c>
      <c r="R525" s="2" t="s">
        <v>46</v>
      </c>
      <c r="S525" s="13" t="s">
        <v>1323</v>
      </c>
      <c r="T525" s="1" t="s">
        <v>492</v>
      </c>
      <c r="V525" s="1" t="str">
        <f t="shared" si="125"/>
        <v>2.6\0.2:22</v>
      </c>
      <c r="W525" s="1" t="s">
        <v>1441</v>
      </c>
      <c r="X525" s="18">
        <v>0</v>
      </c>
      <c r="Z525" s="206" t="s">
        <v>1062</v>
      </c>
      <c r="AG525" s="3" t="s">
        <v>668</v>
      </c>
      <c r="AH525" s="3">
        <v>13</v>
      </c>
      <c r="AI525" s="3">
        <v>14</v>
      </c>
      <c r="AJ525" s="205"/>
      <c r="AM525" s="3"/>
    </row>
    <row r="526" spans="1:39" x14ac:dyDescent="0.3">
      <c r="A526" s="5" t="str">
        <f t="shared" si="126"/>
        <v>BBD130</v>
      </c>
      <c r="B526" s="1" t="s">
        <v>1470</v>
      </c>
      <c r="C526" s="2" t="str">
        <f t="shared" si="122"/>
        <v>DIO1</v>
      </c>
      <c r="D526" s="2">
        <v>130</v>
      </c>
      <c r="E526" s="3">
        <f t="shared" si="123"/>
        <v>2</v>
      </c>
      <c r="F526" s="3">
        <f t="shared" si="124"/>
        <v>6</v>
      </c>
      <c r="G526" s="3">
        <v>0</v>
      </c>
      <c r="H526" s="60">
        <f t="shared" si="129"/>
        <v>2</v>
      </c>
      <c r="I526" s="54">
        <f t="shared" si="127"/>
        <v>23</v>
      </c>
      <c r="J526" s="61"/>
      <c r="K526" s="30"/>
      <c r="L526" s="1" t="s">
        <v>21</v>
      </c>
      <c r="M526" s="2">
        <v>4</v>
      </c>
      <c r="N526" s="1" t="s">
        <v>1456</v>
      </c>
      <c r="O526" s="1" t="s">
        <v>61</v>
      </c>
      <c r="P526" s="1" t="s">
        <v>1455</v>
      </c>
      <c r="Q526" s="2" t="s">
        <v>1028</v>
      </c>
      <c r="R526" s="2" t="s">
        <v>18</v>
      </c>
      <c r="S526" s="13" t="s">
        <v>1454</v>
      </c>
      <c r="T526" s="1" t="s">
        <v>492</v>
      </c>
      <c r="V526" s="1" t="str">
        <f t="shared" si="125"/>
        <v>2.6\0.2:23</v>
      </c>
      <c r="W526" s="1" t="s">
        <v>1441</v>
      </c>
      <c r="X526" s="18">
        <v>0</v>
      </c>
      <c r="Z526" s="201" t="s">
        <v>1198</v>
      </c>
      <c r="AG526" s="3" t="s">
        <v>668</v>
      </c>
      <c r="AH526" s="3">
        <v>15</v>
      </c>
      <c r="AI526" s="3">
        <v>16</v>
      </c>
      <c r="AJ526" s="205"/>
      <c r="AM526" s="3"/>
    </row>
    <row r="527" spans="1:39" x14ac:dyDescent="0.3">
      <c r="A527" s="5" t="str">
        <f t="shared" si="126"/>
        <v>BBD130</v>
      </c>
      <c r="B527" s="1" t="s">
        <v>1470</v>
      </c>
      <c r="C527" s="2" t="str">
        <f t="shared" si="122"/>
        <v>DIO1</v>
      </c>
      <c r="D527" s="2">
        <v>130</v>
      </c>
      <c r="E527" s="3">
        <f t="shared" si="123"/>
        <v>2</v>
      </c>
      <c r="F527" s="3">
        <f t="shared" si="124"/>
        <v>6</v>
      </c>
      <c r="G527" s="3">
        <v>0</v>
      </c>
      <c r="H527" s="60">
        <f t="shared" si="129"/>
        <v>2</v>
      </c>
      <c r="I527" s="54">
        <f t="shared" si="127"/>
        <v>24</v>
      </c>
      <c r="J527" s="61"/>
      <c r="K527" s="30"/>
      <c r="L527" s="1" t="s">
        <v>21</v>
      </c>
      <c r="M527" s="2">
        <v>4</v>
      </c>
      <c r="N527" s="1" t="s">
        <v>1545</v>
      </c>
      <c r="O527" s="1" t="s">
        <v>736</v>
      </c>
      <c r="P527" s="1" t="s">
        <v>1455</v>
      </c>
      <c r="Q527" s="2" t="s">
        <v>1543</v>
      </c>
      <c r="R527" s="2" t="s">
        <v>954</v>
      </c>
      <c r="S527" s="13"/>
      <c r="T527" s="1" t="s">
        <v>492</v>
      </c>
      <c r="V527" s="1" t="str">
        <f t="shared" si="125"/>
        <v>2.6\0.2:24</v>
      </c>
      <c r="W527" s="1" t="s">
        <v>1472</v>
      </c>
      <c r="X527" s="18">
        <v>0</v>
      </c>
      <c r="Z527" s="206" t="s">
        <v>1062</v>
      </c>
      <c r="AG527" s="3" t="s">
        <v>668</v>
      </c>
      <c r="AH527" s="3">
        <v>17</v>
      </c>
      <c r="AI527" s="3">
        <v>18</v>
      </c>
      <c r="AJ527" s="205"/>
      <c r="AM527" s="3"/>
    </row>
    <row r="528" spans="1:39" x14ac:dyDescent="0.3">
      <c r="A528" s="5" t="str">
        <f t="shared" si="126"/>
        <v>BBD130</v>
      </c>
      <c r="B528" s="1" t="s">
        <v>1470</v>
      </c>
      <c r="C528" s="2" t="str">
        <f t="shared" si="122"/>
        <v>DIO1</v>
      </c>
      <c r="D528" s="2">
        <v>130</v>
      </c>
      <c r="E528" s="3">
        <f t="shared" si="123"/>
        <v>2</v>
      </c>
      <c r="F528" s="3">
        <f t="shared" si="124"/>
        <v>6</v>
      </c>
      <c r="G528" s="3">
        <v>0</v>
      </c>
      <c r="H528" s="60">
        <f t="shared" si="129"/>
        <v>2</v>
      </c>
      <c r="I528" s="54">
        <f t="shared" si="127"/>
        <v>25</v>
      </c>
      <c r="J528" s="61"/>
      <c r="K528" s="30"/>
      <c r="L528" s="1" t="s">
        <v>21</v>
      </c>
      <c r="M528" s="2">
        <v>4</v>
      </c>
      <c r="N528" s="1" t="s">
        <v>1544</v>
      </c>
      <c r="O528" s="1" t="s">
        <v>953</v>
      </c>
      <c r="P528" s="1" t="s">
        <v>1455</v>
      </c>
      <c r="Q528" s="1" t="s">
        <v>1543</v>
      </c>
      <c r="R528" s="1" t="s">
        <v>24</v>
      </c>
      <c r="S528" s="13"/>
      <c r="T528" s="1" t="s">
        <v>492</v>
      </c>
      <c r="V528" s="1" t="str">
        <f t="shared" si="125"/>
        <v>2.6\0.2:25</v>
      </c>
      <c r="W528" s="1" t="s">
        <v>1472</v>
      </c>
      <c r="X528" s="18">
        <v>0</v>
      </c>
      <c r="Z528" s="206" t="s">
        <v>1062</v>
      </c>
      <c r="AG528" s="3" t="s">
        <v>668</v>
      </c>
      <c r="AH528" s="3">
        <v>19</v>
      </c>
      <c r="AI528" s="3">
        <v>20</v>
      </c>
      <c r="AJ528" s="205"/>
      <c r="AM528" s="3"/>
    </row>
    <row r="529" spans="1:39" x14ac:dyDescent="0.3">
      <c r="A529" s="5" t="str">
        <f t="shared" si="126"/>
        <v>BBD130</v>
      </c>
      <c r="B529" s="1" t="s">
        <v>1470</v>
      </c>
      <c r="C529" s="2" t="str">
        <f t="shared" si="122"/>
        <v>DIO1</v>
      </c>
      <c r="D529" s="2">
        <v>130</v>
      </c>
      <c r="E529" s="3">
        <f t="shared" si="123"/>
        <v>2</v>
      </c>
      <c r="F529" s="3">
        <f t="shared" si="124"/>
        <v>6</v>
      </c>
      <c r="G529" s="3">
        <v>0</v>
      </c>
      <c r="H529" s="60">
        <f t="shared" si="129"/>
        <v>2</v>
      </c>
      <c r="I529" s="54">
        <f t="shared" si="127"/>
        <v>26</v>
      </c>
      <c r="J529" s="61"/>
      <c r="K529" s="30"/>
      <c r="L529" s="1" t="s">
        <v>21</v>
      </c>
      <c r="M529" s="2">
        <v>4</v>
      </c>
      <c r="N529" s="1" t="s">
        <v>1542</v>
      </c>
      <c r="O529" s="1" t="s">
        <v>1192</v>
      </c>
      <c r="P529" s="1" t="s">
        <v>1455</v>
      </c>
      <c r="Q529" s="1" t="s">
        <v>1540</v>
      </c>
      <c r="R529" s="1" t="s">
        <v>954</v>
      </c>
      <c r="S529" s="13"/>
      <c r="T529" s="1" t="s">
        <v>492</v>
      </c>
      <c r="V529" s="1" t="str">
        <f t="shared" si="125"/>
        <v>2.6\0.2:26</v>
      </c>
      <c r="W529" s="1" t="s">
        <v>1472</v>
      </c>
      <c r="X529" s="18">
        <v>0</v>
      </c>
      <c r="Z529" s="206" t="s">
        <v>1062</v>
      </c>
      <c r="AG529" s="3" t="s">
        <v>668</v>
      </c>
      <c r="AH529" s="3">
        <v>21</v>
      </c>
      <c r="AI529" s="3">
        <v>22</v>
      </c>
      <c r="AJ529" s="205"/>
      <c r="AM529" s="3"/>
    </row>
    <row r="530" spans="1:39" x14ac:dyDescent="0.3">
      <c r="A530" s="5" t="str">
        <f t="shared" si="126"/>
        <v>BBD130</v>
      </c>
      <c r="B530" s="1" t="s">
        <v>1470</v>
      </c>
      <c r="C530" s="2" t="str">
        <f t="shared" si="122"/>
        <v>DIO1</v>
      </c>
      <c r="D530" s="2">
        <v>130</v>
      </c>
      <c r="E530" s="3">
        <f t="shared" si="123"/>
        <v>2</v>
      </c>
      <c r="F530" s="3">
        <f t="shared" si="124"/>
        <v>6</v>
      </c>
      <c r="G530" s="3">
        <v>0</v>
      </c>
      <c r="H530" s="60">
        <f t="shared" si="129"/>
        <v>2</v>
      </c>
      <c r="I530" s="54">
        <f t="shared" si="127"/>
        <v>27</v>
      </c>
      <c r="J530" s="61"/>
      <c r="K530" s="30"/>
      <c r="L530" s="1" t="s">
        <v>21</v>
      </c>
      <c r="M530" s="2">
        <v>4</v>
      </c>
      <c r="N530" s="1" t="s">
        <v>1541</v>
      </c>
      <c r="O530" s="1" t="s">
        <v>1189</v>
      </c>
      <c r="P530" s="1" t="s">
        <v>1455</v>
      </c>
      <c r="Q530" s="1" t="s">
        <v>1540</v>
      </c>
      <c r="R530" s="1" t="s">
        <v>24</v>
      </c>
      <c r="S530" s="13"/>
      <c r="T530" s="1" t="s">
        <v>492</v>
      </c>
      <c r="V530" s="1" t="str">
        <f t="shared" si="125"/>
        <v>2.6\0.2:27</v>
      </c>
      <c r="W530" s="1" t="s">
        <v>1472</v>
      </c>
      <c r="X530" s="18">
        <v>0</v>
      </c>
      <c r="Z530" s="206" t="s">
        <v>1062</v>
      </c>
      <c r="AG530" s="3" t="s">
        <v>668</v>
      </c>
      <c r="AH530" s="3">
        <v>23</v>
      </c>
      <c r="AI530" s="3">
        <v>24</v>
      </c>
      <c r="AJ530" s="205"/>
      <c r="AM530" s="3"/>
    </row>
    <row r="531" spans="1:39" x14ac:dyDescent="0.3">
      <c r="A531" s="5" t="str">
        <f t="shared" si="126"/>
        <v>BBD130</v>
      </c>
      <c r="B531" s="1" t="s">
        <v>1470</v>
      </c>
      <c r="C531" s="2" t="str">
        <f t="shared" si="122"/>
        <v>DIO1</v>
      </c>
      <c r="D531" s="2">
        <v>130</v>
      </c>
      <c r="E531" s="3">
        <f t="shared" si="123"/>
        <v>2</v>
      </c>
      <c r="F531" s="3">
        <f t="shared" si="124"/>
        <v>6</v>
      </c>
      <c r="G531" s="3">
        <v>0</v>
      </c>
      <c r="H531" s="60">
        <f t="shared" si="129"/>
        <v>2</v>
      </c>
      <c r="I531" s="54">
        <f t="shared" si="127"/>
        <v>28</v>
      </c>
      <c r="J531" s="61"/>
      <c r="K531" s="30"/>
      <c r="L531" s="1" t="s">
        <v>21</v>
      </c>
      <c r="M531" s="2">
        <v>4</v>
      </c>
      <c r="N531" s="1" t="s">
        <v>1539</v>
      </c>
      <c r="O531" s="1" t="s">
        <v>1304</v>
      </c>
      <c r="P531" s="1" t="s">
        <v>1455</v>
      </c>
      <c r="Q531" s="1" t="s">
        <v>1538</v>
      </c>
      <c r="R531" s="1" t="s">
        <v>1529</v>
      </c>
      <c r="S531" s="13"/>
      <c r="T531" s="1" t="s">
        <v>492</v>
      </c>
      <c r="V531" s="1" t="str">
        <f t="shared" si="125"/>
        <v>2.6\0.2:28</v>
      </c>
      <c r="W531" s="1" t="s">
        <v>1472</v>
      </c>
      <c r="X531" s="18">
        <v>0</v>
      </c>
      <c r="Z531" s="206" t="s">
        <v>1062</v>
      </c>
      <c r="AG531" s="3" t="s">
        <v>668</v>
      </c>
      <c r="AH531" s="3">
        <v>25</v>
      </c>
      <c r="AI531" s="3">
        <v>26</v>
      </c>
      <c r="AJ531" s="205"/>
      <c r="AM531" s="3"/>
    </row>
    <row r="532" spans="1:39" x14ac:dyDescent="0.3">
      <c r="A532" s="5" t="str">
        <f t="shared" si="126"/>
        <v>BBD130</v>
      </c>
      <c r="B532" s="1" t="s">
        <v>1470</v>
      </c>
      <c r="C532" s="2" t="str">
        <f t="shared" ref="C532:C566" si="130">+C531</f>
        <v>DIO1</v>
      </c>
      <c r="D532" s="2">
        <v>130</v>
      </c>
      <c r="E532" s="3">
        <f t="shared" ref="E532:E566" si="131">+E531</f>
        <v>2</v>
      </c>
      <c r="F532" s="3">
        <f t="shared" ref="F532:F566" si="132">+F531</f>
        <v>6</v>
      </c>
      <c r="G532" s="3">
        <v>0</v>
      </c>
      <c r="H532" s="60">
        <f t="shared" si="129"/>
        <v>2</v>
      </c>
      <c r="I532" s="54">
        <f t="shared" si="127"/>
        <v>29</v>
      </c>
      <c r="J532" s="61"/>
      <c r="K532" s="30"/>
      <c r="L532" s="1" t="s">
        <v>21</v>
      </c>
      <c r="M532" s="2">
        <v>4</v>
      </c>
      <c r="N532" s="1" t="s">
        <v>1537</v>
      </c>
      <c r="O532" s="1" t="s">
        <v>1302</v>
      </c>
      <c r="P532" s="1" t="s">
        <v>1455</v>
      </c>
      <c r="Q532" s="1" t="s">
        <v>1536</v>
      </c>
      <c r="R532" s="1" t="s">
        <v>1529</v>
      </c>
      <c r="S532" s="13"/>
      <c r="T532" s="1" t="s">
        <v>492</v>
      </c>
      <c r="V532" s="1" t="str">
        <f t="shared" si="125"/>
        <v>2.6\0.2:29</v>
      </c>
      <c r="W532" s="1" t="s">
        <v>1472</v>
      </c>
      <c r="X532" s="18">
        <v>0</v>
      </c>
      <c r="Z532" s="206" t="s">
        <v>1062</v>
      </c>
      <c r="AG532" s="3" t="s">
        <v>668</v>
      </c>
      <c r="AH532" s="3">
        <v>27</v>
      </c>
      <c r="AI532" s="3">
        <v>28</v>
      </c>
      <c r="AJ532" s="205"/>
      <c r="AM532" s="3"/>
    </row>
    <row r="533" spans="1:39" x14ac:dyDescent="0.3">
      <c r="A533" s="5" t="str">
        <f t="shared" si="126"/>
        <v>BBD130</v>
      </c>
      <c r="B533" s="1" t="s">
        <v>1470</v>
      </c>
      <c r="C533" s="2" t="str">
        <f t="shared" si="130"/>
        <v>DIO1</v>
      </c>
      <c r="D533" s="2">
        <v>130</v>
      </c>
      <c r="E533" s="3">
        <f t="shared" si="131"/>
        <v>2</v>
      </c>
      <c r="F533" s="3">
        <f t="shared" si="132"/>
        <v>6</v>
      </c>
      <c r="G533" s="3">
        <v>0</v>
      </c>
      <c r="H533" s="60">
        <f t="shared" si="129"/>
        <v>2</v>
      </c>
      <c r="I533" s="54">
        <f t="shared" si="127"/>
        <v>30</v>
      </c>
      <c r="J533" s="61"/>
      <c r="K533" s="30"/>
      <c r="L533" s="1" t="s">
        <v>21</v>
      </c>
      <c r="M533" s="2">
        <v>4</v>
      </c>
      <c r="N533" s="1" t="s">
        <v>1535</v>
      </c>
      <c r="O533" s="1" t="s">
        <v>1534</v>
      </c>
      <c r="P533" s="1" t="s">
        <v>1455</v>
      </c>
      <c r="Q533" s="1" t="s">
        <v>1533</v>
      </c>
      <c r="R533" s="1" t="s">
        <v>1529</v>
      </c>
      <c r="S533" s="13"/>
      <c r="T533" s="1" t="s">
        <v>492</v>
      </c>
      <c r="V533" s="1" t="str">
        <f t="shared" si="125"/>
        <v>2.6\0.2:30</v>
      </c>
      <c r="W533" s="1" t="s">
        <v>1472</v>
      </c>
      <c r="X533" s="18">
        <v>0</v>
      </c>
      <c r="Z533" s="206" t="s">
        <v>1062</v>
      </c>
      <c r="AG533" s="3" t="s">
        <v>668</v>
      </c>
      <c r="AH533" s="3">
        <v>29</v>
      </c>
      <c r="AI533" s="3">
        <v>30</v>
      </c>
      <c r="AJ533" s="205"/>
      <c r="AM533" s="3"/>
    </row>
    <row r="534" spans="1:39" ht="13.5" thickBot="1" x14ac:dyDescent="0.35">
      <c r="A534" s="5" t="str">
        <f t="shared" si="126"/>
        <v>BBD130</v>
      </c>
      <c r="B534" s="1" t="s">
        <v>1470</v>
      </c>
      <c r="C534" s="2" t="str">
        <f t="shared" si="130"/>
        <v>DIO1</v>
      </c>
      <c r="D534" s="2">
        <v>130</v>
      </c>
      <c r="E534" s="3">
        <f t="shared" si="131"/>
        <v>2</v>
      </c>
      <c r="F534" s="3">
        <f t="shared" si="132"/>
        <v>6</v>
      </c>
      <c r="G534" s="3">
        <v>0</v>
      </c>
      <c r="H534" s="60">
        <f t="shared" si="129"/>
        <v>2</v>
      </c>
      <c r="I534" s="59">
        <f t="shared" si="127"/>
        <v>31</v>
      </c>
      <c r="J534" s="58"/>
      <c r="K534" s="30"/>
      <c r="L534" s="1" t="s">
        <v>21</v>
      </c>
      <c r="M534" s="2">
        <v>4</v>
      </c>
      <c r="N534" s="1" t="s">
        <v>1532</v>
      </c>
      <c r="O534" s="1" t="s">
        <v>1531</v>
      </c>
      <c r="P534" s="1" t="s">
        <v>1455</v>
      </c>
      <c r="Q534" s="1" t="s">
        <v>1530</v>
      </c>
      <c r="R534" s="1" t="s">
        <v>1529</v>
      </c>
      <c r="S534" s="13"/>
      <c r="T534" s="1" t="s">
        <v>492</v>
      </c>
      <c r="V534" s="1" t="str">
        <f t="shared" si="125"/>
        <v>2.6\0.2:31</v>
      </c>
      <c r="W534" s="1" t="s">
        <v>1472</v>
      </c>
      <c r="X534" s="18">
        <v>0</v>
      </c>
      <c r="Z534" s="206" t="s">
        <v>1062</v>
      </c>
      <c r="AG534" s="3" t="s">
        <v>668</v>
      </c>
      <c r="AH534" s="3">
        <v>31</v>
      </c>
      <c r="AI534" s="3">
        <v>32</v>
      </c>
      <c r="AJ534" s="205"/>
      <c r="AM534" s="3"/>
    </row>
    <row r="535" spans="1:39" x14ac:dyDescent="0.3">
      <c r="A535" s="76" t="s">
        <v>1471</v>
      </c>
      <c r="B535" s="1" t="s">
        <v>1470</v>
      </c>
      <c r="C535" s="2" t="str">
        <f t="shared" si="130"/>
        <v>DIO1</v>
      </c>
      <c r="D535" s="2">
        <v>130</v>
      </c>
      <c r="E535" s="3">
        <f t="shared" si="131"/>
        <v>2</v>
      </c>
      <c r="F535" s="3">
        <f t="shared" si="132"/>
        <v>6</v>
      </c>
      <c r="G535" s="3">
        <v>0</v>
      </c>
      <c r="H535" s="62">
        <f>+H519+1</f>
        <v>3</v>
      </c>
      <c r="I535" s="56">
        <v>0</v>
      </c>
      <c r="J535" s="222" t="s">
        <v>316</v>
      </c>
      <c r="K535" s="2" t="s">
        <v>315</v>
      </c>
      <c r="L535" s="1" t="s">
        <v>21</v>
      </c>
      <c r="M535" s="2"/>
      <c r="N535" s="40"/>
      <c r="P535" s="40"/>
      <c r="Q535" s="1" t="s">
        <v>302</v>
      </c>
      <c r="R535" s="1" t="s">
        <v>302</v>
      </c>
      <c r="S535" s="13"/>
      <c r="V535" s="1" t="str">
        <f t="shared" ref="V535:V566" si="133">+CONCATENATE(E535,".",F535,"\",G535,".",H535,":",I535)</f>
        <v>2.6\0.3:0</v>
      </c>
      <c r="Y535" s="7"/>
      <c r="Z535" s="206" t="s">
        <v>1062</v>
      </c>
      <c r="AA535" s="206"/>
      <c r="AC535" s="7"/>
      <c r="AD535" s="7"/>
      <c r="AE535" s="7"/>
      <c r="AG535" s="3" t="s">
        <v>612</v>
      </c>
      <c r="AH535" s="3">
        <v>1</v>
      </c>
      <c r="AI535" s="3">
        <v>2</v>
      </c>
      <c r="AJ535" s="205"/>
      <c r="AM535" s="3"/>
    </row>
    <row r="536" spans="1:39" x14ac:dyDescent="0.3">
      <c r="A536" s="5" t="str">
        <f t="shared" ref="A536:A566" si="134">A535</f>
        <v>BBD130</v>
      </c>
      <c r="B536" s="1" t="s">
        <v>1470</v>
      </c>
      <c r="C536" s="2" t="str">
        <f t="shared" si="130"/>
        <v>DIO1</v>
      </c>
      <c r="D536" s="2">
        <v>130</v>
      </c>
      <c r="E536" s="3">
        <f t="shared" si="131"/>
        <v>2</v>
      </c>
      <c r="F536" s="3">
        <f t="shared" si="132"/>
        <v>6</v>
      </c>
      <c r="G536" s="3">
        <v>0</v>
      </c>
      <c r="H536" s="60">
        <f>H535</f>
        <v>3</v>
      </c>
      <c r="I536" s="54">
        <f t="shared" ref="I536:I566" si="135">+I535+1</f>
        <v>1</v>
      </c>
      <c r="J536" s="61"/>
      <c r="L536" s="1" t="s">
        <v>21</v>
      </c>
      <c r="M536" s="2"/>
      <c r="N536" s="40"/>
      <c r="P536" s="40"/>
      <c r="Q536" s="1" t="s">
        <v>302</v>
      </c>
      <c r="R536" s="1" t="s">
        <v>302</v>
      </c>
      <c r="S536" s="13"/>
      <c r="V536" s="1" t="str">
        <f t="shared" si="133"/>
        <v>2.6\0.3:1</v>
      </c>
      <c r="Y536" s="7"/>
      <c r="Z536" s="206" t="s">
        <v>1062</v>
      </c>
      <c r="AA536" s="206"/>
      <c r="AC536" s="7"/>
      <c r="AD536" s="7"/>
      <c r="AE536" s="7"/>
      <c r="AG536" s="3" t="s">
        <v>612</v>
      </c>
      <c r="AH536" s="3">
        <v>3</v>
      </c>
      <c r="AI536" s="3">
        <v>4</v>
      </c>
      <c r="AJ536" s="205"/>
      <c r="AM536" s="3"/>
    </row>
    <row r="537" spans="1:39" x14ac:dyDescent="0.3">
      <c r="A537" s="5" t="str">
        <f t="shared" si="134"/>
        <v>BBD130</v>
      </c>
      <c r="B537" s="1" t="s">
        <v>1470</v>
      </c>
      <c r="C537" s="2" t="str">
        <f t="shared" si="130"/>
        <v>DIO1</v>
      </c>
      <c r="D537" s="2">
        <v>130</v>
      </c>
      <c r="E537" s="3">
        <f t="shared" si="131"/>
        <v>2</v>
      </c>
      <c r="F537" s="3">
        <f t="shared" si="132"/>
        <v>6</v>
      </c>
      <c r="G537" s="3">
        <v>0</v>
      </c>
      <c r="H537" s="60">
        <f>H535</f>
        <v>3</v>
      </c>
      <c r="I537" s="54">
        <f t="shared" si="135"/>
        <v>2</v>
      </c>
      <c r="J537" s="61"/>
      <c r="K537" s="30"/>
      <c r="L537" s="1" t="s">
        <v>21</v>
      </c>
      <c r="M537" s="2">
        <v>4</v>
      </c>
      <c r="N537" s="1" t="s">
        <v>1528</v>
      </c>
      <c r="O537" s="1" t="s">
        <v>448</v>
      </c>
      <c r="P537" s="1" t="s">
        <v>1503</v>
      </c>
      <c r="Q537" s="1" t="s">
        <v>1526</v>
      </c>
      <c r="R537" s="1" t="s">
        <v>862</v>
      </c>
      <c r="S537" s="13"/>
      <c r="T537" s="1" t="s">
        <v>1501</v>
      </c>
      <c r="V537" s="1" t="str">
        <f t="shared" si="133"/>
        <v>2.6\0.3:2</v>
      </c>
      <c r="W537" s="1" t="s">
        <v>1500</v>
      </c>
      <c r="X537" s="18">
        <v>0</v>
      </c>
      <c r="Y537" s="7"/>
      <c r="Z537" s="206" t="s">
        <v>1062</v>
      </c>
      <c r="AA537" s="206"/>
      <c r="AC537" s="7"/>
      <c r="AD537" s="7"/>
      <c r="AE537" s="7"/>
      <c r="AG537" s="3" t="s">
        <v>612</v>
      </c>
      <c r="AH537" s="3">
        <v>5</v>
      </c>
      <c r="AI537" s="3">
        <v>6</v>
      </c>
      <c r="AJ537" s="205"/>
      <c r="AM537" s="3"/>
    </row>
    <row r="538" spans="1:39" x14ac:dyDescent="0.3">
      <c r="A538" s="5" t="str">
        <f t="shared" si="134"/>
        <v>BBD130</v>
      </c>
      <c r="B538" s="1" t="s">
        <v>1470</v>
      </c>
      <c r="C538" s="2" t="str">
        <f t="shared" si="130"/>
        <v>DIO1</v>
      </c>
      <c r="D538" s="2">
        <v>130</v>
      </c>
      <c r="E538" s="3">
        <f t="shared" si="131"/>
        <v>2</v>
      </c>
      <c r="F538" s="3">
        <f t="shared" si="132"/>
        <v>6</v>
      </c>
      <c r="G538" s="3">
        <v>0</v>
      </c>
      <c r="H538" s="60">
        <f t="shared" ref="H538:H549" si="136">H535</f>
        <v>3</v>
      </c>
      <c r="I538" s="54">
        <f t="shared" si="135"/>
        <v>3</v>
      </c>
      <c r="J538" s="61"/>
      <c r="K538" s="30"/>
      <c r="L538" s="1" t="s">
        <v>21</v>
      </c>
      <c r="M538" s="2">
        <v>4</v>
      </c>
      <c r="N538" s="1" t="s">
        <v>1527</v>
      </c>
      <c r="O538" s="1" t="s">
        <v>435</v>
      </c>
      <c r="P538" s="1" t="s">
        <v>1503</v>
      </c>
      <c r="Q538" s="1" t="s">
        <v>1526</v>
      </c>
      <c r="R538" s="1" t="s">
        <v>18</v>
      </c>
      <c r="S538" s="13"/>
      <c r="T538" s="1" t="s">
        <v>1501</v>
      </c>
      <c r="V538" s="1" t="str">
        <f t="shared" si="133"/>
        <v>2.6\0.3:3</v>
      </c>
      <c r="W538" s="1" t="s">
        <v>1500</v>
      </c>
      <c r="X538" s="18">
        <v>0</v>
      </c>
      <c r="Y538" s="7"/>
      <c r="Z538" s="206" t="s">
        <v>1062</v>
      </c>
      <c r="AA538" s="206"/>
      <c r="AC538" s="7"/>
      <c r="AD538" s="7"/>
      <c r="AE538" s="7"/>
      <c r="AG538" s="3" t="s">
        <v>612</v>
      </c>
      <c r="AH538" s="3">
        <v>7</v>
      </c>
      <c r="AI538" s="3">
        <v>8</v>
      </c>
      <c r="AJ538" s="205"/>
      <c r="AM538" s="3"/>
    </row>
    <row r="539" spans="1:39" x14ac:dyDescent="0.3">
      <c r="A539" s="5" t="str">
        <f t="shared" si="134"/>
        <v>BBD130</v>
      </c>
      <c r="B539" s="1" t="s">
        <v>1470</v>
      </c>
      <c r="C539" s="2" t="str">
        <f t="shared" si="130"/>
        <v>DIO1</v>
      </c>
      <c r="D539" s="2">
        <v>130</v>
      </c>
      <c r="E539" s="3">
        <f t="shared" si="131"/>
        <v>2</v>
      </c>
      <c r="F539" s="3">
        <f t="shared" si="132"/>
        <v>6</v>
      </c>
      <c r="G539" s="3">
        <v>0</v>
      </c>
      <c r="H539" s="60">
        <f t="shared" si="136"/>
        <v>3</v>
      </c>
      <c r="I539" s="54">
        <f t="shared" si="135"/>
        <v>4</v>
      </c>
      <c r="J539" s="61"/>
      <c r="K539" s="30"/>
      <c r="L539" s="1" t="s">
        <v>21</v>
      </c>
      <c r="M539" s="2">
        <v>4</v>
      </c>
      <c r="N539" s="1" t="s">
        <v>1525</v>
      </c>
      <c r="O539" s="1" t="s">
        <v>422</v>
      </c>
      <c r="P539" s="1" t="s">
        <v>1503</v>
      </c>
      <c r="Q539" s="1" t="s">
        <v>1524</v>
      </c>
      <c r="R539" s="1" t="s">
        <v>18</v>
      </c>
      <c r="S539" s="13"/>
      <c r="T539" s="1" t="s">
        <v>1501</v>
      </c>
      <c r="V539" s="1" t="str">
        <f t="shared" si="133"/>
        <v>2.6\0.3:4</v>
      </c>
      <c r="W539" s="1" t="s">
        <v>1500</v>
      </c>
      <c r="X539" s="18">
        <v>0</v>
      </c>
      <c r="Y539" s="7"/>
      <c r="Z539" s="206" t="s">
        <v>1062</v>
      </c>
      <c r="AA539" s="206"/>
      <c r="AC539" s="7"/>
      <c r="AD539" s="7"/>
      <c r="AE539" s="7"/>
      <c r="AG539" s="3" t="s">
        <v>612</v>
      </c>
      <c r="AH539" s="3">
        <v>9</v>
      </c>
      <c r="AI539" s="3">
        <v>10</v>
      </c>
      <c r="AJ539" s="205"/>
      <c r="AM539" s="3"/>
    </row>
    <row r="540" spans="1:39" x14ac:dyDescent="0.3">
      <c r="A540" s="5" t="str">
        <f t="shared" si="134"/>
        <v>BBD130</v>
      </c>
      <c r="B540" s="1" t="s">
        <v>1470</v>
      </c>
      <c r="C540" s="2" t="str">
        <f t="shared" si="130"/>
        <v>DIO1</v>
      </c>
      <c r="D540" s="2">
        <v>130</v>
      </c>
      <c r="E540" s="3">
        <f t="shared" si="131"/>
        <v>2</v>
      </c>
      <c r="F540" s="3">
        <f t="shared" si="132"/>
        <v>6</v>
      </c>
      <c r="G540" s="3">
        <v>0</v>
      </c>
      <c r="H540" s="60">
        <f t="shared" si="136"/>
        <v>3</v>
      </c>
      <c r="I540" s="54">
        <f t="shared" si="135"/>
        <v>5</v>
      </c>
      <c r="J540" s="61"/>
      <c r="K540" s="30"/>
      <c r="L540" s="1" t="s">
        <v>21</v>
      </c>
      <c r="M540" s="2">
        <v>4</v>
      </c>
      <c r="N540" s="1" t="s">
        <v>1523</v>
      </c>
      <c r="O540" s="1" t="s">
        <v>644</v>
      </c>
      <c r="P540" s="1" t="s">
        <v>1503</v>
      </c>
      <c r="Q540" s="1" t="s">
        <v>1522</v>
      </c>
      <c r="R540" s="1" t="s">
        <v>302</v>
      </c>
      <c r="S540" s="13"/>
      <c r="T540" s="1" t="s">
        <v>1501</v>
      </c>
      <c r="V540" s="1" t="str">
        <f t="shared" si="133"/>
        <v>2.6\0.3:5</v>
      </c>
      <c r="W540" s="1" t="s">
        <v>1500</v>
      </c>
      <c r="X540" s="18">
        <v>0</v>
      </c>
      <c r="Y540" s="7"/>
      <c r="Z540" s="206" t="s">
        <v>1062</v>
      </c>
      <c r="AA540" s="206"/>
      <c r="AC540" s="7"/>
      <c r="AD540" s="7"/>
      <c r="AE540" s="7"/>
      <c r="AG540" s="3" t="s">
        <v>612</v>
      </c>
      <c r="AH540" s="3">
        <v>11</v>
      </c>
      <c r="AI540" s="3">
        <v>12</v>
      </c>
      <c r="AJ540" s="205"/>
      <c r="AM540" s="3"/>
    </row>
    <row r="541" spans="1:39" x14ac:dyDescent="0.3">
      <c r="A541" s="5" t="str">
        <f t="shared" si="134"/>
        <v>BBD130</v>
      </c>
      <c r="B541" s="1" t="s">
        <v>1470</v>
      </c>
      <c r="C541" s="2" t="str">
        <f t="shared" si="130"/>
        <v>DIO1</v>
      </c>
      <c r="D541" s="2">
        <v>130</v>
      </c>
      <c r="E541" s="3">
        <f t="shared" si="131"/>
        <v>2</v>
      </c>
      <c r="F541" s="3">
        <f t="shared" si="132"/>
        <v>6</v>
      </c>
      <c r="G541" s="3">
        <v>0</v>
      </c>
      <c r="H541" s="60">
        <f t="shared" si="136"/>
        <v>3</v>
      </c>
      <c r="I541" s="54">
        <f t="shared" si="135"/>
        <v>6</v>
      </c>
      <c r="J541" s="61"/>
      <c r="K541" s="30"/>
      <c r="L541" s="1" t="s">
        <v>21</v>
      </c>
      <c r="M541" s="2">
        <v>4</v>
      </c>
      <c r="N541" s="1" t="s">
        <v>1521</v>
      </c>
      <c r="O541" s="220" t="s">
        <v>642</v>
      </c>
      <c r="P541" s="220" t="s">
        <v>1503</v>
      </c>
      <c r="Q541" s="1" t="s">
        <v>1519</v>
      </c>
      <c r="R541" s="1" t="s">
        <v>18</v>
      </c>
      <c r="S541" s="13"/>
      <c r="T541" s="1" t="s">
        <v>1501</v>
      </c>
      <c r="V541" s="1" t="str">
        <f t="shared" si="133"/>
        <v>2.6\0.3:6</v>
      </c>
      <c r="W541" s="1" t="s">
        <v>1500</v>
      </c>
      <c r="X541" s="18">
        <v>0</v>
      </c>
      <c r="Y541" s="7"/>
      <c r="Z541" s="206" t="s">
        <v>1062</v>
      </c>
      <c r="AA541" s="206"/>
      <c r="AC541" s="7"/>
      <c r="AD541" s="7"/>
      <c r="AE541" s="7"/>
      <c r="AG541" s="3" t="s">
        <v>612</v>
      </c>
      <c r="AH541" s="3">
        <v>13</v>
      </c>
      <c r="AI541" s="3">
        <v>14</v>
      </c>
      <c r="AJ541" s="205"/>
      <c r="AM541" s="3"/>
    </row>
    <row r="542" spans="1:39" x14ac:dyDescent="0.3">
      <c r="A542" s="5" t="str">
        <f t="shared" si="134"/>
        <v>BBD130</v>
      </c>
      <c r="B542" s="1" t="s">
        <v>1470</v>
      </c>
      <c r="C542" s="2" t="str">
        <f t="shared" si="130"/>
        <v>DIO1</v>
      </c>
      <c r="D542" s="2">
        <v>130</v>
      </c>
      <c r="E542" s="3">
        <f t="shared" si="131"/>
        <v>2</v>
      </c>
      <c r="F542" s="3">
        <f t="shared" si="132"/>
        <v>6</v>
      </c>
      <c r="G542" s="3">
        <v>0</v>
      </c>
      <c r="H542" s="60">
        <f t="shared" si="136"/>
        <v>3</v>
      </c>
      <c r="I542" s="54">
        <f t="shared" si="135"/>
        <v>7</v>
      </c>
      <c r="J542" s="61"/>
      <c r="K542" s="30"/>
      <c r="L542" s="1" t="s">
        <v>21</v>
      </c>
      <c r="M542" s="2">
        <v>4</v>
      </c>
      <c r="N542" s="1" t="s">
        <v>1520</v>
      </c>
      <c r="O542" s="220" t="s">
        <v>640</v>
      </c>
      <c r="P542" s="220" t="s">
        <v>1503</v>
      </c>
      <c r="Q542" s="1" t="s">
        <v>1519</v>
      </c>
      <c r="R542" s="1" t="s">
        <v>1518</v>
      </c>
      <c r="S542" s="13"/>
      <c r="T542" s="1" t="s">
        <v>1501</v>
      </c>
      <c r="V542" s="1" t="str">
        <f t="shared" si="133"/>
        <v>2.6\0.3:7</v>
      </c>
      <c r="W542" s="1" t="s">
        <v>1500</v>
      </c>
      <c r="X542" s="18">
        <v>0</v>
      </c>
      <c r="Y542" s="7"/>
      <c r="Z542" s="206" t="s">
        <v>1062</v>
      </c>
      <c r="AA542" s="206"/>
      <c r="AC542" s="7"/>
      <c r="AD542" s="7"/>
      <c r="AE542" s="7"/>
      <c r="AG542" s="3" t="s">
        <v>612</v>
      </c>
      <c r="AH542" s="3">
        <v>15</v>
      </c>
      <c r="AI542" s="3">
        <v>16</v>
      </c>
      <c r="AJ542" s="205"/>
      <c r="AM542" s="3"/>
    </row>
    <row r="543" spans="1:39" x14ac:dyDescent="0.3">
      <c r="A543" s="5" t="str">
        <f t="shared" si="134"/>
        <v>BBD130</v>
      </c>
      <c r="B543" s="1" t="s">
        <v>1470</v>
      </c>
      <c r="C543" s="2" t="str">
        <f t="shared" si="130"/>
        <v>DIO1</v>
      </c>
      <c r="D543" s="2">
        <v>130</v>
      </c>
      <c r="E543" s="3">
        <f t="shared" si="131"/>
        <v>2</v>
      </c>
      <c r="F543" s="3">
        <f t="shared" si="132"/>
        <v>6</v>
      </c>
      <c r="G543" s="3">
        <v>0</v>
      </c>
      <c r="H543" s="60">
        <f t="shared" si="136"/>
        <v>3</v>
      </c>
      <c r="I543" s="54">
        <f t="shared" si="135"/>
        <v>8</v>
      </c>
      <c r="J543" s="61"/>
      <c r="K543" s="30"/>
      <c r="L543" s="1" t="s">
        <v>21</v>
      </c>
      <c r="M543" s="2">
        <v>4</v>
      </c>
      <c r="N543" s="1" t="s">
        <v>1517</v>
      </c>
      <c r="O543" s="1" t="s">
        <v>637</v>
      </c>
      <c r="P543" s="1" t="s">
        <v>1503</v>
      </c>
      <c r="Q543" s="1" t="s">
        <v>1516</v>
      </c>
      <c r="R543" s="1" t="s">
        <v>46</v>
      </c>
      <c r="S543" s="13"/>
      <c r="T543" s="1" t="s">
        <v>1501</v>
      </c>
      <c r="V543" s="1" t="str">
        <f t="shared" si="133"/>
        <v>2.6\0.3:8</v>
      </c>
      <c r="W543" s="1" t="s">
        <v>1500</v>
      </c>
      <c r="X543" s="18">
        <v>0</v>
      </c>
      <c r="Y543" s="7"/>
      <c r="Z543" s="206" t="s">
        <v>1062</v>
      </c>
      <c r="AA543" s="206"/>
      <c r="AC543" s="7"/>
      <c r="AD543" s="7"/>
      <c r="AE543" s="7"/>
      <c r="AG543" s="3" t="s">
        <v>612</v>
      </c>
      <c r="AH543" s="3">
        <v>17</v>
      </c>
      <c r="AI543" s="3">
        <v>18</v>
      </c>
      <c r="AJ543" s="205"/>
      <c r="AM543" s="3"/>
    </row>
    <row r="544" spans="1:39" ht="25.5" x14ac:dyDescent="0.3">
      <c r="A544" s="5" t="str">
        <f t="shared" si="134"/>
        <v>BBD130</v>
      </c>
      <c r="B544" s="1" t="s">
        <v>1470</v>
      </c>
      <c r="C544" s="2" t="str">
        <f t="shared" si="130"/>
        <v>DIO1</v>
      </c>
      <c r="D544" s="2">
        <v>130</v>
      </c>
      <c r="E544" s="3">
        <f t="shared" si="131"/>
        <v>2</v>
      </c>
      <c r="F544" s="3">
        <f t="shared" si="132"/>
        <v>6</v>
      </c>
      <c r="G544" s="3">
        <v>0</v>
      </c>
      <c r="H544" s="60">
        <f t="shared" si="136"/>
        <v>3</v>
      </c>
      <c r="I544" s="54">
        <f t="shared" si="135"/>
        <v>9</v>
      </c>
      <c r="J544" s="61"/>
      <c r="K544" s="30"/>
      <c r="L544" s="1" t="s">
        <v>21</v>
      </c>
      <c r="M544" s="24"/>
      <c r="N544" s="24"/>
      <c r="O544" s="24"/>
      <c r="P544" s="24"/>
      <c r="Q544" s="24"/>
      <c r="R544" s="24"/>
      <c r="S544" s="235"/>
      <c r="T544" s="24"/>
      <c r="V544" s="1" t="str">
        <f t="shared" si="133"/>
        <v>2.6\0.3:9</v>
      </c>
      <c r="Y544" s="248" t="s">
        <v>1515</v>
      </c>
      <c r="Z544" s="206" t="s">
        <v>1062</v>
      </c>
      <c r="AA544" s="206"/>
      <c r="AC544" s="7"/>
      <c r="AD544" s="7"/>
      <c r="AE544" s="7"/>
      <c r="AG544" s="3" t="s">
        <v>612</v>
      </c>
      <c r="AH544" s="3">
        <v>19</v>
      </c>
      <c r="AI544" s="3">
        <v>20</v>
      </c>
      <c r="AJ544" s="205"/>
      <c r="AM544" s="3"/>
    </row>
    <row r="545" spans="1:39" x14ac:dyDescent="0.3">
      <c r="A545" s="5" t="str">
        <f t="shared" si="134"/>
        <v>BBD130</v>
      </c>
      <c r="B545" s="1" t="s">
        <v>1470</v>
      </c>
      <c r="C545" s="2" t="str">
        <f t="shared" si="130"/>
        <v>DIO1</v>
      </c>
      <c r="D545" s="2">
        <v>130</v>
      </c>
      <c r="E545" s="3">
        <f t="shared" si="131"/>
        <v>2</v>
      </c>
      <c r="F545" s="3">
        <f t="shared" si="132"/>
        <v>6</v>
      </c>
      <c r="G545" s="3">
        <v>0</v>
      </c>
      <c r="H545" s="60">
        <f t="shared" si="136"/>
        <v>3</v>
      </c>
      <c r="I545" s="54">
        <f t="shared" si="135"/>
        <v>10</v>
      </c>
      <c r="J545" s="61"/>
      <c r="K545" s="30"/>
      <c r="L545" s="1" t="s">
        <v>21</v>
      </c>
      <c r="M545" s="2">
        <v>4</v>
      </c>
      <c r="N545" s="1" t="s">
        <v>1514</v>
      </c>
      <c r="O545" s="220" t="s">
        <v>1452</v>
      </c>
      <c r="P545" s="220" t="s">
        <v>1451</v>
      </c>
      <c r="Q545" s="1" t="s">
        <v>1450</v>
      </c>
      <c r="R545" s="1" t="s">
        <v>18</v>
      </c>
      <c r="S545" s="13" t="s">
        <v>1447</v>
      </c>
      <c r="T545" s="1" t="s">
        <v>1442</v>
      </c>
      <c r="V545" s="1" t="str">
        <f t="shared" si="133"/>
        <v>2.6\0.3:10</v>
      </c>
      <c r="W545" s="1" t="s">
        <v>1441</v>
      </c>
      <c r="X545" s="18">
        <v>0</v>
      </c>
      <c r="Z545" s="201" t="s">
        <v>1198</v>
      </c>
      <c r="AC545" s="7"/>
      <c r="AD545" s="7"/>
      <c r="AE545" s="7"/>
      <c r="AG545" s="3" t="s">
        <v>612</v>
      </c>
      <c r="AH545" s="3">
        <v>21</v>
      </c>
      <c r="AI545" s="3">
        <v>22</v>
      </c>
      <c r="AJ545" s="205"/>
      <c r="AM545" s="3"/>
    </row>
    <row r="546" spans="1:39" x14ac:dyDescent="0.3">
      <c r="A546" s="5" t="str">
        <f t="shared" si="134"/>
        <v>BBD130</v>
      </c>
      <c r="B546" s="1" t="s">
        <v>1470</v>
      </c>
      <c r="C546" s="2" t="str">
        <f t="shared" si="130"/>
        <v>DIO1</v>
      </c>
      <c r="D546" s="2">
        <v>130</v>
      </c>
      <c r="E546" s="3">
        <f t="shared" si="131"/>
        <v>2</v>
      </c>
      <c r="F546" s="3">
        <f t="shared" si="132"/>
        <v>6</v>
      </c>
      <c r="G546" s="3">
        <v>0</v>
      </c>
      <c r="H546" s="60">
        <f t="shared" si="136"/>
        <v>3</v>
      </c>
      <c r="I546" s="54">
        <f t="shared" si="135"/>
        <v>11</v>
      </c>
      <c r="J546" s="61"/>
      <c r="K546" s="30"/>
      <c r="L546" s="1" t="s">
        <v>21</v>
      </c>
      <c r="M546" s="2">
        <v>4</v>
      </c>
      <c r="N546" s="1" t="s">
        <v>1513</v>
      </c>
      <c r="O546" s="220" t="s">
        <v>985</v>
      </c>
      <c r="P546" s="220" t="s">
        <v>1512</v>
      </c>
      <c r="Q546" s="1" t="s">
        <v>1511</v>
      </c>
      <c r="R546" s="1" t="s">
        <v>18</v>
      </c>
      <c r="S546" s="13"/>
      <c r="T546" s="1" t="s">
        <v>591</v>
      </c>
      <c r="V546" s="1" t="str">
        <f t="shared" si="133"/>
        <v>2.6\0.3:11</v>
      </c>
      <c r="W546" s="1" t="s">
        <v>1500</v>
      </c>
      <c r="X546" s="18">
        <v>0</v>
      </c>
      <c r="Z546" s="201" t="s">
        <v>1062</v>
      </c>
      <c r="AC546" s="7"/>
      <c r="AD546" s="7"/>
      <c r="AE546" s="7"/>
      <c r="AG546" s="3" t="s">
        <v>612</v>
      </c>
      <c r="AH546" s="3">
        <v>23</v>
      </c>
      <c r="AI546" s="3">
        <v>24</v>
      </c>
      <c r="AJ546" s="205"/>
      <c r="AM546" s="3"/>
    </row>
    <row r="547" spans="1:39" x14ac:dyDescent="0.3">
      <c r="A547" s="5" t="str">
        <f t="shared" si="134"/>
        <v>BBD130</v>
      </c>
      <c r="B547" s="1" t="s">
        <v>1470</v>
      </c>
      <c r="C547" s="2" t="str">
        <f t="shared" si="130"/>
        <v>DIO1</v>
      </c>
      <c r="D547" s="2">
        <v>130</v>
      </c>
      <c r="E547" s="3">
        <f t="shared" si="131"/>
        <v>2</v>
      </c>
      <c r="F547" s="3">
        <f t="shared" si="132"/>
        <v>6</v>
      </c>
      <c r="G547" s="3">
        <v>0</v>
      </c>
      <c r="H547" s="60">
        <f t="shared" si="136"/>
        <v>3</v>
      </c>
      <c r="I547" s="54">
        <f t="shared" si="135"/>
        <v>12</v>
      </c>
      <c r="J547" s="61"/>
      <c r="K547" s="30"/>
      <c r="L547" s="1" t="s">
        <v>21</v>
      </c>
      <c r="M547" s="2"/>
      <c r="N547" s="40"/>
      <c r="P547" s="40"/>
      <c r="Q547" s="1" t="s">
        <v>302</v>
      </c>
      <c r="R547" s="1" t="s">
        <v>302</v>
      </c>
      <c r="S547" s="13"/>
      <c r="V547" s="1" t="str">
        <f t="shared" si="133"/>
        <v>2.6\0.3:12</v>
      </c>
      <c r="Y547" s="7"/>
      <c r="Z547" s="206" t="s">
        <v>1062</v>
      </c>
      <c r="AA547" s="206"/>
      <c r="AC547" s="7"/>
      <c r="AD547" s="7"/>
      <c r="AE547" s="7"/>
      <c r="AG547" s="3" t="s">
        <v>612</v>
      </c>
      <c r="AH547" s="3">
        <v>25</v>
      </c>
      <c r="AI547" s="3">
        <v>26</v>
      </c>
      <c r="AJ547" s="205"/>
      <c r="AM547" s="3"/>
    </row>
    <row r="548" spans="1:39" x14ac:dyDescent="0.3">
      <c r="A548" s="5" t="str">
        <f t="shared" si="134"/>
        <v>BBD130</v>
      </c>
      <c r="B548" s="1" t="s">
        <v>1470</v>
      </c>
      <c r="C548" s="2" t="str">
        <f t="shared" si="130"/>
        <v>DIO1</v>
      </c>
      <c r="D548" s="2">
        <v>130</v>
      </c>
      <c r="E548" s="3">
        <f t="shared" si="131"/>
        <v>2</v>
      </c>
      <c r="F548" s="3">
        <f t="shared" si="132"/>
        <v>6</v>
      </c>
      <c r="G548" s="3">
        <v>0</v>
      </c>
      <c r="H548" s="60">
        <f t="shared" si="136"/>
        <v>3</v>
      </c>
      <c r="I548" s="54">
        <f t="shared" si="135"/>
        <v>13</v>
      </c>
      <c r="J548" s="61"/>
      <c r="K548" s="30"/>
      <c r="L548" s="1" t="s">
        <v>21</v>
      </c>
      <c r="M548" s="2"/>
      <c r="N548" s="40"/>
      <c r="P548" s="40"/>
      <c r="Q548" s="1" t="s">
        <v>302</v>
      </c>
      <c r="R548" s="1" t="s">
        <v>302</v>
      </c>
      <c r="S548" s="13"/>
      <c r="V548" s="1" t="str">
        <f t="shared" si="133"/>
        <v>2.6\0.3:13</v>
      </c>
      <c r="Y548" s="7"/>
      <c r="Z548" s="201" t="s">
        <v>1062</v>
      </c>
      <c r="AA548" s="206"/>
      <c r="AC548" s="7"/>
      <c r="AD548" s="7"/>
      <c r="AE548" s="7"/>
      <c r="AG548" s="3" t="s">
        <v>612</v>
      </c>
      <c r="AH548" s="3">
        <v>27</v>
      </c>
      <c r="AI548" s="3">
        <v>28</v>
      </c>
      <c r="AJ548" s="205"/>
      <c r="AM548" s="3"/>
    </row>
    <row r="549" spans="1:39" x14ac:dyDescent="0.3">
      <c r="A549" s="5" t="str">
        <f t="shared" si="134"/>
        <v>BBD130</v>
      </c>
      <c r="B549" s="1" t="s">
        <v>1470</v>
      </c>
      <c r="C549" s="2" t="str">
        <f t="shared" si="130"/>
        <v>DIO1</v>
      </c>
      <c r="D549" s="2">
        <v>130</v>
      </c>
      <c r="E549" s="3">
        <f t="shared" si="131"/>
        <v>2</v>
      </c>
      <c r="F549" s="3">
        <f t="shared" si="132"/>
        <v>6</v>
      </c>
      <c r="G549" s="3">
        <v>0</v>
      </c>
      <c r="H549" s="60">
        <f t="shared" si="136"/>
        <v>3</v>
      </c>
      <c r="I549" s="54">
        <f t="shared" si="135"/>
        <v>14</v>
      </c>
      <c r="J549" s="61"/>
      <c r="K549" s="30"/>
      <c r="L549" s="1" t="s">
        <v>21</v>
      </c>
      <c r="M549" s="2"/>
      <c r="N549" s="40"/>
      <c r="O549" s="12"/>
      <c r="P549" s="239"/>
      <c r="Q549" s="12" t="s">
        <v>302</v>
      </c>
      <c r="R549" s="12" t="s">
        <v>302</v>
      </c>
      <c r="S549" s="13"/>
      <c r="V549" s="1" t="str">
        <f t="shared" si="133"/>
        <v>2.6\0.3:14</v>
      </c>
      <c r="Y549" s="7"/>
      <c r="Z549" s="206" t="s">
        <v>1062</v>
      </c>
      <c r="AA549" s="206"/>
      <c r="AC549" s="7"/>
      <c r="AD549" s="7"/>
      <c r="AE549" s="7"/>
      <c r="AG549" s="3" t="s">
        <v>612</v>
      </c>
      <c r="AH549" s="3">
        <v>29</v>
      </c>
      <c r="AI549" s="3">
        <v>30</v>
      </c>
      <c r="AJ549" s="205"/>
      <c r="AM549" s="3"/>
    </row>
    <row r="550" spans="1:39" x14ac:dyDescent="0.3">
      <c r="A550" s="5" t="str">
        <f t="shared" si="134"/>
        <v>BBD130</v>
      </c>
      <c r="B550" s="1" t="s">
        <v>1470</v>
      </c>
      <c r="C550" s="2" t="str">
        <f t="shared" si="130"/>
        <v>DIO1</v>
      </c>
      <c r="D550" s="2">
        <v>130</v>
      </c>
      <c r="E550" s="3">
        <f t="shared" si="131"/>
        <v>2</v>
      </c>
      <c r="F550" s="3">
        <f t="shared" si="132"/>
        <v>6</v>
      </c>
      <c r="G550" s="3">
        <v>0</v>
      </c>
      <c r="H550" s="60">
        <f t="shared" ref="H550:H566" si="137">H546</f>
        <v>3</v>
      </c>
      <c r="I550" s="54">
        <f t="shared" si="135"/>
        <v>15</v>
      </c>
      <c r="J550" s="61"/>
      <c r="K550" s="30"/>
      <c r="L550" s="1" t="s">
        <v>21</v>
      </c>
      <c r="M550" s="2"/>
      <c r="N550" s="40"/>
      <c r="P550" s="40"/>
      <c r="Q550" s="1" t="s">
        <v>302</v>
      </c>
      <c r="R550" s="1" t="s">
        <v>302</v>
      </c>
      <c r="S550" s="13"/>
      <c r="V550" s="1" t="str">
        <f t="shared" si="133"/>
        <v>2.6\0.3:15</v>
      </c>
      <c r="Y550" s="7"/>
      <c r="Z550" s="201" t="s">
        <v>1062</v>
      </c>
      <c r="AA550" s="206"/>
      <c r="AC550" s="7"/>
      <c r="AD550" s="7"/>
      <c r="AE550" s="7"/>
      <c r="AG550" s="3" t="s">
        <v>612</v>
      </c>
      <c r="AH550" s="3">
        <v>31</v>
      </c>
      <c r="AI550" s="3">
        <v>32</v>
      </c>
      <c r="AJ550" s="205"/>
      <c r="AM550" s="3"/>
    </row>
    <row r="551" spans="1:39" x14ac:dyDescent="0.3">
      <c r="A551" s="5" t="str">
        <f t="shared" si="134"/>
        <v>BBD130</v>
      </c>
      <c r="B551" s="1" t="s">
        <v>1470</v>
      </c>
      <c r="C551" s="2" t="str">
        <f t="shared" si="130"/>
        <v>DIO1</v>
      </c>
      <c r="D551" s="2">
        <v>130</v>
      </c>
      <c r="E551" s="3">
        <f t="shared" si="131"/>
        <v>2</v>
      </c>
      <c r="F551" s="3">
        <f t="shared" si="132"/>
        <v>6</v>
      </c>
      <c r="G551" s="3">
        <v>0</v>
      </c>
      <c r="H551" s="60">
        <f t="shared" si="137"/>
        <v>3</v>
      </c>
      <c r="I551" s="54">
        <f t="shared" si="135"/>
        <v>16</v>
      </c>
      <c r="J551" s="61"/>
      <c r="K551" s="2"/>
      <c r="L551" s="1" t="s">
        <v>21</v>
      </c>
      <c r="M551" s="2"/>
      <c r="N551" s="40"/>
      <c r="P551" s="40"/>
      <c r="Q551" s="1" t="s">
        <v>302</v>
      </c>
      <c r="R551" s="1" t="s">
        <v>1510</v>
      </c>
      <c r="S551" s="13"/>
      <c r="V551" s="1" t="str">
        <f t="shared" si="133"/>
        <v>2.6\0.3:16</v>
      </c>
      <c r="Y551" s="7"/>
      <c r="Z551" s="206" t="s">
        <v>1062</v>
      </c>
      <c r="AA551" s="206"/>
      <c r="AC551" s="7"/>
      <c r="AD551" s="7"/>
      <c r="AE551" s="7"/>
      <c r="AG551" s="3" t="s">
        <v>570</v>
      </c>
      <c r="AH551" s="3">
        <v>1</v>
      </c>
      <c r="AI551" s="3">
        <v>2</v>
      </c>
      <c r="AJ551" s="205"/>
      <c r="AM551" s="3"/>
    </row>
    <row r="552" spans="1:39" x14ac:dyDescent="0.3">
      <c r="A552" s="5" t="str">
        <f t="shared" si="134"/>
        <v>BBD130</v>
      </c>
      <c r="B552" s="1" t="s">
        <v>1470</v>
      </c>
      <c r="C552" s="2" t="str">
        <f t="shared" si="130"/>
        <v>DIO1</v>
      </c>
      <c r="D552" s="2">
        <v>130</v>
      </c>
      <c r="E552" s="3">
        <f t="shared" si="131"/>
        <v>2</v>
      </c>
      <c r="F552" s="3">
        <f t="shared" si="132"/>
        <v>6</v>
      </c>
      <c r="G552" s="3">
        <v>0</v>
      </c>
      <c r="H552" s="60">
        <f t="shared" si="137"/>
        <v>3</v>
      </c>
      <c r="I552" s="54">
        <f t="shared" si="135"/>
        <v>17</v>
      </c>
      <c r="J552" s="61"/>
      <c r="K552" s="30"/>
      <c r="L552" s="1" t="s">
        <v>21</v>
      </c>
      <c r="M552" s="2"/>
      <c r="N552" s="40"/>
      <c r="P552" s="40"/>
      <c r="Q552" s="41" t="s">
        <v>302</v>
      </c>
      <c r="R552" s="1" t="s">
        <v>302</v>
      </c>
      <c r="S552" s="13"/>
      <c r="V552" s="1" t="str">
        <f t="shared" si="133"/>
        <v>2.6\0.3:17</v>
      </c>
      <c r="Y552" s="7"/>
      <c r="Z552" s="201" t="s">
        <v>1062</v>
      </c>
      <c r="AA552" s="206"/>
      <c r="AC552" s="7"/>
      <c r="AD552" s="7"/>
      <c r="AE552" s="7"/>
      <c r="AG552" s="3" t="s">
        <v>570</v>
      </c>
      <c r="AH552" s="3">
        <v>3</v>
      </c>
      <c r="AI552" s="3">
        <v>4</v>
      </c>
      <c r="AJ552" s="205"/>
      <c r="AM552" s="3"/>
    </row>
    <row r="553" spans="1:39" x14ac:dyDescent="0.3">
      <c r="A553" s="5" t="str">
        <f t="shared" si="134"/>
        <v>BBD130</v>
      </c>
      <c r="B553" s="1" t="s">
        <v>1470</v>
      </c>
      <c r="C553" s="2" t="str">
        <f t="shared" si="130"/>
        <v>DIO1</v>
      </c>
      <c r="D553" s="2">
        <v>130</v>
      </c>
      <c r="E553" s="3">
        <f t="shared" si="131"/>
        <v>2</v>
      </c>
      <c r="F553" s="3">
        <f t="shared" si="132"/>
        <v>6</v>
      </c>
      <c r="G553" s="3">
        <v>0</v>
      </c>
      <c r="H553" s="60">
        <f t="shared" si="137"/>
        <v>3</v>
      </c>
      <c r="I553" s="54">
        <f t="shared" si="135"/>
        <v>18</v>
      </c>
      <c r="J553" s="61"/>
      <c r="K553" s="30"/>
      <c r="L553" s="1" t="s">
        <v>21</v>
      </c>
      <c r="M553" s="2"/>
      <c r="N553" s="40"/>
      <c r="O553" s="12"/>
      <c r="P553" s="239"/>
      <c r="Q553" s="12" t="s">
        <v>302</v>
      </c>
      <c r="R553" s="12" t="s">
        <v>302</v>
      </c>
      <c r="S553" s="13"/>
      <c r="V553" s="1" t="str">
        <f t="shared" si="133"/>
        <v>2.6\0.3:18</v>
      </c>
      <c r="Y553" s="7"/>
      <c r="Z553" s="206" t="s">
        <v>1062</v>
      </c>
      <c r="AA553" s="206"/>
      <c r="AC553" s="7"/>
      <c r="AD553" s="7"/>
      <c r="AE553" s="7"/>
      <c r="AG553" s="3" t="s">
        <v>570</v>
      </c>
      <c r="AH553" s="3">
        <v>5</v>
      </c>
      <c r="AI553" s="3">
        <v>6</v>
      </c>
      <c r="AJ553" s="205"/>
      <c r="AM553" s="3"/>
    </row>
    <row r="554" spans="1:39" x14ac:dyDescent="0.3">
      <c r="A554" s="5" t="str">
        <f t="shared" si="134"/>
        <v>BBD130</v>
      </c>
      <c r="B554" s="1" t="s">
        <v>1470</v>
      </c>
      <c r="C554" s="2" t="str">
        <f t="shared" si="130"/>
        <v>DIO1</v>
      </c>
      <c r="D554" s="2">
        <v>130</v>
      </c>
      <c r="E554" s="3">
        <f t="shared" si="131"/>
        <v>2</v>
      </c>
      <c r="F554" s="3">
        <f t="shared" si="132"/>
        <v>6</v>
      </c>
      <c r="G554" s="3">
        <v>0</v>
      </c>
      <c r="H554" s="60">
        <f t="shared" si="137"/>
        <v>3</v>
      </c>
      <c r="I554" s="54">
        <f t="shared" si="135"/>
        <v>19</v>
      </c>
      <c r="J554" s="61"/>
      <c r="K554" s="30"/>
      <c r="L554" s="1" t="s">
        <v>21</v>
      </c>
      <c r="M554" s="2"/>
      <c r="N554" s="40"/>
      <c r="O554" s="220"/>
      <c r="P554" s="224"/>
      <c r="Q554" s="221" t="s">
        <v>302</v>
      </c>
      <c r="R554" s="220" t="s">
        <v>302</v>
      </c>
      <c r="S554" s="13"/>
      <c r="V554" s="1" t="str">
        <f t="shared" si="133"/>
        <v>2.6\0.3:19</v>
      </c>
      <c r="Y554" s="7"/>
      <c r="Z554" s="201" t="s">
        <v>1062</v>
      </c>
      <c r="AA554" s="206"/>
      <c r="AC554" s="7"/>
      <c r="AD554" s="7"/>
      <c r="AE554" s="7"/>
      <c r="AG554" s="3" t="s">
        <v>570</v>
      </c>
      <c r="AH554" s="3">
        <v>7</v>
      </c>
      <c r="AI554" s="3">
        <v>8</v>
      </c>
      <c r="AJ554" s="205"/>
      <c r="AM554" s="3"/>
    </row>
    <row r="555" spans="1:39" x14ac:dyDescent="0.3">
      <c r="A555" s="5" t="str">
        <f t="shared" si="134"/>
        <v>BBD130</v>
      </c>
      <c r="B555" s="1" t="s">
        <v>1470</v>
      </c>
      <c r="C555" s="2" t="str">
        <f t="shared" si="130"/>
        <v>DIO1</v>
      </c>
      <c r="D555" s="2">
        <v>130</v>
      </c>
      <c r="E555" s="3">
        <f t="shared" si="131"/>
        <v>2</v>
      </c>
      <c r="F555" s="3">
        <f t="shared" si="132"/>
        <v>6</v>
      </c>
      <c r="G555" s="3">
        <v>0</v>
      </c>
      <c r="H555" s="60">
        <f t="shared" si="137"/>
        <v>3</v>
      </c>
      <c r="I555" s="54">
        <f t="shared" si="135"/>
        <v>20</v>
      </c>
      <c r="J555" s="61"/>
      <c r="K555" s="30"/>
      <c r="L555" s="1" t="s">
        <v>21</v>
      </c>
      <c r="M555" s="2"/>
      <c r="N555" s="40"/>
      <c r="O555" s="2"/>
      <c r="P555" s="40"/>
      <c r="Q555" s="2" t="s">
        <v>302</v>
      </c>
      <c r="R555" s="2" t="s">
        <v>302</v>
      </c>
      <c r="S555" s="13"/>
      <c r="V555" s="1" t="str">
        <f t="shared" si="133"/>
        <v>2.6\0.3:20</v>
      </c>
      <c r="Y555" s="7"/>
      <c r="Z555" s="206" t="s">
        <v>1062</v>
      </c>
      <c r="AA555" s="206"/>
      <c r="AC555" s="7"/>
      <c r="AD555" s="7"/>
      <c r="AE555" s="7"/>
      <c r="AG555" s="3" t="s">
        <v>570</v>
      </c>
      <c r="AH555" s="3">
        <v>9</v>
      </c>
      <c r="AI555" s="3">
        <v>10</v>
      </c>
      <c r="AJ555" s="205"/>
      <c r="AM555" s="3"/>
    </row>
    <row r="556" spans="1:39" x14ac:dyDescent="0.3">
      <c r="A556" s="5" t="str">
        <f t="shared" si="134"/>
        <v>BBD130</v>
      </c>
      <c r="B556" s="1" t="s">
        <v>1470</v>
      </c>
      <c r="C556" s="2" t="str">
        <f t="shared" si="130"/>
        <v>DIO1</v>
      </c>
      <c r="D556" s="2">
        <v>130</v>
      </c>
      <c r="E556" s="3">
        <f t="shared" si="131"/>
        <v>2</v>
      </c>
      <c r="F556" s="3">
        <f t="shared" si="132"/>
        <v>6</v>
      </c>
      <c r="G556" s="3">
        <v>0</v>
      </c>
      <c r="H556" s="60">
        <f t="shared" si="137"/>
        <v>3</v>
      </c>
      <c r="I556" s="54">
        <f t="shared" si="135"/>
        <v>21</v>
      </c>
      <c r="J556" s="61"/>
      <c r="K556" s="30"/>
      <c r="L556" s="1" t="s">
        <v>21</v>
      </c>
      <c r="M556" s="2"/>
      <c r="N556" s="40"/>
      <c r="O556" s="2"/>
      <c r="P556" s="40"/>
      <c r="Q556" s="2" t="s">
        <v>302</v>
      </c>
      <c r="R556" s="2" t="s">
        <v>302</v>
      </c>
      <c r="S556" s="13"/>
      <c r="V556" s="1" t="str">
        <f t="shared" si="133"/>
        <v>2.6\0.3:21</v>
      </c>
      <c r="Y556" s="7"/>
      <c r="Z556" s="201" t="s">
        <v>1062</v>
      </c>
      <c r="AA556" s="206"/>
      <c r="AC556" s="7"/>
      <c r="AD556" s="7"/>
      <c r="AE556" s="7"/>
      <c r="AG556" s="3" t="s">
        <v>570</v>
      </c>
      <c r="AH556" s="3">
        <v>11</v>
      </c>
      <c r="AI556" s="3">
        <v>12</v>
      </c>
      <c r="AJ556" s="205"/>
      <c r="AM556" s="3"/>
    </row>
    <row r="557" spans="1:39" x14ac:dyDescent="0.3">
      <c r="A557" s="5" t="str">
        <f t="shared" si="134"/>
        <v>BBD130</v>
      </c>
      <c r="B557" s="1" t="s">
        <v>1470</v>
      </c>
      <c r="C557" s="2" t="str">
        <f t="shared" si="130"/>
        <v>DIO1</v>
      </c>
      <c r="D557" s="2">
        <v>130</v>
      </c>
      <c r="E557" s="3">
        <f t="shared" si="131"/>
        <v>2</v>
      </c>
      <c r="F557" s="3">
        <f t="shared" si="132"/>
        <v>6</v>
      </c>
      <c r="G557" s="3">
        <v>0</v>
      </c>
      <c r="H557" s="60">
        <f t="shared" si="137"/>
        <v>3</v>
      </c>
      <c r="I557" s="54">
        <f t="shared" si="135"/>
        <v>22</v>
      </c>
      <c r="J557" s="61"/>
      <c r="K557" s="30"/>
      <c r="L557" s="1" t="s">
        <v>21</v>
      </c>
      <c r="M557" s="2"/>
      <c r="N557" s="40"/>
      <c r="O557" s="2"/>
      <c r="P557" s="40"/>
      <c r="Q557" s="2" t="s">
        <v>302</v>
      </c>
      <c r="R557" s="2" t="s">
        <v>302</v>
      </c>
      <c r="S557" s="13"/>
      <c r="V557" s="1" t="str">
        <f t="shared" si="133"/>
        <v>2.6\0.3:22</v>
      </c>
      <c r="Z557" s="206" t="s">
        <v>1062</v>
      </c>
      <c r="AG557" s="3" t="s">
        <v>570</v>
      </c>
      <c r="AH557" s="3">
        <v>13</v>
      </c>
      <c r="AI557" s="3">
        <v>14</v>
      </c>
      <c r="AJ557" s="205"/>
      <c r="AM557" s="3"/>
    </row>
    <row r="558" spans="1:39" x14ac:dyDescent="0.3">
      <c r="A558" s="5" t="str">
        <f t="shared" si="134"/>
        <v>BBD130</v>
      </c>
      <c r="B558" s="1" t="s">
        <v>1470</v>
      </c>
      <c r="C558" s="2" t="str">
        <f t="shared" si="130"/>
        <v>DIO1</v>
      </c>
      <c r="D558" s="2">
        <v>130</v>
      </c>
      <c r="E558" s="3">
        <f t="shared" si="131"/>
        <v>2</v>
      </c>
      <c r="F558" s="3">
        <f t="shared" si="132"/>
        <v>6</v>
      </c>
      <c r="G558" s="3">
        <v>0</v>
      </c>
      <c r="H558" s="60">
        <f t="shared" si="137"/>
        <v>3</v>
      </c>
      <c r="I558" s="54">
        <f t="shared" si="135"/>
        <v>23</v>
      </c>
      <c r="J558" s="61"/>
      <c r="K558" s="30"/>
      <c r="L558" s="1" t="s">
        <v>21</v>
      </c>
      <c r="M558" s="2"/>
      <c r="N558" s="40"/>
      <c r="O558" s="2"/>
      <c r="P558" s="40"/>
      <c r="Q558" s="2" t="s">
        <v>302</v>
      </c>
      <c r="R558" s="2" t="s">
        <v>302</v>
      </c>
      <c r="S558" s="13"/>
      <c r="V558" s="1" t="str">
        <f t="shared" si="133"/>
        <v>2.6\0.3:23</v>
      </c>
      <c r="Z558" s="201" t="s">
        <v>1062</v>
      </c>
      <c r="AG558" s="3" t="s">
        <v>570</v>
      </c>
      <c r="AH558" s="3">
        <v>15</v>
      </c>
      <c r="AI558" s="3">
        <v>16</v>
      </c>
      <c r="AJ558" s="205"/>
      <c r="AM558" s="3"/>
    </row>
    <row r="559" spans="1:39" x14ac:dyDescent="0.3">
      <c r="A559" s="5" t="str">
        <f t="shared" si="134"/>
        <v>BBD130</v>
      </c>
      <c r="B559" s="1" t="s">
        <v>1470</v>
      </c>
      <c r="C559" s="2" t="str">
        <f t="shared" si="130"/>
        <v>DIO1</v>
      </c>
      <c r="D559" s="2">
        <v>130</v>
      </c>
      <c r="E559" s="3">
        <f t="shared" si="131"/>
        <v>2</v>
      </c>
      <c r="F559" s="3">
        <f t="shared" si="132"/>
        <v>6</v>
      </c>
      <c r="G559" s="3">
        <v>0</v>
      </c>
      <c r="H559" s="60">
        <f t="shared" si="137"/>
        <v>3</v>
      </c>
      <c r="I559" s="54">
        <f t="shared" si="135"/>
        <v>24</v>
      </c>
      <c r="J559" s="61"/>
      <c r="K559" s="30"/>
      <c r="L559" s="1" t="s">
        <v>21</v>
      </c>
      <c r="M559" s="2"/>
      <c r="N559" s="40"/>
      <c r="O559" s="2"/>
      <c r="P559" s="40"/>
      <c r="Q559" s="2" t="s">
        <v>302</v>
      </c>
      <c r="R559" s="2" t="s">
        <v>302</v>
      </c>
      <c r="S559" s="13"/>
      <c r="V559" s="1" t="str">
        <f t="shared" si="133"/>
        <v>2.6\0.3:24</v>
      </c>
      <c r="Z559" s="206" t="s">
        <v>1062</v>
      </c>
      <c r="AG559" s="3" t="s">
        <v>570</v>
      </c>
      <c r="AH559" s="3">
        <v>17</v>
      </c>
      <c r="AI559" s="3">
        <v>18</v>
      </c>
      <c r="AJ559" s="205"/>
      <c r="AM559" s="3"/>
    </row>
    <row r="560" spans="1:39" x14ac:dyDescent="0.3">
      <c r="A560" s="5" t="str">
        <f t="shared" si="134"/>
        <v>BBD130</v>
      </c>
      <c r="B560" s="1" t="s">
        <v>1470</v>
      </c>
      <c r="C560" s="2" t="str">
        <f t="shared" si="130"/>
        <v>DIO1</v>
      </c>
      <c r="D560" s="2">
        <v>130</v>
      </c>
      <c r="E560" s="3">
        <f t="shared" si="131"/>
        <v>2</v>
      </c>
      <c r="F560" s="3">
        <f t="shared" si="132"/>
        <v>6</v>
      </c>
      <c r="G560" s="3">
        <v>0</v>
      </c>
      <c r="H560" s="60">
        <f t="shared" si="137"/>
        <v>3</v>
      </c>
      <c r="I560" s="54">
        <f t="shared" si="135"/>
        <v>25</v>
      </c>
      <c r="J560" s="61"/>
      <c r="K560" s="30"/>
      <c r="L560" s="1" t="s">
        <v>21</v>
      </c>
      <c r="M560" s="2"/>
      <c r="N560" s="40"/>
      <c r="P560" s="40"/>
      <c r="Q560" s="1" t="s">
        <v>302</v>
      </c>
      <c r="R560" s="1" t="s">
        <v>302</v>
      </c>
      <c r="S560" s="13"/>
      <c r="V560" s="1" t="str">
        <f t="shared" si="133"/>
        <v>2.6\0.3:25</v>
      </c>
      <c r="Z560" s="201" t="s">
        <v>1062</v>
      </c>
      <c r="AG560" s="3" t="s">
        <v>570</v>
      </c>
      <c r="AH560" s="3">
        <v>19</v>
      </c>
      <c r="AI560" s="3">
        <v>20</v>
      </c>
      <c r="AJ560" s="205"/>
      <c r="AM560" s="3"/>
    </row>
    <row r="561" spans="1:39" x14ac:dyDescent="0.3">
      <c r="A561" s="5" t="str">
        <f t="shared" si="134"/>
        <v>BBD130</v>
      </c>
      <c r="B561" s="1" t="s">
        <v>1470</v>
      </c>
      <c r="C561" s="2" t="str">
        <f t="shared" si="130"/>
        <v>DIO1</v>
      </c>
      <c r="D561" s="2">
        <v>130</v>
      </c>
      <c r="E561" s="3">
        <f t="shared" si="131"/>
        <v>2</v>
      </c>
      <c r="F561" s="3">
        <f t="shared" si="132"/>
        <v>6</v>
      </c>
      <c r="G561" s="3">
        <v>0</v>
      </c>
      <c r="H561" s="60">
        <f t="shared" si="137"/>
        <v>3</v>
      </c>
      <c r="I561" s="54">
        <f t="shared" si="135"/>
        <v>26</v>
      </c>
      <c r="J561" s="61"/>
      <c r="K561" s="30"/>
      <c r="L561" s="1" t="s">
        <v>21</v>
      </c>
      <c r="M561" s="2"/>
      <c r="N561" s="40"/>
      <c r="P561" s="40"/>
      <c r="Q561" s="1" t="s">
        <v>302</v>
      </c>
      <c r="R561" s="1" t="s">
        <v>302</v>
      </c>
      <c r="S561" s="13"/>
      <c r="V561" s="1" t="str">
        <f t="shared" si="133"/>
        <v>2.6\0.3:26</v>
      </c>
      <c r="Z561" s="206" t="s">
        <v>1062</v>
      </c>
      <c r="AG561" s="3" t="s">
        <v>570</v>
      </c>
      <c r="AH561" s="3">
        <v>21</v>
      </c>
      <c r="AI561" s="3">
        <v>22</v>
      </c>
      <c r="AJ561" s="205"/>
      <c r="AM561" s="3"/>
    </row>
    <row r="562" spans="1:39" x14ac:dyDescent="0.3">
      <c r="A562" s="5" t="str">
        <f t="shared" si="134"/>
        <v>BBD130</v>
      </c>
      <c r="B562" s="1" t="s">
        <v>1470</v>
      </c>
      <c r="C562" s="2" t="str">
        <f t="shared" si="130"/>
        <v>DIO1</v>
      </c>
      <c r="D562" s="2">
        <v>130</v>
      </c>
      <c r="E562" s="3">
        <f t="shared" si="131"/>
        <v>2</v>
      </c>
      <c r="F562" s="3">
        <f t="shared" si="132"/>
        <v>6</v>
      </c>
      <c r="G562" s="3">
        <v>0</v>
      </c>
      <c r="H562" s="60">
        <f t="shared" si="137"/>
        <v>3</v>
      </c>
      <c r="I562" s="54">
        <f t="shared" si="135"/>
        <v>27</v>
      </c>
      <c r="J562" s="61"/>
      <c r="K562" s="30"/>
      <c r="L562" s="1" t="s">
        <v>21</v>
      </c>
      <c r="M562" s="2"/>
      <c r="N562" s="40"/>
      <c r="P562" s="40"/>
      <c r="Q562" s="1" t="s">
        <v>302</v>
      </c>
      <c r="R562" s="1" t="s">
        <v>302</v>
      </c>
      <c r="S562" s="13"/>
      <c r="V562" s="1" t="str">
        <f t="shared" si="133"/>
        <v>2.6\0.3:27</v>
      </c>
      <c r="Z562" s="201" t="s">
        <v>1062</v>
      </c>
      <c r="AG562" s="3" t="s">
        <v>570</v>
      </c>
      <c r="AH562" s="3">
        <v>23</v>
      </c>
      <c r="AI562" s="3">
        <v>24</v>
      </c>
      <c r="AJ562" s="205"/>
      <c r="AM562" s="3"/>
    </row>
    <row r="563" spans="1:39" x14ac:dyDescent="0.3">
      <c r="A563" s="5" t="str">
        <f t="shared" si="134"/>
        <v>BBD130</v>
      </c>
      <c r="B563" s="1" t="s">
        <v>1470</v>
      </c>
      <c r="C563" s="2" t="str">
        <f t="shared" si="130"/>
        <v>DIO1</v>
      </c>
      <c r="D563" s="2">
        <v>130</v>
      </c>
      <c r="E563" s="3">
        <f t="shared" si="131"/>
        <v>2</v>
      </c>
      <c r="F563" s="3">
        <f t="shared" si="132"/>
        <v>6</v>
      </c>
      <c r="G563" s="3">
        <v>0</v>
      </c>
      <c r="H563" s="60">
        <f t="shared" si="137"/>
        <v>3</v>
      </c>
      <c r="I563" s="54">
        <f t="shared" si="135"/>
        <v>28</v>
      </c>
      <c r="J563" s="61"/>
      <c r="K563" s="30"/>
      <c r="L563" s="1" t="s">
        <v>21</v>
      </c>
      <c r="M563" s="2"/>
      <c r="N563" s="40"/>
      <c r="P563" s="40"/>
      <c r="Q563" s="1" t="s">
        <v>302</v>
      </c>
      <c r="R563" s="1" t="s">
        <v>302</v>
      </c>
      <c r="S563" s="13"/>
      <c r="V563" s="1" t="str">
        <f t="shared" si="133"/>
        <v>2.6\0.3:28</v>
      </c>
      <c r="Z563" s="206" t="s">
        <v>1062</v>
      </c>
      <c r="AG563" s="3" t="s">
        <v>570</v>
      </c>
      <c r="AH563" s="3">
        <v>25</v>
      </c>
      <c r="AI563" s="3">
        <v>26</v>
      </c>
      <c r="AJ563" s="205"/>
      <c r="AM563" s="3"/>
    </row>
    <row r="564" spans="1:39" x14ac:dyDescent="0.3">
      <c r="A564" s="5" t="str">
        <f t="shared" si="134"/>
        <v>BBD130</v>
      </c>
      <c r="B564" s="1" t="s">
        <v>1470</v>
      </c>
      <c r="C564" s="2" t="str">
        <f t="shared" si="130"/>
        <v>DIO1</v>
      </c>
      <c r="D564" s="2">
        <v>130</v>
      </c>
      <c r="E564" s="3">
        <f t="shared" si="131"/>
        <v>2</v>
      </c>
      <c r="F564" s="3">
        <f t="shared" si="132"/>
        <v>6</v>
      </c>
      <c r="G564" s="3">
        <v>0</v>
      </c>
      <c r="H564" s="60">
        <f t="shared" si="137"/>
        <v>3</v>
      </c>
      <c r="I564" s="54">
        <f t="shared" si="135"/>
        <v>29</v>
      </c>
      <c r="J564" s="61"/>
      <c r="K564" s="30"/>
      <c r="L564" s="1" t="s">
        <v>21</v>
      </c>
      <c r="M564" s="2"/>
      <c r="N564" s="40"/>
      <c r="P564" s="40"/>
      <c r="Q564" s="1" t="s">
        <v>302</v>
      </c>
      <c r="R564" s="1" t="s">
        <v>302</v>
      </c>
      <c r="S564" s="13"/>
      <c r="V564" s="1" t="str">
        <f t="shared" si="133"/>
        <v>2.6\0.3:29</v>
      </c>
      <c r="Z564" s="201" t="s">
        <v>1062</v>
      </c>
      <c r="AG564" s="3" t="s">
        <v>570</v>
      </c>
      <c r="AH564" s="3">
        <v>27</v>
      </c>
      <c r="AI564" s="3">
        <v>28</v>
      </c>
      <c r="AJ564" s="205"/>
      <c r="AM564" s="3"/>
    </row>
    <row r="565" spans="1:39" x14ac:dyDescent="0.3">
      <c r="A565" s="5" t="str">
        <f t="shared" si="134"/>
        <v>BBD130</v>
      </c>
      <c r="B565" s="1" t="s">
        <v>1470</v>
      </c>
      <c r="C565" s="2" t="str">
        <f t="shared" si="130"/>
        <v>DIO1</v>
      </c>
      <c r="D565" s="2">
        <v>130</v>
      </c>
      <c r="E565" s="3">
        <f t="shared" si="131"/>
        <v>2</v>
      </c>
      <c r="F565" s="3">
        <f t="shared" si="132"/>
        <v>6</v>
      </c>
      <c r="G565" s="3">
        <v>0</v>
      </c>
      <c r="H565" s="60">
        <f t="shared" si="137"/>
        <v>3</v>
      </c>
      <c r="I565" s="54">
        <f t="shared" si="135"/>
        <v>30</v>
      </c>
      <c r="J565" s="61"/>
      <c r="K565" s="30"/>
      <c r="L565" s="1" t="s">
        <v>21</v>
      </c>
      <c r="M565" s="2"/>
      <c r="N565" s="40"/>
      <c r="P565" s="40"/>
      <c r="Q565" s="1" t="s">
        <v>302</v>
      </c>
      <c r="R565" s="1" t="s">
        <v>302</v>
      </c>
      <c r="S565" s="13"/>
      <c r="V565" s="1" t="str">
        <f t="shared" si="133"/>
        <v>2.6\0.3:30</v>
      </c>
      <c r="Z565" s="206" t="s">
        <v>1062</v>
      </c>
      <c r="AG565" s="3" t="s">
        <v>570</v>
      </c>
      <c r="AH565" s="3">
        <v>29</v>
      </c>
      <c r="AI565" s="3">
        <v>30</v>
      </c>
      <c r="AJ565" s="205"/>
      <c r="AM565" s="3"/>
    </row>
    <row r="566" spans="1:39" ht="13.5" thickBot="1" x14ac:dyDescent="0.35">
      <c r="A566" s="5" t="str">
        <f t="shared" si="134"/>
        <v>BBD130</v>
      </c>
      <c r="B566" s="1" t="s">
        <v>1470</v>
      </c>
      <c r="C566" s="2" t="str">
        <f t="shared" si="130"/>
        <v>DIO1</v>
      </c>
      <c r="D566" s="2">
        <v>130</v>
      </c>
      <c r="E566" s="3">
        <f t="shared" si="131"/>
        <v>2</v>
      </c>
      <c r="F566" s="3">
        <f t="shared" si="132"/>
        <v>6</v>
      </c>
      <c r="G566" s="3">
        <v>0</v>
      </c>
      <c r="H566" s="60">
        <f t="shared" si="137"/>
        <v>3</v>
      </c>
      <c r="I566" s="59">
        <f t="shared" si="135"/>
        <v>31</v>
      </c>
      <c r="J566" s="58"/>
      <c r="K566" s="30"/>
      <c r="L566" s="1" t="s">
        <v>21</v>
      </c>
      <c r="M566" s="2"/>
      <c r="N566" s="40"/>
      <c r="P566" s="40"/>
      <c r="Q566" s="1" t="s">
        <v>302</v>
      </c>
      <c r="S566" s="13"/>
      <c r="V566" s="1" t="str">
        <f t="shared" si="133"/>
        <v>2.6\0.3:31</v>
      </c>
      <c r="Z566" s="201" t="s">
        <v>1062</v>
      </c>
      <c r="AG566" s="3" t="s">
        <v>570</v>
      </c>
      <c r="AH566" s="3">
        <v>31</v>
      </c>
      <c r="AI566" s="3">
        <v>32</v>
      </c>
      <c r="AJ566" s="205"/>
      <c r="AM566" s="3"/>
    </row>
    <row r="567" spans="1:39" x14ac:dyDescent="0.3">
      <c r="A567" s="76" t="s">
        <v>1471</v>
      </c>
      <c r="B567" s="1" t="s">
        <v>1470</v>
      </c>
      <c r="C567" s="2" t="str">
        <f>+C534</f>
        <v>DIO1</v>
      </c>
      <c r="D567" s="2">
        <v>130</v>
      </c>
      <c r="E567" s="3">
        <f>+E534</f>
        <v>2</v>
      </c>
      <c r="F567" s="3">
        <f>+F534</f>
        <v>6</v>
      </c>
      <c r="G567" s="3">
        <v>0</v>
      </c>
      <c r="H567" s="62">
        <v>4</v>
      </c>
      <c r="I567" s="56">
        <v>0</v>
      </c>
      <c r="J567" s="79" t="s">
        <v>549</v>
      </c>
      <c r="K567" s="2" t="s">
        <v>548</v>
      </c>
      <c r="L567" s="30" t="s">
        <v>42</v>
      </c>
      <c r="M567" s="2">
        <v>4</v>
      </c>
      <c r="N567" s="1" t="s">
        <v>1509</v>
      </c>
      <c r="O567" s="1" t="s">
        <v>1126</v>
      </c>
      <c r="P567" s="1" t="s">
        <v>1462</v>
      </c>
      <c r="Q567" s="1" t="s">
        <v>1125</v>
      </c>
      <c r="S567" s="13"/>
      <c r="T567" s="1" t="s">
        <v>71</v>
      </c>
      <c r="V567" s="1" t="str">
        <f t="shared" ref="V567:V598" si="138">+CONCATENATE(E567,".",F567,"\",G567,".",H567,":",I567)</f>
        <v>2.6\0.4:0</v>
      </c>
      <c r="W567" s="1" t="s">
        <v>1500</v>
      </c>
      <c r="X567" s="18">
        <v>0</v>
      </c>
      <c r="Z567" s="206" t="s">
        <v>1062</v>
      </c>
      <c r="AG567" s="3" t="s">
        <v>588</v>
      </c>
      <c r="AH567" s="3">
        <v>1</v>
      </c>
      <c r="AI567" s="3">
        <v>2</v>
      </c>
      <c r="AJ567" s="205"/>
      <c r="AM567" s="3"/>
    </row>
    <row r="568" spans="1:39" x14ac:dyDescent="0.3">
      <c r="A568" s="5" t="str">
        <f t="shared" ref="A568:A582" si="139">A567</f>
        <v>BBD130</v>
      </c>
      <c r="B568" s="1" t="s">
        <v>1470</v>
      </c>
      <c r="C568" s="2" t="str">
        <f t="shared" ref="C568:C614" si="140">+C567</f>
        <v>DIO1</v>
      </c>
      <c r="D568" s="2">
        <v>130</v>
      </c>
      <c r="E568" s="3">
        <f t="shared" ref="E568:E614" si="141">+E567</f>
        <v>2</v>
      </c>
      <c r="F568" s="3">
        <f t="shared" ref="F568:F614" si="142">+F567</f>
        <v>6</v>
      </c>
      <c r="G568" s="3">
        <v>0</v>
      </c>
      <c r="H568" s="60">
        <f>H567</f>
        <v>4</v>
      </c>
      <c r="I568" s="54">
        <f t="shared" ref="I568:I582" si="143">+I567+1</f>
        <v>1</v>
      </c>
      <c r="J568" s="78"/>
      <c r="K568" s="30"/>
      <c r="L568" s="30" t="s">
        <v>42</v>
      </c>
      <c r="M568" s="2">
        <v>4</v>
      </c>
      <c r="N568" s="1" t="s">
        <v>1508</v>
      </c>
      <c r="O568" s="1" t="s">
        <v>52</v>
      </c>
      <c r="P568" s="1" t="s">
        <v>1482</v>
      </c>
      <c r="Q568" s="1" t="s">
        <v>1507</v>
      </c>
      <c r="S568" s="13" t="s">
        <v>52</v>
      </c>
      <c r="T568" s="1" t="s">
        <v>597</v>
      </c>
      <c r="V568" s="1" t="str">
        <f t="shared" si="138"/>
        <v>2.6\0.4:1</v>
      </c>
      <c r="W568" s="1" t="s">
        <v>1500</v>
      </c>
      <c r="X568" s="18">
        <v>0</v>
      </c>
      <c r="Z568" s="201" t="s">
        <v>1062</v>
      </c>
      <c r="AG568" s="3" t="s">
        <v>588</v>
      </c>
      <c r="AH568" s="3">
        <v>3</v>
      </c>
      <c r="AI568" s="3">
        <v>4</v>
      </c>
      <c r="AJ568" s="205"/>
      <c r="AM568" s="3"/>
    </row>
    <row r="569" spans="1:39" x14ac:dyDescent="0.3">
      <c r="A569" s="5" t="str">
        <f t="shared" si="139"/>
        <v>BBD130</v>
      </c>
      <c r="B569" s="1" t="s">
        <v>1470</v>
      </c>
      <c r="C569" s="2" t="str">
        <f t="shared" si="140"/>
        <v>DIO1</v>
      </c>
      <c r="D569" s="2">
        <v>130</v>
      </c>
      <c r="E569" s="3">
        <f t="shared" si="141"/>
        <v>2</v>
      </c>
      <c r="F569" s="3">
        <f t="shared" si="142"/>
        <v>6</v>
      </c>
      <c r="G569" s="3">
        <v>0</v>
      </c>
      <c r="H569" s="55">
        <f t="shared" ref="H569:H582" si="144">+H568</f>
        <v>4</v>
      </c>
      <c r="I569" s="54">
        <f t="shared" si="143"/>
        <v>2</v>
      </c>
      <c r="J569" s="78"/>
      <c r="K569" s="27"/>
      <c r="L569" s="30" t="s">
        <v>42</v>
      </c>
      <c r="M569" s="2"/>
      <c r="S569" s="13"/>
      <c r="V569" s="1" t="str">
        <f t="shared" si="138"/>
        <v>2.6\0.4:2</v>
      </c>
      <c r="Z569" s="206" t="s">
        <v>1062</v>
      </c>
      <c r="AG569" s="3" t="s">
        <v>588</v>
      </c>
      <c r="AH569" s="3">
        <v>5</v>
      </c>
      <c r="AI569" s="3">
        <v>6</v>
      </c>
      <c r="AJ569" s="205"/>
      <c r="AM569" s="3"/>
    </row>
    <row r="570" spans="1:39" x14ac:dyDescent="0.3">
      <c r="A570" s="5" t="str">
        <f t="shared" si="139"/>
        <v>BBD130</v>
      </c>
      <c r="B570" s="1" t="s">
        <v>1470</v>
      </c>
      <c r="C570" s="2" t="str">
        <f t="shared" si="140"/>
        <v>DIO1</v>
      </c>
      <c r="D570" s="2">
        <v>130</v>
      </c>
      <c r="E570" s="3">
        <f t="shared" si="141"/>
        <v>2</v>
      </c>
      <c r="F570" s="3">
        <f t="shared" si="142"/>
        <v>6</v>
      </c>
      <c r="G570" s="3">
        <v>0</v>
      </c>
      <c r="H570" s="55">
        <f t="shared" si="144"/>
        <v>4</v>
      </c>
      <c r="I570" s="54">
        <f t="shared" si="143"/>
        <v>3</v>
      </c>
      <c r="J570" s="78"/>
      <c r="K570" s="27"/>
      <c r="L570" s="30" t="s">
        <v>42</v>
      </c>
      <c r="M570" s="2"/>
      <c r="Q570" s="4" t="s">
        <v>302</v>
      </c>
      <c r="R570" s="4"/>
      <c r="S570" s="13"/>
      <c r="V570" s="1" t="str">
        <f t="shared" si="138"/>
        <v>2.6\0.4:3</v>
      </c>
      <c r="Z570" s="201" t="s">
        <v>1062</v>
      </c>
      <c r="AG570" s="3" t="s">
        <v>588</v>
      </c>
      <c r="AH570" s="3">
        <v>7</v>
      </c>
      <c r="AI570" s="3">
        <v>8</v>
      </c>
      <c r="AJ570" s="205"/>
      <c r="AM570" s="3"/>
    </row>
    <row r="571" spans="1:39" x14ac:dyDescent="0.3">
      <c r="A571" s="5" t="str">
        <f t="shared" si="139"/>
        <v>BBD130</v>
      </c>
      <c r="B571" s="1" t="s">
        <v>1470</v>
      </c>
      <c r="C571" s="2" t="str">
        <f t="shared" si="140"/>
        <v>DIO1</v>
      </c>
      <c r="D571" s="2">
        <v>130</v>
      </c>
      <c r="E571" s="3">
        <f t="shared" si="141"/>
        <v>2</v>
      </c>
      <c r="F571" s="3">
        <f t="shared" si="142"/>
        <v>6</v>
      </c>
      <c r="G571" s="3">
        <v>0</v>
      </c>
      <c r="H571" s="55">
        <f t="shared" si="144"/>
        <v>4</v>
      </c>
      <c r="I571" s="54">
        <f t="shared" si="143"/>
        <v>4</v>
      </c>
      <c r="J571" s="78"/>
      <c r="K571" s="27"/>
      <c r="L571" s="30" t="s">
        <v>42</v>
      </c>
      <c r="M571" s="2">
        <v>4</v>
      </c>
      <c r="N571" s="1" t="s">
        <v>1506</v>
      </c>
      <c r="O571" s="1" t="s">
        <v>52</v>
      </c>
      <c r="P571" s="1" t="s">
        <v>1503</v>
      </c>
      <c r="Q571" s="4" t="s">
        <v>1505</v>
      </c>
      <c r="R571" s="4"/>
      <c r="S571" s="13" t="s">
        <v>52</v>
      </c>
      <c r="T571" s="1" t="s">
        <v>1501</v>
      </c>
      <c r="V571" s="1" t="str">
        <f t="shared" si="138"/>
        <v>2.6\0.4:4</v>
      </c>
      <c r="W571" s="1" t="s">
        <v>1500</v>
      </c>
      <c r="X571" s="18">
        <v>0</v>
      </c>
      <c r="Z571" s="206" t="s">
        <v>1062</v>
      </c>
      <c r="AG571" s="3" t="s">
        <v>588</v>
      </c>
      <c r="AH571" s="3">
        <v>9</v>
      </c>
      <c r="AI571" s="3">
        <v>10</v>
      </c>
      <c r="AJ571" s="205"/>
      <c r="AM571" s="3"/>
    </row>
    <row r="572" spans="1:39" x14ac:dyDescent="0.3">
      <c r="A572" s="5" t="str">
        <f t="shared" si="139"/>
        <v>BBD130</v>
      </c>
      <c r="B572" s="1" t="s">
        <v>1470</v>
      </c>
      <c r="C572" s="2" t="str">
        <f t="shared" si="140"/>
        <v>DIO1</v>
      </c>
      <c r="D572" s="2">
        <v>130</v>
      </c>
      <c r="E572" s="3">
        <f t="shared" si="141"/>
        <v>2</v>
      </c>
      <c r="F572" s="3">
        <f t="shared" si="142"/>
        <v>6</v>
      </c>
      <c r="G572" s="3">
        <v>0</v>
      </c>
      <c r="H572" s="55">
        <f t="shared" si="144"/>
        <v>4</v>
      </c>
      <c r="I572" s="54">
        <f t="shared" si="143"/>
        <v>5</v>
      </c>
      <c r="J572" s="78"/>
      <c r="K572" s="27"/>
      <c r="L572" s="30" t="s">
        <v>42</v>
      </c>
      <c r="M572" s="2">
        <v>4</v>
      </c>
      <c r="N572" s="1" t="s">
        <v>1504</v>
      </c>
      <c r="O572" s="1" t="s">
        <v>82</v>
      </c>
      <c r="P572" s="1" t="s">
        <v>1503</v>
      </c>
      <c r="Q572" s="1" t="s">
        <v>1502</v>
      </c>
      <c r="S572" s="13" t="s">
        <v>82</v>
      </c>
      <c r="T572" s="1" t="s">
        <v>1501</v>
      </c>
      <c r="V572" s="1" t="str">
        <f t="shared" si="138"/>
        <v>2.6\0.4:5</v>
      </c>
      <c r="W572" s="1" t="s">
        <v>1500</v>
      </c>
      <c r="X572" s="18">
        <v>0</v>
      </c>
      <c r="Z572" s="201" t="s">
        <v>1062</v>
      </c>
      <c r="AG572" s="3" t="s">
        <v>588</v>
      </c>
      <c r="AH572" s="3">
        <v>11</v>
      </c>
      <c r="AI572" s="3">
        <v>12</v>
      </c>
      <c r="AM572" s="3"/>
    </row>
    <row r="573" spans="1:39" x14ac:dyDescent="0.3">
      <c r="A573" s="5" t="str">
        <f t="shared" si="139"/>
        <v>BBD130</v>
      </c>
      <c r="B573" s="1" t="s">
        <v>1470</v>
      </c>
      <c r="C573" s="2" t="str">
        <f t="shared" si="140"/>
        <v>DIO1</v>
      </c>
      <c r="D573" s="2">
        <v>130</v>
      </c>
      <c r="E573" s="3">
        <f t="shared" si="141"/>
        <v>2</v>
      </c>
      <c r="F573" s="3">
        <f t="shared" si="142"/>
        <v>6</v>
      </c>
      <c r="G573" s="3">
        <v>0</v>
      </c>
      <c r="H573" s="55">
        <f t="shared" si="144"/>
        <v>4</v>
      </c>
      <c r="I573" s="54">
        <f t="shared" si="143"/>
        <v>6</v>
      </c>
      <c r="J573" s="78"/>
      <c r="K573" s="27"/>
      <c r="L573" s="30" t="s">
        <v>42</v>
      </c>
      <c r="M573" s="2"/>
      <c r="Q573" s="1" t="s">
        <v>302</v>
      </c>
      <c r="S573" s="13"/>
      <c r="V573" s="1" t="str">
        <f t="shared" si="138"/>
        <v>2.6\0.4:6</v>
      </c>
      <c r="Z573" s="206" t="s">
        <v>1062</v>
      </c>
      <c r="AG573" s="3" t="s">
        <v>588</v>
      </c>
      <c r="AH573" s="3">
        <v>13</v>
      </c>
      <c r="AI573" s="3">
        <v>14</v>
      </c>
    </row>
    <row r="574" spans="1:39" x14ac:dyDescent="0.3">
      <c r="A574" s="5" t="str">
        <f t="shared" si="139"/>
        <v>BBD130</v>
      </c>
      <c r="B574" s="1" t="s">
        <v>1470</v>
      </c>
      <c r="C574" s="2" t="str">
        <f t="shared" si="140"/>
        <v>DIO1</v>
      </c>
      <c r="D574" s="2">
        <v>130</v>
      </c>
      <c r="E574" s="3">
        <f t="shared" si="141"/>
        <v>2</v>
      </c>
      <c r="F574" s="3">
        <f t="shared" si="142"/>
        <v>6</v>
      </c>
      <c r="G574" s="3">
        <v>0</v>
      </c>
      <c r="H574" s="55">
        <f t="shared" si="144"/>
        <v>4</v>
      </c>
      <c r="I574" s="54">
        <f t="shared" si="143"/>
        <v>7</v>
      </c>
      <c r="J574" s="78"/>
      <c r="K574" s="27"/>
      <c r="L574" s="30" t="s">
        <v>42</v>
      </c>
      <c r="M574" s="2"/>
      <c r="Q574" s="1" t="s">
        <v>302</v>
      </c>
      <c r="S574" s="13"/>
      <c r="V574" s="1" t="str">
        <f t="shared" si="138"/>
        <v>2.6\0.4:7</v>
      </c>
      <c r="Z574" s="201" t="s">
        <v>1062</v>
      </c>
      <c r="AG574" s="3" t="s">
        <v>588</v>
      </c>
      <c r="AH574" s="3">
        <v>15</v>
      </c>
      <c r="AI574" s="3">
        <v>16</v>
      </c>
      <c r="AM574" s="3"/>
    </row>
    <row r="575" spans="1:39" x14ac:dyDescent="0.3">
      <c r="A575" s="5" t="str">
        <f t="shared" si="139"/>
        <v>BBD130</v>
      </c>
      <c r="B575" s="1" t="s">
        <v>1470</v>
      </c>
      <c r="C575" s="2" t="str">
        <f t="shared" si="140"/>
        <v>DIO1</v>
      </c>
      <c r="D575" s="2">
        <v>130</v>
      </c>
      <c r="E575" s="3">
        <f t="shared" si="141"/>
        <v>2</v>
      </c>
      <c r="F575" s="3">
        <f t="shared" si="142"/>
        <v>6</v>
      </c>
      <c r="G575" s="3">
        <v>0</v>
      </c>
      <c r="H575" s="55">
        <f t="shared" si="144"/>
        <v>4</v>
      </c>
      <c r="I575" s="54">
        <f t="shared" si="143"/>
        <v>8</v>
      </c>
      <c r="J575" s="78"/>
      <c r="K575" s="27"/>
      <c r="L575" s="30" t="s">
        <v>42</v>
      </c>
      <c r="M575" s="2"/>
      <c r="Q575" s="1" t="s">
        <v>302</v>
      </c>
      <c r="S575" s="13"/>
      <c r="V575" s="1" t="str">
        <f t="shared" si="138"/>
        <v>2.6\0.4:8</v>
      </c>
      <c r="Z575" s="206" t="s">
        <v>1062</v>
      </c>
      <c r="AG575" s="3" t="s">
        <v>588</v>
      </c>
      <c r="AH575" s="3">
        <v>17</v>
      </c>
      <c r="AI575" s="3">
        <v>18</v>
      </c>
      <c r="AM575" s="3"/>
    </row>
    <row r="576" spans="1:39" x14ac:dyDescent="0.3">
      <c r="A576" s="5" t="str">
        <f t="shared" si="139"/>
        <v>BBD130</v>
      </c>
      <c r="B576" s="1" t="s">
        <v>1470</v>
      </c>
      <c r="C576" s="2" t="str">
        <f t="shared" si="140"/>
        <v>DIO1</v>
      </c>
      <c r="D576" s="2">
        <v>130</v>
      </c>
      <c r="E576" s="3">
        <f t="shared" si="141"/>
        <v>2</v>
      </c>
      <c r="F576" s="3">
        <f t="shared" si="142"/>
        <v>6</v>
      </c>
      <c r="G576" s="3">
        <v>0</v>
      </c>
      <c r="H576" s="55">
        <f t="shared" si="144"/>
        <v>4</v>
      </c>
      <c r="I576" s="54">
        <f t="shared" si="143"/>
        <v>9</v>
      </c>
      <c r="J576" s="78"/>
      <c r="K576" s="27"/>
      <c r="L576" s="30" t="s">
        <v>42</v>
      </c>
      <c r="M576" s="2"/>
      <c r="Q576" s="1" t="s">
        <v>302</v>
      </c>
      <c r="S576" s="13"/>
      <c r="V576" s="1" t="str">
        <f t="shared" si="138"/>
        <v>2.6\0.4:9</v>
      </c>
      <c r="Z576" s="201" t="s">
        <v>1062</v>
      </c>
      <c r="AG576" s="3" t="s">
        <v>588</v>
      </c>
      <c r="AH576" s="3">
        <v>19</v>
      </c>
      <c r="AI576" s="3">
        <v>20</v>
      </c>
      <c r="AM576" s="3"/>
    </row>
    <row r="577" spans="1:39" x14ac:dyDescent="0.3">
      <c r="A577" s="5" t="str">
        <f t="shared" si="139"/>
        <v>BBD130</v>
      </c>
      <c r="B577" s="1" t="s">
        <v>1470</v>
      </c>
      <c r="C577" s="2" t="str">
        <f t="shared" si="140"/>
        <v>DIO1</v>
      </c>
      <c r="D577" s="2">
        <v>130</v>
      </c>
      <c r="E577" s="3">
        <f t="shared" si="141"/>
        <v>2</v>
      </c>
      <c r="F577" s="3">
        <f t="shared" si="142"/>
        <v>6</v>
      </c>
      <c r="G577" s="3">
        <v>0</v>
      </c>
      <c r="H577" s="55">
        <f t="shared" si="144"/>
        <v>4</v>
      </c>
      <c r="I577" s="54">
        <f t="shared" si="143"/>
        <v>10</v>
      </c>
      <c r="J577" s="78"/>
      <c r="K577" s="27"/>
      <c r="L577" s="30" t="s">
        <v>42</v>
      </c>
      <c r="M577" s="2">
        <v>4</v>
      </c>
      <c r="N577" s="1" t="s">
        <v>1473</v>
      </c>
      <c r="O577" s="1" t="s">
        <v>52</v>
      </c>
      <c r="P577" s="1" t="s">
        <v>1474</v>
      </c>
      <c r="Q577" s="1" t="s">
        <v>1499</v>
      </c>
      <c r="S577" s="13"/>
      <c r="T577" s="1" t="s">
        <v>1473</v>
      </c>
      <c r="V577" s="1" t="str">
        <f t="shared" si="138"/>
        <v>2.6\0.4:10</v>
      </c>
      <c r="W577" s="1" t="s">
        <v>1472</v>
      </c>
      <c r="X577" s="18">
        <v>0</v>
      </c>
      <c r="Z577" s="206" t="s">
        <v>1062</v>
      </c>
      <c r="AG577" s="3" t="s">
        <v>588</v>
      </c>
      <c r="AH577" s="3">
        <v>21</v>
      </c>
      <c r="AI577" s="3">
        <v>22</v>
      </c>
      <c r="AM577" s="3"/>
    </row>
    <row r="578" spans="1:39" x14ac:dyDescent="0.3">
      <c r="A578" s="5" t="str">
        <f t="shared" si="139"/>
        <v>BBD130</v>
      </c>
      <c r="B578" s="1" t="s">
        <v>1470</v>
      </c>
      <c r="C578" s="2" t="str">
        <f t="shared" si="140"/>
        <v>DIO1</v>
      </c>
      <c r="D578" s="2">
        <v>130</v>
      </c>
      <c r="E578" s="3">
        <f t="shared" si="141"/>
        <v>2</v>
      </c>
      <c r="F578" s="3">
        <f t="shared" si="142"/>
        <v>6</v>
      </c>
      <c r="G578" s="3">
        <v>0</v>
      </c>
      <c r="H578" s="55">
        <f t="shared" si="144"/>
        <v>4</v>
      </c>
      <c r="I578" s="54">
        <f t="shared" si="143"/>
        <v>11</v>
      </c>
      <c r="J578" s="78"/>
      <c r="K578" s="27"/>
      <c r="L578" s="30" t="s">
        <v>42</v>
      </c>
      <c r="M578" s="2">
        <v>4</v>
      </c>
      <c r="N578" s="1" t="s">
        <v>1498</v>
      </c>
      <c r="O578" s="1" t="s">
        <v>282</v>
      </c>
      <c r="P578" s="1" t="s">
        <v>1455</v>
      </c>
      <c r="Q578" s="1" t="s">
        <v>1497</v>
      </c>
      <c r="S578" s="13"/>
      <c r="T578" s="1" t="s">
        <v>492</v>
      </c>
      <c r="V578" s="1" t="str">
        <f t="shared" si="138"/>
        <v>2.6\0.4:11</v>
      </c>
      <c r="W578" s="1" t="s">
        <v>1472</v>
      </c>
      <c r="X578" s="18">
        <v>0</v>
      </c>
      <c r="Z578" s="201" t="s">
        <v>1062</v>
      </c>
      <c r="AG578" s="3" t="s">
        <v>588</v>
      </c>
      <c r="AH578" s="3">
        <v>23</v>
      </c>
      <c r="AI578" s="3">
        <v>24</v>
      </c>
      <c r="AM578" s="3"/>
    </row>
    <row r="579" spans="1:39" x14ac:dyDescent="0.3">
      <c r="A579" s="5" t="str">
        <f t="shared" si="139"/>
        <v>BBD130</v>
      </c>
      <c r="B579" s="1" t="s">
        <v>1470</v>
      </c>
      <c r="C579" s="2" t="str">
        <f t="shared" si="140"/>
        <v>DIO1</v>
      </c>
      <c r="D579" s="2">
        <v>130</v>
      </c>
      <c r="E579" s="3">
        <f t="shared" si="141"/>
        <v>2</v>
      </c>
      <c r="F579" s="3">
        <f t="shared" si="142"/>
        <v>6</v>
      </c>
      <c r="G579" s="3">
        <v>0</v>
      </c>
      <c r="H579" s="55">
        <f t="shared" si="144"/>
        <v>4</v>
      </c>
      <c r="I579" s="54">
        <f t="shared" si="143"/>
        <v>12</v>
      </c>
      <c r="J579" s="78"/>
      <c r="K579" s="27"/>
      <c r="L579" s="30" t="s">
        <v>42</v>
      </c>
      <c r="M579" s="2">
        <v>4</v>
      </c>
      <c r="N579" s="1" t="s">
        <v>1496</v>
      </c>
      <c r="O579" s="1" t="s">
        <v>1134</v>
      </c>
      <c r="P579" s="1" t="s">
        <v>1455</v>
      </c>
      <c r="Q579" s="1" t="s">
        <v>1495</v>
      </c>
      <c r="S579" s="13"/>
      <c r="T579" s="1" t="s">
        <v>492</v>
      </c>
      <c r="V579" s="1" t="str">
        <f t="shared" si="138"/>
        <v>2.6\0.4:12</v>
      </c>
      <c r="W579" s="1" t="s">
        <v>1472</v>
      </c>
      <c r="X579" s="18">
        <v>0</v>
      </c>
      <c r="Z579" s="206" t="s">
        <v>1062</v>
      </c>
      <c r="AG579" s="3" t="s">
        <v>588</v>
      </c>
      <c r="AH579" s="3">
        <v>25</v>
      </c>
      <c r="AI579" s="3">
        <v>26</v>
      </c>
      <c r="AM579" s="3"/>
    </row>
    <row r="580" spans="1:39" x14ac:dyDescent="0.3">
      <c r="A580" s="5" t="str">
        <f t="shared" si="139"/>
        <v>BBD130</v>
      </c>
      <c r="B580" s="1" t="s">
        <v>1470</v>
      </c>
      <c r="C580" s="2" t="str">
        <f t="shared" si="140"/>
        <v>DIO1</v>
      </c>
      <c r="D580" s="2">
        <v>130</v>
      </c>
      <c r="E580" s="3">
        <f t="shared" si="141"/>
        <v>2</v>
      </c>
      <c r="F580" s="3">
        <f t="shared" si="142"/>
        <v>6</v>
      </c>
      <c r="G580" s="3">
        <v>0</v>
      </c>
      <c r="H580" s="55">
        <f t="shared" si="144"/>
        <v>4</v>
      </c>
      <c r="I580" s="54">
        <f t="shared" si="143"/>
        <v>13</v>
      </c>
      <c r="J580" s="78"/>
      <c r="K580" s="27"/>
      <c r="L580" s="30" t="s">
        <v>42</v>
      </c>
      <c r="M580" s="2">
        <v>4</v>
      </c>
      <c r="N580" s="1" t="s">
        <v>1494</v>
      </c>
      <c r="O580" s="1" t="s">
        <v>1126</v>
      </c>
      <c r="P580" s="1" t="s">
        <v>1455</v>
      </c>
      <c r="Q580" s="1" t="s">
        <v>1493</v>
      </c>
      <c r="S580" s="13"/>
      <c r="T580" s="1" t="s">
        <v>492</v>
      </c>
      <c r="V580" s="1" t="str">
        <f t="shared" si="138"/>
        <v>2.6\0.4:13</v>
      </c>
      <c r="W580" s="1" t="s">
        <v>1472</v>
      </c>
      <c r="X580" s="18">
        <v>0</v>
      </c>
      <c r="Z580" s="201" t="s">
        <v>1062</v>
      </c>
      <c r="AG580" s="3" t="s">
        <v>588</v>
      </c>
      <c r="AH580" s="3">
        <v>27</v>
      </c>
      <c r="AI580" s="3">
        <v>28</v>
      </c>
      <c r="AM580" s="3"/>
    </row>
    <row r="581" spans="1:39" x14ac:dyDescent="0.3">
      <c r="A581" s="5" t="str">
        <f t="shared" si="139"/>
        <v>BBD130</v>
      </c>
      <c r="B581" s="1" t="s">
        <v>1470</v>
      </c>
      <c r="C581" s="2" t="str">
        <f t="shared" si="140"/>
        <v>DIO1</v>
      </c>
      <c r="D581" s="2">
        <v>130</v>
      </c>
      <c r="E581" s="3">
        <f t="shared" si="141"/>
        <v>2</v>
      </c>
      <c r="F581" s="3">
        <f t="shared" si="142"/>
        <v>6</v>
      </c>
      <c r="G581" s="3">
        <v>0</v>
      </c>
      <c r="H581" s="55">
        <f t="shared" si="144"/>
        <v>4</v>
      </c>
      <c r="I581" s="54">
        <f t="shared" si="143"/>
        <v>14</v>
      </c>
      <c r="J581" s="78"/>
      <c r="K581" s="27"/>
      <c r="L581" s="30" t="s">
        <v>42</v>
      </c>
      <c r="M581" s="2">
        <v>4</v>
      </c>
      <c r="N581" s="1" t="s">
        <v>1492</v>
      </c>
      <c r="O581" s="1" t="s">
        <v>1491</v>
      </c>
      <c r="P581" s="1" t="s">
        <v>1455</v>
      </c>
      <c r="Q581" s="1" t="s">
        <v>1490</v>
      </c>
      <c r="S581" s="13"/>
      <c r="T581" s="1" t="s">
        <v>492</v>
      </c>
      <c r="V581" s="1" t="str">
        <f t="shared" si="138"/>
        <v>2.6\0.4:14</v>
      </c>
      <c r="W581" s="1" t="s">
        <v>1472</v>
      </c>
      <c r="X581" s="18">
        <v>0</v>
      </c>
      <c r="Z581" s="206" t="s">
        <v>1062</v>
      </c>
      <c r="AG581" s="3" t="s">
        <v>588</v>
      </c>
      <c r="AH581" s="3">
        <v>29</v>
      </c>
      <c r="AI581" s="3">
        <v>30</v>
      </c>
      <c r="AM581" s="3"/>
    </row>
    <row r="582" spans="1:39" ht="13.5" thickBot="1" x14ac:dyDescent="0.35">
      <c r="A582" s="5" t="str">
        <f t="shared" si="139"/>
        <v>BBD130</v>
      </c>
      <c r="B582" s="1" t="s">
        <v>1470</v>
      </c>
      <c r="C582" s="2" t="str">
        <f t="shared" si="140"/>
        <v>DIO1</v>
      </c>
      <c r="D582" s="2">
        <v>130</v>
      </c>
      <c r="E582" s="3">
        <f t="shared" si="141"/>
        <v>2</v>
      </c>
      <c r="F582" s="3">
        <f t="shared" si="142"/>
        <v>6</v>
      </c>
      <c r="G582" s="3">
        <v>0</v>
      </c>
      <c r="H582" s="55">
        <f t="shared" si="144"/>
        <v>4</v>
      </c>
      <c r="I582" s="59">
        <f t="shared" si="143"/>
        <v>15</v>
      </c>
      <c r="J582" s="77"/>
      <c r="K582" s="27"/>
      <c r="L582" s="30" t="s">
        <v>42</v>
      </c>
      <c r="M582" s="2">
        <v>4</v>
      </c>
      <c r="N582" s="1" t="s">
        <v>1489</v>
      </c>
      <c r="O582" s="1" t="s">
        <v>1488</v>
      </c>
      <c r="P582" s="1" t="s">
        <v>1455</v>
      </c>
      <c r="Q582" s="1" t="s">
        <v>1487</v>
      </c>
      <c r="S582" s="13"/>
      <c r="T582" s="1" t="s">
        <v>492</v>
      </c>
      <c r="V582" s="1" t="str">
        <f t="shared" si="138"/>
        <v>2.6\0.4:15</v>
      </c>
      <c r="W582" s="1" t="s">
        <v>1472</v>
      </c>
      <c r="X582" s="18">
        <v>0</v>
      </c>
      <c r="Z582" s="201" t="s">
        <v>1062</v>
      </c>
      <c r="AG582" s="3" t="s">
        <v>588</v>
      </c>
      <c r="AH582" s="3">
        <v>31</v>
      </c>
      <c r="AI582" s="3">
        <v>32</v>
      </c>
      <c r="AJ582" s="200"/>
      <c r="AM582" s="3"/>
    </row>
    <row r="583" spans="1:39" x14ac:dyDescent="0.3">
      <c r="A583" s="76" t="s">
        <v>1471</v>
      </c>
      <c r="B583" s="1" t="s">
        <v>1470</v>
      </c>
      <c r="C583" s="2" t="str">
        <f t="shared" si="140"/>
        <v>DIO1</v>
      </c>
      <c r="D583" s="2">
        <v>130</v>
      </c>
      <c r="E583" s="3">
        <f t="shared" si="141"/>
        <v>2</v>
      </c>
      <c r="F583" s="3">
        <f t="shared" si="142"/>
        <v>6</v>
      </c>
      <c r="G583" s="3">
        <v>0</v>
      </c>
      <c r="H583" s="62">
        <v>5</v>
      </c>
      <c r="I583" s="56">
        <v>0</v>
      </c>
      <c r="J583" s="218" t="s">
        <v>879</v>
      </c>
      <c r="K583" s="1" t="s">
        <v>896</v>
      </c>
      <c r="L583" s="30" t="s">
        <v>880</v>
      </c>
      <c r="M583" s="2">
        <v>4</v>
      </c>
      <c r="N583" s="1" t="s">
        <v>1486</v>
      </c>
      <c r="O583" s="1" t="s">
        <v>1113</v>
      </c>
      <c r="P583" s="1" t="s">
        <v>1485</v>
      </c>
      <c r="Q583" s="2" t="s">
        <v>1152</v>
      </c>
      <c r="R583" s="2"/>
      <c r="S583" s="13" t="s">
        <v>869</v>
      </c>
      <c r="T583" s="1" t="s">
        <v>1484</v>
      </c>
      <c r="U583" s="13" t="s">
        <v>868</v>
      </c>
      <c r="V583" s="1" t="str">
        <f t="shared" si="138"/>
        <v>2.6\0.5:0</v>
      </c>
      <c r="W583" s="1" t="s">
        <v>1472</v>
      </c>
      <c r="X583" s="18">
        <v>0</v>
      </c>
      <c r="Z583" s="206" t="s">
        <v>1062</v>
      </c>
      <c r="AB583" s="1">
        <v>0</v>
      </c>
      <c r="AC583" s="1">
        <v>100</v>
      </c>
      <c r="AD583" s="1">
        <v>0</v>
      </c>
      <c r="AE583" s="1">
        <v>100</v>
      </c>
      <c r="AF583" s="1" t="s">
        <v>865</v>
      </c>
      <c r="AG583" s="3" t="s">
        <v>588</v>
      </c>
      <c r="AH583" s="3">
        <v>33</v>
      </c>
      <c r="AI583" s="3">
        <v>34</v>
      </c>
      <c r="AJ583" s="200"/>
      <c r="AM583" s="3"/>
    </row>
    <row r="584" spans="1:39" x14ac:dyDescent="0.3">
      <c r="A584" s="5" t="str">
        <f t="shared" ref="A584:A590" si="145">A583</f>
        <v>BBD130</v>
      </c>
      <c r="B584" s="1" t="s">
        <v>1470</v>
      </c>
      <c r="C584" s="2" t="str">
        <f t="shared" si="140"/>
        <v>DIO1</v>
      </c>
      <c r="D584" s="2">
        <v>130</v>
      </c>
      <c r="E584" s="3">
        <f t="shared" si="141"/>
        <v>2</v>
      </c>
      <c r="F584" s="3">
        <f t="shared" si="142"/>
        <v>6</v>
      </c>
      <c r="G584" s="3">
        <v>0</v>
      </c>
      <c r="H584" s="55">
        <f t="shared" ref="H584:H590" si="146">+H583</f>
        <v>5</v>
      </c>
      <c r="I584" s="54">
        <f t="shared" ref="I584:I590" si="147">+I583+1</f>
        <v>1</v>
      </c>
      <c r="J584" s="217"/>
      <c r="K584" s="2"/>
      <c r="L584" s="30" t="s">
        <v>880</v>
      </c>
      <c r="M584" s="2">
        <v>4</v>
      </c>
      <c r="N584" s="1" t="s">
        <v>1483</v>
      </c>
      <c r="O584" s="1" t="s">
        <v>894</v>
      </c>
      <c r="P584" s="1" t="s">
        <v>1482</v>
      </c>
      <c r="Q584" s="1" t="s">
        <v>1481</v>
      </c>
      <c r="R584" s="2"/>
      <c r="S584" s="13" t="s">
        <v>888</v>
      </c>
      <c r="T584" s="1" t="s">
        <v>597</v>
      </c>
      <c r="U584" s="13" t="s">
        <v>868</v>
      </c>
      <c r="V584" s="1" t="str">
        <f t="shared" si="138"/>
        <v>2.6\0.5:1</v>
      </c>
      <c r="W584" s="1" t="s">
        <v>1472</v>
      </c>
      <c r="X584" s="18">
        <v>0</v>
      </c>
      <c r="Z584" s="201" t="s">
        <v>1062</v>
      </c>
      <c r="AB584" s="1">
        <v>0</v>
      </c>
      <c r="AC584" s="1">
        <v>10</v>
      </c>
      <c r="AD584" s="1">
        <v>0</v>
      </c>
      <c r="AE584" s="1">
        <v>10</v>
      </c>
      <c r="AF584" s="1" t="s">
        <v>865</v>
      </c>
      <c r="AG584" s="3" t="s">
        <v>588</v>
      </c>
      <c r="AH584" s="3">
        <v>35</v>
      </c>
      <c r="AI584" s="3">
        <v>36</v>
      </c>
      <c r="AJ584" s="200"/>
      <c r="AM584" s="3"/>
    </row>
    <row r="585" spans="1:39" x14ac:dyDescent="0.3">
      <c r="A585" s="5" t="str">
        <f t="shared" si="145"/>
        <v>BBD130</v>
      </c>
      <c r="B585" s="1" t="s">
        <v>1470</v>
      </c>
      <c r="C585" s="2" t="str">
        <f t="shared" si="140"/>
        <v>DIO1</v>
      </c>
      <c r="D585" s="2">
        <v>130</v>
      </c>
      <c r="E585" s="3">
        <f t="shared" si="141"/>
        <v>2</v>
      </c>
      <c r="F585" s="3">
        <f t="shared" si="142"/>
        <v>6</v>
      </c>
      <c r="G585" s="3">
        <v>0</v>
      </c>
      <c r="H585" s="55">
        <f t="shared" si="146"/>
        <v>5</v>
      </c>
      <c r="I585" s="54">
        <f t="shared" si="147"/>
        <v>2</v>
      </c>
      <c r="J585" s="217"/>
      <c r="K585" s="2"/>
      <c r="L585" s="30" t="s">
        <v>880</v>
      </c>
      <c r="M585" s="2">
        <v>4</v>
      </c>
      <c r="N585" s="1" t="s">
        <v>1480</v>
      </c>
      <c r="O585" s="1" t="s">
        <v>1255</v>
      </c>
      <c r="P585" s="1" t="s">
        <v>1479</v>
      </c>
      <c r="Q585" s="4" t="s">
        <v>1478</v>
      </c>
      <c r="R585" s="4"/>
      <c r="S585" s="13" t="s">
        <v>888</v>
      </c>
      <c r="T585" s="1" t="s">
        <v>1477</v>
      </c>
      <c r="U585" s="13" t="s">
        <v>868</v>
      </c>
      <c r="V585" s="1" t="str">
        <f t="shared" si="138"/>
        <v>2.6\0.5:2</v>
      </c>
      <c r="W585" s="1" t="s">
        <v>1472</v>
      </c>
      <c r="X585" s="18">
        <v>0</v>
      </c>
      <c r="Z585" s="206" t="s">
        <v>1062</v>
      </c>
      <c r="AB585" s="1">
        <v>0</v>
      </c>
      <c r="AC585" s="1">
        <v>10</v>
      </c>
      <c r="AD585" s="1">
        <v>0</v>
      </c>
      <c r="AE585" s="1">
        <v>10</v>
      </c>
      <c r="AF585" s="1" t="s">
        <v>865</v>
      </c>
      <c r="AG585" s="3" t="s">
        <v>588</v>
      </c>
      <c r="AH585" s="3">
        <v>37</v>
      </c>
      <c r="AI585" s="3">
        <v>38</v>
      </c>
      <c r="AJ585" s="200"/>
      <c r="AM585" s="3"/>
    </row>
    <row r="586" spans="1:39" x14ac:dyDescent="0.3">
      <c r="A586" s="5" t="str">
        <f t="shared" si="145"/>
        <v>BBD130</v>
      </c>
      <c r="B586" s="1" t="s">
        <v>1470</v>
      </c>
      <c r="C586" s="2" t="str">
        <f t="shared" si="140"/>
        <v>DIO1</v>
      </c>
      <c r="D586" s="2">
        <v>130</v>
      </c>
      <c r="E586" s="3">
        <f t="shared" si="141"/>
        <v>2</v>
      </c>
      <c r="F586" s="3">
        <f t="shared" si="142"/>
        <v>6</v>
      </c>
      <c r="G586" s="3">
        <v>0</v>
      </c>
      <c r="H586" s="55">
        <f t="shared" si="146"/>
        <v>5</v>
      </c>
      <c r="I586" s="54">
        <f t="shared" si="147"/>
        <v>3</v>
      </c>
      <c r="J586" s="217"/>
      <c r="K586" s="2"/>
      <c r="L586" s="30" t="s">
        <v>880</v>
      </c>
      <c r="M586" s="246">
        <v>5</v>
      </c>
      <c r="N586" s="246" t="s">
        <v>1476</v>
      </c>
      <c r="O586" s="246" t="s">
        <v>1475</v>
      </c>
      <c r="P586" s="246" t="s">
        <v>1474</v>
      </c>
      <c r="Q586" s="246" t="s">
        <v>1148</v>
      </c>
      <c r="R586" s="246"/>
      <c r="S586" s="246" t="s">
        <v>780</v>
      </c>
      <c r="T586" s="246" t="s">
        <v>1473</v>
      </c>
      <c r="U586" s="247" t="s">
        <v>868</v>
      </c>
      <c r="V586" s="246" t="str">
        <f t="shared" si="138"/>
        <v>2.6\0.5:3</v>
      </c>
      <c r="W586" s="246" t="s">
        <v>1472</v>
      </c>
      <c r="X586" s="245">
        <v>0</v>
      </c>
      <c r="Z586" s="201" t="s">
        <v>1062</v>
      </c>
      <c r="AG586" s="3" t="s">
        <v>588</v>
      </c>
      <c r="AH586" s="3">
        <v>39</v>
      </c>
      <c r="AI586" s="3">
        <v>40</v>
      </c>
      <c r="AJ586" s="200"/>
      <c r="AM586" s="3"/>
    </row>
    <row r="587" spans="1:39" x14ac:dyDescent="0.3">
      <c r="A587" s="5" t="str">
        <f t="shared" si="145"/>
        <v>BBD130</v>
      </c>
      <c r="B587" s="1" t="s">
        <v>1470</v>
      </c>
      <c r="C587" s="2" t="str">
        <f t="shared" si="140"/>
        <v>DIO1</v>
      </c>
      <c r="D587" s="2">
        <v>130</v>
      </c>
      <c r="E587" s="3">
        <f t="shared" si="141"/>
        <v>2</v>
      </c>
      <c r="F587" s="3">
        <f t="shared" si="142"/>
        <v>6</v>
      </c>
      <c r="G587" s="3">
        <v>0</v>
      </c>
      <c r="H587" s="55">
        <f t="shared" si="146"/>
        <v>5</v>
      </c>
      <c r="I587" s="54">
        <f t="shared" si="147"/>
        <v>4</v>
      </c>
      <c r="J587" s="217"/>
      <c r="K587" s="2"/>
      <c r="L587" s="30" t="s">
        <v>880</v>
      </c>
      <c r="M587" s="2"/>
      <c r="N587" s="2"/>
      <c r="V587" s="1" t="str">
        <f t="shared" si="138"/>
        <v>2.6\0.5:4</v>
      </c>
      <c r="Z587" s="206" t="s">
        <v>1062</v>
      </c>
      <c r="AG587" s="3" t="s">
        <v>588</v>
      </c>
      <c r="AH587" s="3">
        <v>41</v>
      </c>
      <c r="AI587" s="3">
        <v>42</v>
      </c>
      <c r="AM587" s="3"/>
    </row>
    <row r="588" spans="1:39" x14ac:dyDescent="0.3">
      <c r="A588" s="5" t="str">
        <f t="shared" si="145"/>
        <v>BBD130</v>
      </c>
      <c r="B588" s="1" t="s">
        <v>1470</v>
      </c>
      <c r="C588" s="2" t="str">
        <f t="shared" si="140"/>
        <v>DIO1</v>
      </c>
      <c r="D588" s="2">
        <v>130</v>
      </c>
      <c r="E588" s="3">
        <f t="shared" si="141"/>
        <v>2</v>
      </c>
      <c r="F588" s="3">
        <f t="shared" si="142"/>
        <v>6</v>
      </c>
      <c r="G588" s="3">
        <v>0</v>
      </c>
      <c r="H588" s="55">
        <f t="shared" si="146"/>
        <v>5</v>
      </c>
      <c r="I588" s="54">
        <f t="shared" si="147"/>
        <v>5</v>
      </c>
      <c r="J588" s="217"/>
      <c r="K588" s="2"/>
      <c r="L588" s="30" t="s">
        <v>880</v>
      </c>
      <c r="M588" s="2"/>
      <c r="N588" s="2"/>
      <c r="R588" s="2"/>
      <c r="V588" s="1" t="str">
        <f t="shared" si="138"/>
        <v>2.6\0.5:5</v>
      </c>
      <c r="Z588" s="201" t="s">
        <v>1062</v>
      </c>
      <c r="AG588" s="3" t="s">
        <v>588</v>
      </c>
      <c r="AH588" s="3">
        <v>43</v>
      </c>
      <c r="AI588" s="3">
        <v>44</v>
      </c>
      <c r="AM588" s="3"/>
    </row>
    <row r="589" spans="1:39" x14ac:dyDescent="0.3">
      <c r="A589" s="5" t="str">
        <f t="shared" si="145"/>
        <v>BBD130</v>
      </c>
      <c r="B589" s="1" t="s">
        <v>1470</v>
      </c>
      <c r="C589" s="2" t="str">
        <f t="shared" si="140"/>
        <v>DIO1</v>
      </c>
      <c r="D589" s="2">
        <v>130</v>
      </c>
      <c r="E589" s="3">
        <f t="shared" si="141"/>
        <v>2</v>
      </c>
      <c r="F589" s="3">
        <f t="shared" si="142"/>
        <v>6</v>
      </c>
      <c r="G589" s="3">
        <v>0</v>
      </c>
      <c r="H589" s="55">
        <f t="shared" si="146"/>
        <v>5</v>
      </c>
      <c r="I589" s="54">
        <f t="shared" si="147"/>
        <v>6</v>
      </c>
      <c r="J589" s="217"/>
      <c r="K589" s="2"/>
      <c r="L589" s="30" t="s">
        <v>880</v>
      </c>
      <c r="M589" s="2"/>
      <c r="N589" s="2"/>
      <c r="R589" s="2"/>
      <c r="V589" s="1" t="str">
        <f t="shared" si="138"/>
        <v>2.6\0.5:6</v>
      </c>
      <c r="Z589" s="206" t="s">
        <v>1062</v>
      </c>
      <c r="AG589" s="3" t="s">
        <v>588</v>
      </c>
      <c r="AH589" s="3">
        <v>45</v>
      </c>
      <c r="AI589" s="3">
        <v>46</v>
      </c>
      <c r="AM589" s="3"/>
    </row>
    <row r="590" spans="1:39" ht="13.5" thickBot="1" x14ac:dyDescent="0.35">
      <c r="A590" s="5" t="str">
        <f t="shared" si="145"/>
        <v>BBD130</v>
      </c>
      <c r="B590" s="1" t="s">
        <v>1470</v>
      </c>
      <c r="C590" s="2" t="str">
        <f t="shared" si="140"/>
        <v>DIO1</v>
      </c>
      <c r="D590" s="2">
        <v>130</v>
      </c>
      <c r="E590" s="3">
        <f t="shared" si="141"/>
        <v>2</v>
      </c>
      <c r="F590" s="3">
        <f t="shared" si="142"/>
        <v>6</v>
      </c>
      <c r="G590" s="3">
        <v>0</v>
      </c>
      <c r="H590" s="55">
        <f t="shared" si="146"/>
        <v>5</v>
      </c>
      <c r="I590" s="59">
        <f t="shared" si="147"/>
        <v>7</v>
      </c>
      <c r="J590" s="216"/>
      <c r="K590" s="2"/>
      <c r="L590" s="30" t="s">
        <v>880</v>
      </c>
      <c r="M590" s="2"/>
      <c r="N590" s="2"/>
      <c r="R590" s="2"/>
      <c r="V590" s="1" t="str">
        <f t="shared" si="138"/>
        <v>2.6\0.5:7</v>
      </c>
      <c r="Z590" s="201" t="s">
        <v>1062</v>
      </c>
      <c r="AG590" s="3" t="s">
        <v>588</v>
      </c>
      <c r="AH590" s="3">
        <v>47</v>
      </c>
      <c r="AI590" s="3">
        <v>48</v>
      </c>
      <c r="AM590" s="3"/>
    </row>
    <row r="591" spans="1:39" x14ac:dyDescent="0.3">
      <c r="A591" s="76" t="s">
        <v>1471</v>
      </c>
      <c r="B591" s="1" t="s">
        <v>1470</v>
      </c>
      <c r="C591" s="2" t="str">
        <f t="shared" si="140"/>
        <v>DIO1</v>
      </c>
      <c r="D591" s="2">
        <v>130</v>
      </c>
      <c r="E591" s="3">
        <f t="shared" si="141"/>
        <v>2</v>
      </c>
      <c r="F591" s="3">
        <f t="shared" si="142"/>
        <v>6</v>
      </c>
      <c r="G591" s="3">
        <v>0</v>
      </c>
      <c r="H591" s="62">
        <v>6</v>
      </c>
      <c r="I591" s="56"/>
      <c r="J591" s="209"/>
      <c r="K591" s="41" t="s">
        <v>300</v>
      </c>
      <c r="M591" s="2"/>
      <c r="N591" s="2"/>
      <c r="R591" s="2"/>
      <c r="V591" s="1" t="str">
        <f t="shared" si="138"/>
        <v>2.6\0.6:</v>
      </c>
      <c r="AM591" s="3"/>
    </row>
    <row r="592" spans="1:39" x14ac:dyDescent="0.3">
      <c r="A592" s="5" t="str">
        <f>A591</f>
        <v>BBD130</v>
      </c>
      <c r="B592" s="1" t="s">
        <v>1470</v>
      </c>
      <c r="C592" s="2" t="str">
        <f t="shared" si="140"/>
        <v>DIO1</v>
      </c>
      <c r="D592" s="2">
        <v>130</v>
      </c>
      <c r="E592" s="3">
        <f t="shared" si="141"/>
        <v>2</v>
      </c>
      <c r="F592" s="3">
        <f t="shared" si="142"/>
        <v>6</v>
      </c>
      <c r="G592" s="3">
        <v>0</v>
      </c>
      <c r="H592" s="55">
        <f>+H591</f>
        <v>6</v>
      </c>
      <c r="I592" s="54"/>
      <c r="J592" s="208"/>
      <c r="K592" s="2"/>
      <c r="M592" s="2"/>
      <c r="N592" s="2"/>
      <c r="R592" s="2"/>
      <c r="V592" s="1" t="str">
        <f t="shared" si="138"/>
        <v>2.6\0.6:</v>
      </c>
      <c r="AM592" s="3"/>
    </row>
    <row r="593" spans="1:39" x14ac:dyDescent="0.3">
      <c r="A593" s="5" t="str">
        <f>A592</f>
        <v>BBD130</v>
      </c>
      <c r="B593" s="1" t="s">
        <v>1470</v>
      </c>
      <c r="C593" s="2" t="str">
        <f t="shared" si="140"/>
        <v>DIO1</v>
      </c>
      <c r="D593" s="2">
        <v>130</v>
      </c>
      <c r="E593" s="3">
        <f t="shared" si="141"/>
        <v>2</v>
      </c>
      <c r="F593" s="3">
        <f t="shared" si="142"/>
        <v>6</v>
      </c>
      <c r="G593" s="3">
        <v>0</v>
      </c>
      <c r="H593" s="55">
        <f>+H592</f>
        <v>6</v>
      </c>
      <c r="I593" s="54"/>
      <c r="J593" s="208"/>
      <c r="K593" s="2"/>
      <c r="M593" s="2"/>
      <c r="N593" s="2"/>
      <c r="R593" s="2"/>
      <c r="V593" s="1" t="str">
        <f t="shared" si="138"/>
        <v>2.6\0.6:</v>
      </c>
      <c r="AM593" s="3"/>
    </row>
    <row r="594" spans="1:39" ht="13.5" thickBot="1" x14ac:dyDescent="0.35">
      <c r="A594" s="5" t="str">
        <f>A593</f>
        <v>BBD130</v>
      </c>
      <c r="B594" s="1" t="s">
        <v>1470</v>
      </c>
      <c r="C594" s="2" t="str">
        <f t="shared" si="140"/>
        <v>DIO1</v>
      </c>
      <c r="D594" s="2">
        <v>130</v>
      </c>
      <c r="E594" s="3">
        <f t="shared" si="141"/>
        <v>2</v>
      </c>
      <c r="F594" s="3">
        <f t="shared" si="142"/>
        <v>6</v>
      </c>
      <c r="G594" s="3">
        <v>0</v>
      </c>
      <c r="H594" s="55">
        <f>+H593</f>
        <v>6</v>
      </c>
      <c r="I594" s="59"/>
      <c r="J594" s="207"/>
      <c r="K594" s="2"/>
      <c r="M594" s="2"/>
      <c r="N594" s="2"/>
      <c r="R594" s="2"/>
      <c r="V594" s="1" t="str">
        <f t="shared" si="138"/>
        <v>2.6\0.6:</v>
      </c>
      <c r="AM594" s="3"/>
    </row>
    <row r="595" spans="1:39" x14ac:dyDescent="0.3">
      <c r="A595" s="76" t="s">
        <v>1471</v>
      </c>
      <c r="B595" s="1" t="s">
        <v>1470</v>
      </c>
      <c r="C595" s="2" t="str">
        <f t="shared" si="140"/>
        <v>DIO1</v>
      </c>
      <c r="D595" s="2">
        <v>130</v>
      </c>
      <c r="E595" s="3">
        <f t="shared" si="141"/>
        <v>2</v>
      </c>
      <c r="F595" s="3">
        <f t="shared" si="142"/>
        <v>6</v>
      </c>
      <c r="G595" s="3">
        <v>0</v>
      </c>
      <c r="H595" s="62">
        <v>7</v>
      </c>
      <c r="I595" s="56"/>
      <c r="J595" s="209"/>
      <c r="K595" s="41" t="s">
        <v>300</v>
      </c>
      <c r="M595" s="2"/>
      <c r="N595" s="2"/>
      <c r="R595" s="2"/>
      <c r="V595" s="1" t="str">
        <f t="shared" si="138"/>
        <v>2.6\0.7:</v>
      </c>
      <c r="AM595" s="3"/>
    </row>
    <row r="596" spans="1:39" x14ac:dyDescent="0.3">
      <c r="A596" s="5" t="str">
        <f>A595</f>
        <v>BBD130</v>
      </c>
      <c r="B596" s="1" t="s">
        <v>1470</v>
      </c>
      <c r="C596" s="2" t="str">
        <f t="shared" si="140"/>
        <v>DIO1</v>
      </c>
      <c r="D596" s="2">
        <v>130</v>
      </c>
      <c r="E596" s="3">
        <f t="shared" si="141"/>
        <v>2</v>
      </c>
      <c r="F596" s="3">
        <f t="shared" si="142"/>
        <v>6</v>
      </c>
      <c r="G596" s="3">
        <v>0</v>
      </c>
      <c r="H596" s="55">
        <f>+H595</f>
        <v>7</v>
      </c>
      <c r="I596" s="54"/>
      <c r="J596" s="208"/>
      <c r="K596" s="2"/>
      <c r="M596" s="2"/>
      <c r="N596" s="2"/>
      <c r="R596" s="2"/>
      <c r="V596" s="1" t="str">
        <f t="shared" si="138"/>
        <v>2.6\0.7:</v>
      </c>
      <c r="AM596" s="3"/>
    </row>
    <row r="597" spans="1:39" x14ac:dyDescent="0.3">
      <c r="A597" s="5" t="str">
        <f>A596</f>
        <v>BBD130</v>
      </c>
      <c r="B597" s="1" t="s">
        <v>1470</v>
      </c>
      <c r="C597" s="2" t="str">
        <f t="shared" si="140"/>
        <v>DIO1</v>
      </c>
      <c r="D597" s="2">
        <v>130</v>
      </c>
      <c r="E597" s="3">
        <f t="shared" si="141"/>
        <v>2</v>
      </c>
      <c r="F597" s="3">
        <f t="shared" si="142"/>
        <v>6</v>
      </c>
      <c r="G597" s="3">
        <v>0</v>
      </c>
      <c r="H597" s="55">
        <f>+H596</f>
        <v>7</v>
      </c>
      <c r="I597" s="54"/>
      <c r="J597" s="208"/>
      <c r="K597" s="2"/>
      <c r="M597" s="2"/>
      <c r="N597" s="2"/>
      <c r="R597" s="2"/>
      <c r="V597" s="1" t="str">
        <f t="shared" si="138"/>
        <v>2.6\0.7:</v>
      </c>
      <c r="AM597" s="3"/>
    </row>
    <row r="598" spans="1:39" ht="13.5" thickBot="1" x14ac:dyDescent="0.35">
      <c r="A598" s="5" t="str">
        <f>A597</f>
        <v>BBD130</v>
      </c>
      <c r="B598" s="1" t="s">
        <v>1470</v>
      </c>
      <c r="C598" s="2" t="str">
        <f t="shared" si="140"/>
        <v>DIO1</v>
      </c>
      <c r="D598" s="2">
        <v>130</v>
      </c>
      <c r="E598" s="3">
        <f t="shared" si="141"/>
        <v>2</v>
      </c>
      <c r="F598" s="3">
        <f t="shared" si="142"/>
        <v>6</v>
      </c>
      <c r="G598" s="3">
        <v>0</v>
      </c>
      <c r="H598" s="55">
        <f>+H597</f>
        <v>7</v>
      </c>
      <c r="I598" s="59"/>
      <c r="J598" s="207"/>
      <c r="K598" s="2"/>
      <c r="M598" s="2"/>
      <c r="N598" s="2"/>
      <c r="R598" s="2"/>
      <c r="V598" s="1" t="str">
        <f t="shared" si="138"/>
        <v>2.6\0.7:</v>
      </c>
      <c r="AM598" s="3"/>
    </row>
    <row r="599" spans="1:39" x14ac:dyDescent="0.3">
      <c r="A599" s="76" t="s">
        <v>1471</v>
      </c>
      <c r="B599" s="1" t="s">
        <v>1470</v>
      </c>
      <c r="C599" s="2" t="str">
        <f t="shared" si="140"/>
        <v>DIO1</v>
      </c>
      <c r="D599" s="2">
        <v>130</v>
      </c>
      <c r="E599" s="3">
        <f t="shared" si="141"/>
        <v>2</v>
      </c>
      <c r="F599" s="3">
        <f t="shared" si="142"/>
        <v>6</v>
      </c>
      <c r="G599" s="3">
        <v>0</v>
      </c>
      <c r="H599" s="57">
        <v>8</v>
      </c>
      <c r="I599" s="56"/>
      <c r="J599" s="209"/>
      <c r="K599" s="41" t="s">
        <v>300</v>
      </c>
      <c r="M599" s="2"/>
      <c r="N599" s="2"/>
      <c r="R599" s="2"/>
      <c r="V599" s="1" t="str">
        <f t="shared" ref="V599:V614" si="148">+CONCATENATE(E599,".",F599,"\",G599,".",H599,":",I599)</f>
        <v>2.6\0.8:</v>
      </c>
      <c r="AM599" s="3"/>
    </row>
    <row r="600" spans="1:39" x14ac:dyDescent="0.3">
      <c r="A600" s="5" t="str">
        <f>A599</f>
        <v>BBD130</v>
      </c>
      <c r="B600" s="1" t="s">
        <v>1470</v>
      </c>
      <c r="C600" s="2" t="str">
        <f t="shared" si="140"/>
        <v>DIO1</v>
      </c>
      <c r="D600" s="2">
        <v>130</v>
      </c>
      <c r="E600" s="3">
        <f t="shared" si="141"/>
        <v>2</v>
      </c>
      <c r="F600" s="3">
        <f t="shared" si="142"/>
        <v>6</v>
      </c>
      <c r="G600" s="3">
        <v>0</v>
      </c>
      <c r="H600" s="55">
        <f>+H599</f>
        <v>8</v>
      </c>
      <c r="I600" s="54"/>
      <c r="J600" s="208"/>
      <c r="K600" s="2"/>
      <c r="M600" s="2"/>
      <c r="N600" s="2"/>
      <c r="R600" s="2"/>
      <c r="V600" s="1" t="str">
        <f t="shared" si="148"/>
        <v>2.6\0.8:</v>
      </c>
      <c r="AM600" s="3"/>
    </row>
    <row r="601" spans="1:39" x14ac:dyDescent="0.3">
      <c r="A601" s="5" t="str">
        <f>A600</f>
        <v>BBD130</v>
      </c>
      <c r="B601" s="1" t="s">
        <v>1470</v>
      </c>
      <c r="C601" s="2" t="str">
        <f t="shared" si="140"/>
        <v>DIO1</v>
      </c>
      <c r="D601" s="2">
        <v>130</v>
      </c>
      <c r="E601" s="3">
        <f t="shared" si="141"/>
        <v>2</v>
      </c>
      <c r="F601" s="3">
        <f t="shared" si="142"/>
        <v>6</v>
      </c>
      <c r="G601" s="3">
        <v>0</v>
      </c>
      <c r="H601" s="55">
        <f>+H600</f>
        <v>8</v>
      </c>
      <c r="I601" s="54"/>
      <c r="J601" s="208"/>
      <c r="K601" s="2"/>
      <c r="M601" s="2"/>
      <c r="N601" s="2"/>
      <c r="R601" s="2"/>
      <c r="V601" s="1" t="str">
        <f t="shared" si="148"/>
        <v>2.6\0.8:</v>
      </c>
      <c r="AM601" s="3"/>
    </row>
    <row r="602" spans="1:39" ht="13.5" thickBot="1" x14ac:dyDescent="0.35">
      <c r="A602" s="5" t="str">
        <f>A601</f>
        <v>BBD130</v>
      </c>
      <c r="B602" s="1" t="s">
        <v>1470</v>
      </c>
      <c r="C602" s="2" t="str">
        <f t="shared" si="140"/>
        <v>DIO1</v>
      </c>
      <c r="D602" s="2">
        <v>130</v>
      </c>
      <c r="E602" s="3">
        <f t="shared" si="141"/>
        <v>2</v>
      </c>
      <c r="F602" s="3">
        <f t="shared" si="142"/>
        <v>6</v>
      </c>
      <c r="G602" s="3">
        <v>0</v>
      </c>
      <c r="H602" s="55">
        <f>+H601</f>
        <v>8</v>
      </c>
      <c r="I602" s="59"/>
      <c r="J602" s="207"/>
      <c r="K602" s="2"/>
      <c r="M602" s="2"/>
      <c r="N602" s="2"/>
      <c r="R602" s="2"/>
      <c r="V602" s="1" t="str">
        <f t="shared" si="148"/>
        <v>2.6\0.8:</v>
      </c>
      <c r="AM602" s="3"/>
    </row>
    <row r="603" spans="1:39" x14ac:dyDescent="0.3">
      <c r="A603" s="76" t="s">
        <v>1471</v>
      </c>
      <c r="B603" s="1" t="s">
        <v>1470</v>
      </c>
      <c r="C603" s="2" t="str">
        <f t="shared" si="140"/>
        <v>DIO1</v>
      </c>
      <c r="D603" s="2">
        <v>130</v>
      </c>
      <c r="E603" s="3">
        <f t="shared" si="141"/>
        <v>2</v>
      </c>
      <c r="F603" s="3">
        <f t="shared" si="142"/>
        <v>6</v>
      </c>
      <c r="G603" s="3">
        <v>0</v>
      </c>
      <c r="H603" s="62">
        <v>9</v>
      </c>
      <c r="I603" s="56"/>
      <c r="J603" s="209"/>
      <c r="K603" s="41" t="s">
        <v>300</v>
      </c>
      <c r="M603" s="2"/>
      <c r="N603" s="2"/>
      <c r="R603" s="2"/>
      <c r="V603" s="1" t="str">
        <f t="shared" si="148"/>
        <v>2.6\0.9:</v>
      </c>
      <c r="AM603" s="3"/>
    </row>
    <row r="604" spans="1:39" x14ac:dyDescent="0.3">
      <c r="A604" s="5" t="str">
        <f>A603</f>
        <v>BBD130</v>
      </c>
      <c r="B604" s="1" t="s">
        <v>1470</v>
      </c>
      <c r="C604" s="2" t="str">
        <f t="shared" si="140"/>
        <v>DIO1</v>
      </c>
      <c r="D604" s="2">
        <v>130</v>
      </c>
      <c r="E604" s="3">
        <f t="shared" si="141"/>
        <v>2</v>
      </c>
      <c r="F604" s="3">
        <f t="shared" si="142"/>
        <v>6</v>
      </c>
      <c r="G604" s="3">
        <v>0</v>
      </c>
      <c r="H604" s="55">
        <f>+H603</f>
        <v>9</v>
      </c>
      <c r="I604" s="54"/>
      <c r="J604" s="208"/>
      <c r="K604" s="2"/>
      <c r="M604" s="2"/>
      <c r="N604" s="2"/>
      <c r="R604" s="2"/>
      <c r="V604" s="1" t="str">
        <f t="shared" si="148"/>
        <v>2.6\0.9:</v>
      </c>
      <c r="AM604" s="3"/>
    </row>
    <row r="605" spans="1:39" x14ac:dyDescent="0.3">
      <c r="A605" s="5" t="str">
        <f>A604</f>
        <v>BBD130</v>
      </c>
      <c r="B605" s="1" t="s">
        <v>1470</v>
      </c>
      <c r="C605" s="2" t="str">
        <f t="shared" si="140"/>
        <v>DIO1</v>
      </c>
      <c r="D605" s="2">
        <v>130</v>
      </c>
      <c r="E605" s="3">
        <f t="shared" si="141"/>
        <v>2</v>
      </c>
      <c r="F605" s="3">
        <f t="shared" si="142"/>
        <v>6</v>
      </c>
      <c r="G605" s="3">
        <v>0</v>
      </c>
      <c r="H605" s="55">
        <f>+H604</f>
        <v>9</v>
      </c>
      <c r="I605" s="54"/>
      <c r="J605" s="208"/>
      <c r="K605" s="2"/>
      <c r="M605" s="2"/>
      <c r="N605" s="2"/>
      <c r="R605" s="2"/>
      <c r="V605" s="1" t="str">
        <f t="shared" si="148"/>
        <v>2.6\0.9:</v>
      </c>
      <c r="AM605" s="3"/>
    </row>
    <row r="606" spans="1:39" ht="13.5" thickBot="1" x14ac:dyDescent="0.35">
      <c r="A606" s="5" t="str">
        <f>A605</f>
        <v>BBD130</v>
      </c>
      <c r="B606" s="1" t="s">
        <v>1470</v>
      </c>
      <c r="C606" s="2" t="str">
        <f t="shared" si="140"/>
        <v>DIO1</v>
      </c>
      <c r="D606" s="2">
        <v>130</v>
      </c>
      <c r="E606" s="3">
        <f t="shared" si="141"/>
        <v>2</v>
      </c>
      <c r="F606" s="3">
        <f t="shared" si="142"/>
        <v>6</v>
      </c>
      <c r="G606" s="3">
        <v>0</v>
      </c>
      <c r="H606" s="55">
        <f>+H605</f>
        <v>9</v>
      </c>
      <c r="I606" s="59"/>
      <c r="J606" s="207"/>
      <c r="K606" s="2"/>
      <c r="M606" s="2"/>
      <c r="N606" s="2"/>
      <c r="R606" s="2"/>
      <c r="V606" s="1" t="str">
        <f t="shared" si="148"/>
        <v>2.6\0.9:</v>
      </c>
      <c r="AM606" s="3"/>
    </row>
    <row r="607" spans="1:39" x14ac:dyDescent="0.3">
      <c r="A607" s="76" t="s">
        <v>1471</v>
      </c>
      <c r="B607" s="1" t="s">
        <v>1470</v>
      </c>
      <c r="C607" s="2" t="str">
        <f t="shared" si="140"/>
        <v>DIO1</v>
      </c>
      <c r="D607" s="2">
        <v>130</v>
      </c>
      <c r="E607" s="3">
        <f t="shared" si="141"/>
        <v>2</v>
      </c>
      <c r="F607" s="3">
        <f t="shared" si="142"/>
        <v>6</v>
      </c>
      <c r="G607" s="3">
        <v>0</v>
      </c>
      <c r="H607" s="57">
        <v>10</v>
      </c>
      <c r="I607" s="56"/>
      <c r="J607" s="209"/>
      <c r="K607" s="41" t="s">
        <v>300</v>
      </c>
      <c r="M607" s="2"/>
      <c r="N607" s="2"/>
      <c r="R607" s="2"/>
      <c r="V607" s="1" t="str">
        <f t="shared" si="148"/>
        <v>2.6\0.10:</v>
      </c>
      <c r="AM607" s="3"/>
    </row>
    <row r="608" spans="1:39" x14ac:dyDescent="0.3">
      <c r="A608" s="5" t="str">
        <f>A607</f>
        <v>BBD130</v>
      </c>
      <c r="B608" s="1" t="s">
        <v>1470</v>
      </c>
      <c r="C608" s="2" t="str">
        <f t="shared" si="140"/>
        <v>DIO1</v>
      </c>
      <c r="D608" s="2">
        <v>130</v>
      </c>
      <c r="E608" s="3">
        <f t="shared" si="141"/>
        <v>2</v>
      </c>
      <c r="F608" s="3">
        <f t="shared" si="142"/>
        <v>6</v>
      </c>
      <c r="G608" s="3">
        <v>0</v>
      </c>
      <c r="H608" s="55">
        <f>+H607</f>
        <v>10</v>
      </c>
      <c r="I608" s="54"/>
      <c r="J608" s="208"/>
      <c r="K608" s="2"/>
      <c r="M608" s="2"/>
      <c r="N608" s="2"/>
      <c r="R608" s="2"/>
      <c r="V608" s="1" t="str">
        <f t="shared" si="148"/>
        <v>2.6\0.10:</v>
      </c>
      <c r="AM608" s="3"/>
    </row>
    <row r="609" spans="1:39" x14ac:dyDescent="0.3">
      <c r="A609" s="5" t="str">
        <f>A608</f>
        <v>BBD130</v>
      </c>
      <c r="B609" s="1" t="s">
        <v>1470</v>
      </c>
      <c r="C609" s="2" t="str">
        <f t="shared" si="140"/>
        <v>DIO1</v>
      </c>
      <c r="D609" s="2">
        <v>130</v>
      </c>
      <c r="E609" s="3">
        <f t="shared" si="141"/>
        <v>2</v>
      </c>
      <c r="F609" s="3">
        <f t="shared" si="142"/>
        <v>6</v>
      </c>
      <c r="G609" s="3">
        <v>0</v>
      </c>
      <c r="H609" s="55">
        <f>+H608</f>
        <v>10</v>
      </c>
      <c r="I609" s="54"/>
      <c r="J609" s="208"/>
      <c r="K609" s="2"/>
      <c r="M609" s="2"/>
      <c r="N609" s="2"/>
      <c r="R609" s="2"/>
      <c r="V609" s="1" t="str">
        <f t="shared" si="148"/>
        <v>2.6\0.10:</v>
      </c>
      <c r="AM609" s="3"/>
    </row>
    <row r="610" spans="1:39" ht="13.5" thickBot="1" x14ac:dyDescent="0.35">
      <c r="A610" s="5" t="str">
        <f>A609</f>
        <v>BBD130</v>
      </c>
      <c r="B610" s="1" t="s">
        <v>1470</v>
      </c>
      <c r="C610" s="2" t="str">
        <f t="shared" si="140"/>
        <v>DIO1</v>
      </c>
      <c r="D610" s="2">
        <v>130</v>
      </c>
      <c r="E610" s="3">
        <f t="shared" si="141"/>
        <v>2</v>
      </c>
      <c r="F610" s="3">
        <f t="shared" si="142"/>
        <v>6</v>
      </c>
      <c r="G610" s="3">
        <v>0</v>
      </c>
      <c r="H610" s="55">
        <f>+H609</f>
        <v>10</v>
      </c>
      <c r="I610" s="59"/>
      <c r="J610" s="207"/>
      <c r="K610" s="2"/>
      <c r="M610" s="2"/>
      <c r="N610" s="2"/>
      <c r="R610" s="2"/>
      <c r="V610" s="1" t="str">
        <f t="shared" si="148"/>
        <v>2.6\0.10:</v>
      </c>
      <c r="AM610" s="3"/>
    </row>
    <row r="611" spans="1:39" x14ac:dyDescent="0.3">
      <c r="A611" s="76" t="s">
        <v>1471</v>
      </c>
      <c r="B611" s="1" t="s">
        <v>1470</v>
      </c>
      <c r="C611" s="2" t="str">
        <f t="shared" si="140"/>
        <v>DIO1</v>
      </c>
      <c r="D611" s="2">
        <v>130</v>
      </c>
      <c r="E611" s="3">
        <f t="shared" si="141"/>
        <v>2</v>
      </c>
      <c r="F611" s="3">
        <f t="shared" si="142"/>
        <v>6</v>
      </c>
      <c r="G611" s="3">
        <v>0</v>
      </c>
      <c r="H611" s="57">
        <v>11</v>
      </c>
      <c r="I611" s="56"/>
      <c r="J611" s="209"/>
      <c r="K611" s="41" t="s">
        <v>300</v>
      </c>
      <c r="M611" s="2"/>
      <c r="N611" s="2"/>
      <c r="R611" s="2"/>
      <c r="V611" s="1" t="str">
        <f t="shared" si="148"/>
        <v>2.6\0.11:</v>
      </c>
      <c r="AM611" s="3"/>
    </row>
    <row r="612" spans="1:39" x14ac:dyDescent="0.3">
      <c r="A612" s="5" t="str">
        <f>A611</f>
        <v>BBD130</v>
      </c>
      <c r="B612" s="1" t="s">
        <v>1470</v>
      </c>
      <c r="C612" s="2" t="str">
        <f t="shared" si="140"/>
        <v>DIO1</v>
      </c>
      <c r="D612" s="2">
        <v>130</v>
      </c>
      <c r="E612" s="3">
        <f t="shared" si="141"/>
        <v>2</v>
      </c>
      <c r="F612" s="3">
        <f t="shared" si="142"/>
        <v>6</v>
      </c>
      <c r="G612" s="3">
        <v>0</v>
      </c>
      <c r="H612" s="55">
        <f>+H611</f>
        <v>11</v>
      </c>
      <c r="I612" s="54"/>
      <c r="J612" s="208"/>
      <c r="K612" s="2"/>
      <c r="M612" s="2"/>
      <c r="N612" s="2"/>
      <c r="R612" s="2"/>
      <c r="V612" s="1" t="str">
        <f t="shared" si="148"/>
        <v>2.6\0.11:</v>
      </c>
      <c r="AM612" s="3"/>
    </row>
    <row r="613" spans="1:39" x14ac:dyDescent="0.3">
      <c r="A613" s="5" t="str">
        <f>A612</f>
        <v>BBD130</v>
      </c>
      <c r="B613" s="1" t="s">
        <v>1470</v>
      </c>
      <c r="C613" s="2" t="str">
        <f t="shared" si="140"/>
        <v>DIO1</v>
      </c>
      <c r="D613" s="2">
        <v>130</v>
      </c>
      <c r="E613" s="3">
        <f t="shared" si="141"/>
        <v>2</v>
      </c>
      <c r="F613" s="3">
        <f t="shared" si="142"/>
        <v>6</v>
      </c>
      <c r="G613" s="3">
        <v>0</v>
      </c>
      <c r="H613" s="55">
        <f>+H612</f>
        <v>11</v>
      </c>
      <c r="I613" s="54"/>
      <c r="J613" s="208"/>
      <c r="K613" s="2"/>
      <c r="M613" s="2"/>
      <c r="N613" s="2"/>
      <c r="R613" s="2"/>
      <c r="V613" s="1" t="str">
        <f t="shared" si="148"/>
        <v>2.6\0.11:</v>
      </c>
      <c r="AM613" s="3"/>
    </row>
    <row r="614" spans="1:39" ht="13.5" thickBot="1" x14ac:dyDescent="0.35">
      <c r="A614" s="5" t="str">
        <f>A613</f>
        <v>BBD130</v>
      </c>
      <c r="B614" s="1" t="s">
        <v>1470</v>
      </c>
      <c r="C614" s="2" t="str">
        <f t="shared" si="140"/>
        <v>DIO1</v>
      </c>
      <c r="D614" s="2">
        <v>130</v>
      </c>
      <c r="E614" s="3">
        <f t="shared" si="141"/>
        <v>2</v>
      </c>
      <c r="F614" s="3">
        <f t="shared" si="142"/>
        <v>6</v>
      </c>
      <c r="G614" s="3">
        <v>0</v>
      </c>
      <c r="H614" s="55">
        <f>+H613</f>
        <v>11</v>
      </c>
      <c r="I614" s="59"/>
      <c r="J614" s="207"/>
      <c r="K614" s="2"/>
      <c r="M614" s="2"/>
      <c r="N614" s="2"/>
      <c r="R614" s="2"/>
      <c r="V614" s="1" t="str">
        <f t="shared" si="148"/>
        <v>2.6\0.11:</v>
      </c>
      <c r="AM614" s="3"/>
    </row>
    <row r="615" spans="1:39" x14ac:dyDescent="0.3">
      <c r="B615" s="1"/>
      <c r="C615" s="2"/>
      <c r="D615" s="2"/>
      <c r="E615" s="3"/>
      <c r="F615" s="3"/>
      <c r="G615" s="3"/>
      <c r="H615" s="55"/>
      <c r="I615" s="55"/>
      <c r="K615" s="2"/>
      <c r="L615" s="244"/>
      <c r="M615" s="40"/>
      <c r="N615" s="2"/>
      <c r="R615" s="2"/>
      <c r="AM615" s="3"/>
    </row>
    <row r="616" spans="1:39" ht="14.5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30" t="s">
        <v>843</v>
      </c>
      <c r="L616" s="40"/>
      <c r="M616" s="40"/>
      <c r="N616" s="40" t="s">
        <v>492</v>
      </c>
      <c r="O616" s="2"/>
      <c r="P616" s="40" t="s">
        <v>1458</v>
      </c>
      <c r="Q616" s="2" t="s">
        <v>1469</v>
      </c>
      <c r="R616" s="2"/>
      <c r="S616" s="1" t="s">
        <v>1461</v>
      </c>
      <c r="T616" s="1" t="s">
        <v>492</v>
      </c>
      <c r="V616" s="2"/>
      <c r="W616" s="1" t="s">
        <v>559</v>
      </c>
      <c r="X616" s="18">
        <v>0</v>
      </c>
      <c r="Y616" s="267" t="s">
        <v>1468</v>
      </c>
      <c r="AG616" s="202" t="s">
        <v>539</v>
      </c>
      <c r="AH616" s="203">
        <v>1</v>
      </c>
      <c r="AI616" s="203">
        <v>2</v>
      </c>
      <c r="AJ616" s="203">
        <v>3</v>
      </c>
      <c r="AK616" s="203">
        <v>4</v>
      </c>
      <c r="AM616" s="3"/>
    </row>
    <row r="617" spans="1:39" ht="14.5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30" t="s">
        <v>843</v>
      </c>
      <c r="L617" s="40"/>
      <c r="M617" s="40"/>
      <c r="N617" s="40" t="s">
        <v>1467</v>
      </c>
      <c r="O617" s="2" t="s">
        <v>61</v>
      </c>
      <c r="P617" s="40" t="s">
        <v>1466</v>
      </c>
      <c r="Q617" s="2" t="s">
        <v>1028</v>
      </c>
      <c r="R617" s="2"/>
      <c r="S617" s="1" t="s">
        <v>1461</v>
      </c>
      <c r="T617" s="1" t="s">
        <v>474</v>
      </c>
      <c r="V617" s="2"/>
      <c r="W617" s="1" t="s">
        <v>475</v>
      </c>
      <c r="X617" s="18">
        <v>0</v>
      </c>
      <c r="Y617" s="267"/>
      <c r="AG617" s="202" t="s">
        <v>539</v>
      </c>
      <c r="AH617" s="202">
        <v>5</v>
      </c>
      <c r="AI617" s="202">
        <v>6</v>
      </c>
      <c r="AJ617" s="202">
        <v>7</v>
      </c>
      <c r="AK617" s="202">
        <v>8</v>
      </c>
      <c r="AM617" s="3"/>
    </row>
    <row r="618" spans="1:39" ht="14.5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30" t="s">
        <v>843</v>
      </c>
      <c r="L618" s="40"/>
      <c r="M618" s="40"/>
      <c r="N618" s="40" t="s">
        <v>1465</v>
      </c>
      <c r="O618" s="2" t="s">
        <v>61</v>
      </c>
      <c r="P618" s="40" t="s">
        <v>1464</v>
      </c>
      <c r="Q618" s="2" t="s">
        <v>1028</v>
      </c>
      <c r="R618" s="2"/>
      <c r="S618" s="1" t="s">
        <v>1461</v>
      </c>
      <c r="T618" s="1" t="s">
        <v>473</v>
      </c>
      <c r="V618" s="2"/>
      <c r="W618" s="1" t="s">
        <v>472</v>
      </c>
      <c r="X618" s="18">
        <v>0</v>
      </c>
      <c r="Y618" s="267"/>
      <c r="AG618" s="202" t="s">
        <v>539</v>
      </c>
      <c r="AH618" s="202">
        <v>9</v>
      </c>
      <c r="AI618" s="202">
        <v>10</v>
      </c>
      <c r="AJ618" s="202">
        <v>11</v>
      </c>
      <c r="AK618" s="202">
        <v>12</v>
      </c>
      <c r="AM618" s="3"/>
    </row>
    <row r="619" spans="1:39" ht="14.5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30" t="s">
        <v>843</v>
      </c>
      <c r="L619" s="40"/>
      <c r="M619" s="40"/>
      <c r="N619" s="40" t="s">
        <v>1463</v>
      </c>
      <c r="O619" s="2" t="s">
        <v>61</v>
      </c>
      <c r="P619" s="40" t="s">
        <v>1462</v>
      </c>
      <c r="Q619" s="2" t="s">
        <v>1028</v>
      </c>
      <c r="R619" s="2"/>
      <c r="S619" s="1" t="s">
        <v>1461</v>
      </c>
      <c r="T619" s="1" t="s">
        <v>71</v>
      </c>
      <c r="V619" s="2"/>
      <c r="W619" s="1" t="s">
        <v>70</v>
      </c>
      <c r="X619" s="18">
        <v>0</v>
      </c>
      <c r="Y619" s="219" t="s">
        <v>1460</v>
      </c>
      <c r="AG619" s="202" t="s">
        <v>539</v>
      </c>
      <c r="AH619" s="202">
        <v>13</v>
      </c>
      <c r="AI619" s="202">
        <v>14</v>
      </c>
      <c r="AJ619" s="202">
        <v>15</v>
      </c>
      <c r="AK619" s="202">
        <v>16</v>
      </c>
      <c r="AM619" s="3"/>
    </row>
    <row r="620" spans="1:39" ht="14.5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40"/>
      <c r="M620" s="40"/>
      <c r="N620" s="40"/>
      <c r="O620" s="2"/>
      <c r="P620" s="40"/>
      <c r="Q620" s="2" t="s">
        <v>302</v>
      </c>
      <c r="R620" s="2"/>
      <c r="V620" s="2"/>
      <c r="AG620" s="202" t="s">
        <v>539</v>
      </c>
      <c r="AH620" s="202">
        <v>17</v>
      </c>
      <c r="AI620" s="202">
        <v>18</v>
      </c>
      <c r="AJ620" s="202">
        <v>19</v>
      </c>
      <c r="AK620" s="202">
        <v>20</v>
      </c>
      <c r="AM620" s="3"/>
    </row>
    <row r="621" spans="1:39" ht="14.5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40"/>
      <c r="M621" s="40"/>
      <c r="N621" s="40"/>
      <c r="O621" s="2"/>
      <c r="P621" s="40"/>
      <c r="Q621" s="2" t="s">
        <v>302</v>
      </c>
      <c r="R621" s="2"/>
      <c r="V621" s="2"/>
      <c r="AG621" s="202" t="s">
        <v>539</v>
      </c>
      <c r="AH621" s="202">
        <v>21</v>
      </c>
      <c r="AI621" s="202">
        <v>22</v>
      </c>
      <c r="AJ621" s="202">
        <v>23</v>
      </c>
      <c r="AK621" s="202">
        <v>24</v>
      </c>
      <c r="AM621" s="3"/>
    </row>
    <row r="622" spans="1:39" ht="15" thickBot="1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40"/>
      <c r="M622" s="40"/>
      <c r="N622" s="40"/>
      <c r="O622" s="2"/>
      <c r="P622" s="40"/>
      <c r="Q622" s="2" t="s">
        <v>302</v>
      </c>
      <c r="R622" s="2"/>
      <c r="V622" s="2"/>
      <c r="AG622" s="202" t="s">
        <v>539</v>
      </c>
      <c r="AH622" s="202">
        <v>25</v>
      </c>
      <c r="AI622" s="202">
        <v>26</v>
      </c>
      <c r="AJ622" s="202">
        <v>27</v>
      </c>
      <c r="AK622" s="202">
        <v>28</v>
      </c>
      <c r="AM622" s="3"/>
    </row>
    <row r="623" spans="1:39" ht="15" thickBot="1" x14ac:dyDescent="0.4">
      <c r="A623" s="2"/>
      <c r="B623" s="2"/>
      <c r="C623" s="2"/>
      <c r="D623" s="2"/>
      <c r="E623" s="2"/>
      <c r="F623" s="2"/>
      <c r="G623" s="2"/>
      <c r="H623" s="2"/>
      <c r="I623" s="74"/>
      <c r="J623" s="73"/>
      <c r="K623" s="2" t="s">
        <v>117</v>
      </c>
      <c r="L623" s="40" t="s">
        <v>1032</v>
      </c>
      <c r="M623" s="40"/>
      <c r="N623" s="40" t="s">
        <v>1459</v>
      </c>
      <c r="O623" s="2" t="s">
        <v>61</v>
      </c>
      <c r="P623" s="40" t="s">
        <v>1458</v>
      </c>
      <c r="Q623" s="2" t="s">
        <v>1028</v>
      </c>
      <c r="R623" s="2"/>
      <c r="S623" s="1" t="s">
        <v>1457</v>
      </c>
      <c r="T623" s="40" t="s">
        <v>477</v>
      </c>
      <c r="V623" s="2"/>
      <c r="W623" s="1" t="s">
        <v>1441</v>
      </c>
      <c r="X623" s="18">
        <v>0</v>
      </c>
      <c r="AG623" s="202" t="s">
        <v>539</v>
      </c>
      <c r="AH623" s="202">
        <v>29</v>
      </c>
      <c r="AI623" s="202">
        <v>30</v>
      </c>
      <c r="AJ623" s="202">
        <v>31</v>
      </c>
      <c r="AK623" s="202">
        <v>32</v>
      </c>
      <c r="AM623" s="3"/>
    </row>
    <row r="624" spans="1:39" ht="15" thickBot="1" x14ac:dyDescent="0.4">
      <c r="A624" s="2"/>
      <c r="B624" s="2"/>
      <c r="C624" s="2"/>
      <c r="D624" s="2"/>
      <c r="E624" s="2"/>
      <c r="F624" s="2"/>
      <c r="G624" s="2"/>
      <c r="H624" s="2"/>
      <c r="I624" s="74"/>
      <c r="J624" s="73"/>
      <c r="K624" s="2" t="s">
        <v>117</v>
      </c>
      <c r="L624" s="40" t="s">
        <v>1032</v>
      </c>
      <c r="M624" s="40"/>
      <c r="N624" s="40" t="s">
        <v>1456</v>
      </c>
      <c r="O624" s="2" t="s">
        <v>61</v>
      </c>
      <c r="P624" s="40" t="s">
        <v>1455</v>
      </c>
      <c r="Q624" s="2" t="s">
        <v>1028</v>
      </c>
      <c r="R624" s="2"/>
      <c r="S624" s="1" t="s">
        <v>1454</v>
      </c>
      <c r="T624" s="1" t="s">
        <v>492</v>
      </c>
      <c r="V624" s="2"/>
      <c r="W624" s="1" t="s">
        <v>1441</v>
      </c>
      <c r="X624" s="18">
        <v>0</v>
      </c>
      <c r="AG624" s="202" t="s">
        <v>539</v>
      </c>
      <c r="AH624" s="202">
        <v>33</v>
      </c>
      <c r="AI624" s="202">
        <v>34</v>
      </c>
      <c r="AJ624" s="202">
        <v>35</v>
      </c>
      <c r="AK624" s="202">
        <v>36</v>
      </c>
      <c r="AM624" s="3"/>
    </row>
    <row r="625" spans="1:51" ht="15" thickBot="1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30" t="s">
        <v>843</v>
      </c>
      <c r="L625" s="40"/>
      <c r="M625" s="40"/>
      <c r="N625" s="40" t="s">
        <v>1453</v>
      </c>
      <c r="O625" s="2" t="s">
        <v>1452</v>
      </c>
      <c r="P625" s="40" t="s">
        <v>1451</v>
      </c>
      <c r="Q625" s="2" t="s">
        <v>1450</v>
      </c>
      <c r="R625" s="2"/>
      <c r="T625" s="1" t="s">
        <v>1449</v>
      </c>
      <c r="V625" s="2"/>
      <c r="W625" s="1" t="s">
        <v>1441</v>
      </c>
      <c r="X625" s="18">
        <v>0</v>
      </c>
      <c r="AG625" s="202" t="s">
        <v>539</v>
      </c>
      <c r="AH625" s="202">
        <v>37</v>
      </c>
      <c r="AI625" s="202">
        <v>38</v>
      </c>
      <c r="AJ625" s="202">
        <v>39</v>
      </c>
      <c r="AK625" s="202">
        <v>40</v>
      </c>
      <c r="AM625" s="3"/>
    </row>
    <row r="626" spans="1:51" ht="15" thickBot="1" x14ac:dyDescent="0.4">
      <c r="A626" s="2"/>
      <c r="B626" s="2"/>
      <c r="C626" s="2"/>
      <c r="D626" s="2"/>
      <c r="E626" s="2"/>
      <c r="F626" s="2"/>
      <c r="G626" s="2"/>
      <c r="H626" s="2"/>
      <c r="I626" s="74"/>
      <c r="J626" s="73"/>
      <c r="K626" s="2" t="s">
        <v>117</v>
      </c>
      <c r="L626" s="40" t="s">
        <v>1032</v>
      </c>
      <c r="M626" s="40"/>
      <c r="N626" s="2"/>
      <c r="O626" s="2"/>
      <c r="P626" s="40" t="s">
        <v>1448</v>
      </c>
      <c r="Q626" s="2" t="s">
        <v>1444</v>
      </c>
      <c r="R626" s="2"/>
      <c r="S626" s="1" t="s">
        <v>1447</v>
      </c>
      <c r="T626" s="1" t="s">
        <v>1442</v>
      </c>
      <c r="V626" s="2"/>
      <c r="W626" s="1" t="s">
        <v>1441</v>
      </c>
      <c r="X626" s="18">
        <v>0</v>
      </c>
      <c r="AG626" s="202" t="s">
        <v>539</v>
      </c>
      <c r="AH626" s="202">
        <v>41</v>
      </c>
      <c r="AI626" s="202">
        <v>42</v>
      </c>
      <c r="AJ626" s="202">
        <v>43</v>
      </c>
      <c r="AK626" s="202">
        <v>44</v>
      </c>
      <c r="AM626" s="3"/>
    </row>
    <row r="627" spans="1:51" ht="15" thickBot="1" x14ac:dyDescent="0.4">
      <c r="A627" s="2"/>
      <c r="B627" s="2"/>
      <c r="C627" s="2"/>
      <c r="D627" s="2"/>
      <c r="E627" s="2"/>
      <c r="F627" s="2"/>
      <c r="G627" s="2"/>
      <c r="H627" s="2"/>
      <c r="I627" s="74"/>
      <c r="J627" s="73"/>
      <c r="K627" s="2" t="s">
        <v>1446</v>
      </c>
      <c r="L627" s="40" t="s">
        <v>1032</v>
      </c>
      <c r="M627" s="40"/>
      <c r="N627" s="2"/>
      <c r="O627" s="2"/>
      <c r="P627" s="40" t="s">
        <v>1445</v>
      </c>
      <c r="Q627" s="2" t="s">
        <v>1444</v>
      </c>
      <c r="R627" s="2"/>
      <c r="S627" s="1" t="s">
        <v>1443</v>
      </c>
      <c r="T627" s="1" t="s">
        <v>1442</v>
      </c>
      <c r="V627" s="2"/>
      <c r="W627" s="1" t="s">
        <v>1441</v>
      </c>
      <c r="X627" s="18">
        <v>0</v>
      </c>
      <c r="AG627" s="202" t="s">
        <v>539</v>
      </c>
      <c r="AH627" s="202">
        <v>45</v>
      </c>
      <c r="AI627" s="202">
        <v>46</v>
      </c>
      <c r="AJ627" s="202">
        <v>47</v>
      </c>
      <c r="AK627" s="202">
        <v>48</v>
      </c>
      <c r="AM627" s="3"/>
    </row>
    <row r="628" spans="1:5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V628" s="2"/>
      <c r="AM628" s="3"/>
    </row>
    <row r="629" spans="1:51" x14ac:dyDescent="0.3">
      <c r="B629" s="1"/>
      <c r="C629" s="2"/>
      <c r="D629" s="2"/>
      <c r="E629" s="3"/>
      <c r="F629" s="3"/>
      <c r="G629" s="3"/>
      <c r="H629" s="55"/>
      <c r="I629" s="55"/>
      <c r="K629" s="2"/>
      <c r="L629" s="30"/>
      <c r="M629" s="2"/>
      <c r="N629" s="2"/>
      <c r="R629" s="2"/>
      <c r="AM629" s="3"/>
    </row>
    <row r="630" spans="1:51" x14ac:dyDescent="0.3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V630" s="2"/>
    </row>
    <row r="631" spans="1:51" s="6" customFormat="1" ht="15.5" x14ac:dyDescent="0.35">
      <c r="A631" s="71"/>
      <c r="B631" s="53" t="s">
        <v>1440</v>
      </c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226"/>
      <c r="T631" s="226"/>
      <c r="U631" s="226"/>
      <c r="V631" s="71"/>
      <c r="W631" s="226"/>
      <c r="X631" s="227"/>
      <c r="Y631" s="226"/>
      <c r="Z631" s="225"/>
      <c r="AA631" s="225"/>
      <c r="AB631" s="7"/>
      <c r="AC631" s="7"/>
      <c r="AD631" s="7"/>
      <c r="AE631" s="7"/>
      <c r="AF631" s="7"/>
      <c r="AG631" s="8"/>
      <c r="AH631" s="8"/>
      <c r="AI631" s="8"/>
      <c r="AJ631" s="8"/>
      <c r="AK631" s="8"/>
      <c r="AL631" s="200"/>
      <c r="AM631" s="50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</row>
    <row r="632" spans="1:51" s="6" customFormat="1" ht="13.5" thickBot="1" x14ac:dyDescent="0.35">
      <c r="A632" s="2"/>
      <c r="B632" s="2"/>
      <c r="C632" s="2"/>
      <c r="E632" s="51"/>
      <c r="F632" s="50"/>
      <c r="G632" s="50"/>
      <c r="S632" s="1"/>
      <c r="T632" s="1"/>
      <c r="U632" s="1"/>
      <c r="W632" s="1"/>
      <c r="X632" s="18"/>
      <c r="Y632" s="7"/>
      <c r="Z632" s="225"/>
      <c r="AA632" s="225"/>
      <c r="AB632" s="7"/>
      <c r="AC632" s="7"/>
      <c r="AD632" s="7"/>
      <c r="AE632" s="7"/>
      <c r="AF632" s="7"/>
      <c r="AG632" s="8"/>
      <c r="AH632" s="8"/>
      <c r="AI632" s="8"/>
      <c r="AJ632" s="8"/>
      <c r="AK632" s="8"/>
      <c r="AL632" s="200"/>
      <c r="AM632" s="50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</row>
    <row r="633" spans="1:51" ht="13.5" thickBot="1" x14ac:dyDescent="0.35">
      <c r="A633" s="31" t="s">
        <v>1439</v>
      </c>
      <c r="B633" s="1" t="s">
        <v>1377</v>
      </c>
      <c r="C633" s="2" t="s">
        <v>459</v>
      </c>
      <c r="D633" s="2">
        <v>130</v>
      </c>
      <c r="E633" s="3">
        <v>2</v>
      </c>
      <c r="F633" s="3">
        <v>7</v>
      </c>
      <c r="G633" s="3">
        <v>0</v>
      </c>
      <c r="H633" s="62"/>
      <c r="I633" s="263"/>
      <c r="J633" s="264"/>
      <c r="K633" s="2"/>
      <c r="L633" s="6"/>
      <c r="M633" s="6"/>
      <c r="N633" s="6"/>
      <c r="O633" s="6"/>
      <c r="P633" s="6"/>
      <c r="Q633" s="6"/>
      <c r="R633" s="6"/>
      <c r="V633" s="6"/>
      <c r="Y633" s="7"/>
      <c r="Z633" s="206"/>
      <c r="AA633" s="206"/>
      <c r="AB633" s="7"/>
      <c r="AC633" s="7"/>
      <c r="AD633" s="7"/>
      <c r="AE633" s="7"/>
      <c r="AF633" s="7"/>
    </row>
    <row r="634" spans="1:51" ht="13.5" thickBot="1" x14ac:dyDescent="0.35">
      <c r="A634" s="76" t="s">
        <v>17</v>
      </c>
      <c r="B634" s="1" t="s">
        <v>1377</v>
      </c>
      <c r="C634" s="2" t="str">
        <f t="shared" ref="C634:C665" si="149">+C633</f>
        <v>DIO1</v>
      </c>
      <c r="D634" s="2">
        <v>130</v>
      </c>
      <c r="E634" s="3">
        <f t="shared" ref="E634:E665" si="150">+E633</f>
        <v>2</v>
      </c>
      <c r="F634" s="3">
        <f t="shared" ref="F634:F665" si="151">+F633</f>
        <v>7</v>
      </c>
      <c r="G634" s="3">
        <v>0</v>
      </c>
      <c r="H634" s="6"/>
      <c r="I634" s="263" t="s">
        <v>458</v>
      </c>
      <c r="J634" s="265"/>
      <c r="K634" s="1" t="s">
        <v>457</v>
      </c>
      <c r="L634" s="6"/>
      <c r="M634" s="6"/>
      <c r="N634" s="6"/>
      <c r="O634" s="6"/>
      <c r="P634" s="6"/>
      <c r="Q634" s="6"/>
      <c r="R634" s="6"/>
      <c r="V634" s="6"/>
      <c r="Y634" s="7"/>
      <c r="Z634" s="206"/>
      <c r="AA634" s="206"/>
      <c r="AB634" s="7"/>
      <c r="AC634" s="7"/>
      <c r="AD634" s="7"/>
      <c r="AE634" s="7"/>
      <c r="AF634" s="7"/>
    </row>
    <row r="635" spans="1:51" ht="13.5" thickBot="1" x14ac:dyDescent="0.35">
      <c r="A635" s="76" t="s">
        <v>17</v>
      </c>
      <c r="B635" s="1" t="s">
        <v>1377</v>
      </c>
      <c r="C635" s="2" t="str">
        <f t="shared" si="149"/>
        <v>DIO1</v>
      </c>
      <c r="D635" s="2">
        <v>130</v>
      </c>
      <c r="E635" s="3">
        <f t="shared" si="150"/>
        <v>2</v>
      </c>
      <c r="F635" s="3">
        <f t="shared" si="151"/>
        <v>7</v>
      </c>
      <c r="G635" s="3">
        <v>0</v>
      </c>
      <c r="H635" s="6"/>
      <c r="I635" s="263" t="s">
        <v>456</v>
      </c>
      <c r="J635" s="265"/>
      <c r="K635" s="2" t="s">
        <v>455</v>
      </c>
      <c r="L635" s="6"/>
      <c r="M635" s="70" t="s">
        <v>454</v>
      </c>
      <c r="N635" s="70"/>
      <c r="O635" s="70" t="s">
        <v>453</v>
      </c>
      <c r="P635" s="70"/>
      <c r="Q635" s="70" t="s">
        <v>452</v>
      </c>
      <c r="R635" s="6"/>
      <c r="V635" s="6"/>
      <c r="Y635" s="7"/>
      <c r="Z635" s="206"/>
      <c r="AA635" s="206"/>
      <c r="AB635" s="7"/>
      <c r="AC635" s="7"/>
      <c r="AD635" s="7"/>
      <c r="AE635" s="7"/>
      <c r="AF635" s="7"/>
    </row>
    <row r="636" spans="1:51" ht="13.5" thickBot="1" x14ac:dyDescent="0.35">
      <c r="A636" s="76" t="s">
        <v>17</v>
      </c>
      <c r="B636" s="1" t="s">
        <v>1377</v>
      </c>
      <c r="C636" s="2" t="str">
        <f t="shared" si="149"/>
        <v>DIO1</v>
      </c>
      <c r="D636" s="2">
        <v>130</v>
      </c>
      <c r="E636" s="3">
        <f t="shared" si="150"/>
        <v>2</v>
      </c>
      <c r="F636" s="3">
        <f t="shared" si="151"/>
        <v>7</v>
      </c>
      <c r="G636" s="3">
        <v>0</v>
      </c>
      <c r="H636" s="27">
        <v>0</v>
      </c>
      <c r="I636" s="263" t="s">
        <v>451</v>
      </c>
      <c r="J636" s="264"/>
      <c r="K636" s="1" t="s">
        <v>450</v>
      </c>
      <c r="L636" s="14" t="s">
        <v>1020</v>
      </c>
      <c r="M636" s="70">
        <f>+COUNTA(L637:L756)</f>
        <v>96</v>
      </c>
      <c r="N636" s="70"/>
      <c r="O636" s="70">
        <f>+COUNTBLANK(O637:O756)</f>
        <v>78</v>
      </c>
      <c r="P636" s="70"/>
      <c r="Q636" s="69">
        <f>+O636/M636</f>
        <v>0.8125</v>
      </c>
      <c r="Y636" s="7"/>
      <c r="Z636" s="206"/>
      <c r="AA636" s="206"/>
      <c r="AB636" s="7"/>
      <c r="AC636" s="7"/>
      <c r="AD636" s="7"/>
      <c r="AE636" s="7"/>
      <c r="AF636" s="7"/>
    </row>
    <row r="637" spans="1:51" x14ac:dyDescent="0.3">
      <c r="A637" s="76" t="s">
        <v>17</v>
      </c>
      <c r="B637" s="1" t="s">
        <v>1377</v>
      </c>
      <c r="C637" s="2" t="str">
        <f t="shared" si="149"/>
        <v>DIO1</v>
      </c>
      <c r="D637" s="2">
        <v>130</v>
      </c>
      <c r="E637" s="3">
        <f t="shared" si="150"/>
        <v>2</v>
      </c>
      <c r="F637" s="3">
        <f t="shared" si="151"/>
        <v>7</v>
      </c>
      <c r="G637" s="3">
        <v>0</v>
      </c>
      <c r="H637" s="62">
        <v>1</v>
      </c>
      <c r="I637" s="56">
        <v>0</v>
      </c>
      <c r="J637" s="61" t="s">
        <v>316</v>
      </c>
      <c r="K637" s="2" t="s">
        <v>315</v>
      </c>
      <c r="L637" s="1" t="s">
        <v>21</v>
      </c>
      <c r="M637" s="2">
        <v>4</v>
      </c>
      <c r="N637" s="1" t="s">
        <v>308</v>
      </c>
      <c r="O637" s="1" t="s">
        <v>72</v>
      </c>
      <c r="Q637" s="1" t="s">
        <v>1438</v>
      </c>
      <c r="R637" s="2" t="s">
        <v>24</v>
      </c>
      <c r="S637" s="13" t="s">
        <v>1219</v>
      </c>
      <c r="T637" s="12" t="s">
        <v>308</v>
      </c>
      <c r="U637" s="12"/>
      <c r="V637" s="1" t="str">
        <f t="shared" ref="V637:V668" si="152">+CONCATENATE(E637,".",F637,"\",G637,".",H637,":",I637)</f>
        <v>2.7\0.1:0</v>
      </c>
      <c r="W637" s="1" t="s">
        <v>1430</v>
      </c>
      <c r="X637" s="18">
        <v>0</v>
      </c>
      <c r="Y637" s="7"/>
      <c r="Z637" s="206" t="s">
        <v>1198</v>
      </c>
      <c r="AA637" s="206"/>
      <c r="AB637" s="7"/>
      <c r="AC637" s="7"/>
      <c r="AD637" s="7"/>
      <c r="AE637" s="7"/>
      <c r="AG637" s="3" t="s">
        <v>768</v>
      </c>
      <c r="AH637" s="3"/>
      <c r="AI637" s="3">
        <v>1</v>
      </c>
      <c r="AJ637" s="200"/>
      <c r="AM637" s="3"/>
    </row>
    <row r="638" spans="1:51" x14ac:dyDescent="0.3">
      <c r="A638" s="76" t="s">
        <v>17</v>
      </c>
      <c r="B638" s="1" t="s">
        <v>1377</v>
      </c>
      <c r="C638" s="2" t="str">
        <f t="shared" si="149"/>
        <v>DIO1</v>
      </c>
      <c r="D638" s="2">
        <v>130</v>
      </c>
      <c r="E638" s="3">
        <f t="shared" si="150"/>
        <v>2</v>
      </c>
      <c r="F638" s="3">
        <f t="shared" si="151"/>
        <v>7</v>
      </c>
      <c r="G638" s="3">
        <v>0</v>
      </c>
      <c r="H638" s="60">
        <f>H637</f>
        <v>1</v>
      </c>
      <c r="I638" s="54">
        <f t="shared" ref="I638:I668" si="153">+I637+1</f>
        <v>1</v>
      </c>
      <c r="J638" s="61"/>
      <c r="L638" s="1" t="s">
        <v>21</v>
      </c>
      <c r="M638" s="2">
        <v>4</v>
      </c>
      <c r="N638" s="1" t="s">
        <v>308</v>
      </c>
      <c r="O638" s="12" t="s">
        <v>320</v>
      </c>
      <c r="P638" s="12"/>
      <c r="Q638" s="243" t="s">
        <v>1218</v>
      </c>
      <c r="R638" s="12" t="s">
        <v>18</v>
      </c>
      <c r="S638" s="13" t="s">
        <v>1217</v>
      </c>
      <c r="T638" s="12" t="s">
        <v>308</v>
      </c>
      <c r="U638" s="12"/>
      <c r="V638" s="1" t="str">
        <f t="shared" si="152"/>
        <v>2.7\0.1:1</v>
      </c>
      <c r="W638" s="1" t="s">
        <v>1430</v>
      </c>
      <c r="X638" s="18">
        <v>0</v>
      </c>
      <c r="Y638" s="7"/>
      <c r="Z638" s="206" t="s">
        <v>1198</v>
      </c>
      <c r="AA638" s="206"/>
      <c r="AB638" s="7"/>
      <c r="AC638" s="7"/>
      <c r="AD638" s="7"/>
      <c r="AE638" s="7"/>
      <c r="AG638" s="3" t="s">
        <v>768</v>
      </c>
      <c r="AH638" s="3"/>
      <c r="AI638" s="3">
        <v>2</v>
      </c>
      <c r="AJ638" s="242"/>
      <c r="AM638" s="3"/>
    </row>
    <row r="639" spans="1:51" x14ac:dyDescent="0.3">
      <c r="A639" s="5" t="str">
        <f t="shared" ref="A639:A668" si="154">A638</f>
        <v>BCV130</v>
      </c>
      <c r="B639" s="1" t="s">
        <v>1377</v>
      </c>
      <c r="C639" s="2" t="str">
        <f t="shared" si="149"/>
        <v>DIO1</v>
      </c>
      <c r="D639" s="2">
        <v>130</v>
      </c>
      <c r="E639" s="3">
        <f t="shared" si="150"/>
        <v>2</v>
      </c>
      <c r="F639" s="3">
        <f t="shared" si="151"/>
        <v>7</v>
      </c>
      <c r="G639" s="3">
        <v>0</v>
      </c>
      <c r="H639" s="60">
        <f>H637</f>
        <v>1</v>
      </c>
      <c r="I639" s="54">
        <f t="shared" si="153"/>
        <v>2</v>
      </c>
      <c r="J639" s="61"/>
      <c r="K639" s="30"/>
      <c r="L639" s="1" t="s">
        <v>21</v>
      </c>
      <c r="M639" s="2">
        <v>4</v>
      </c>
      <c r="N639" s="1" t="s">
        <v>308</v>
      </c>
      <c r="O639" s="12" t="s">
        <v>350</v>
      </c>
      <c r="P639" s="12"/>
      <c r="Q639" s="1" t="s">
        <v>1216</v>
      </c>
      <c r="R639" s="12" t="s">
        <v>18</v>
      </c>
      <c r="S639" s="13" t="s">
        <v>1215</v>
      </c>
      <c r="T639" s="12" t="s">
        <v>308</v>
      </c>
      <c r="U639" s="12"/>
      <c r="V639" s="1" t="str">
        <f t="shared" si="152"/>
        <v>2.7\0.1:2</v>
      </c>
      <c r="W639" s="1" t="s">
        <v>1430</v>
      </c>
      <c r="X639" s="18">
        <v>0</v>
      </c>
      <c r="Y639" s="7"/>
      <c r="Z639" s="206" t="s">
        <v>1198</v>
      </c>
      <c r="AA639" s="206"/>
      <c r="AB639" s="7"/>
      <c r="AC639" s="7"/>
      <c r="AD639" s="7"/>
      <c r="AE639" s="7"/>
      <c r="AG639" s="3" t="s">
        <v>768</v>
      </c>
      <c r="AH639" s="3"/>
      <c r="AI639" s="3">
        <v>3</v>
      </c>
      <c r="AJ639" s="242"/>
      <c r="AM639" s="3"/>
    </row>
    <row r="640" spans="1:51" x14ac:dyDescent="0.3">
      <c r="A640" s="5" t="str">
        <f t="shared" si="154"/>
        <v>BCV130</v>
      </c>
      <c r="B640" s="1" t="s">
        <v>1377</v>
      </c>
      <c r="C640" s="2" t="str">
        <f t="shared" si="149"/>
        <v>DIO1</v>
      </c>
      <c r="D640" s="2">
        <v>130</v>
      </c>
      <c r="E640" s="3">
        <f t="shared" si="150"/>
        <v>2</v>
      </c>
      <c r="F640" s="3">
        <f t="shared" si="151"/>
        <v>7</v>
      </c>
      <c r="G640" s="3">
        <v>0</v>
      </c>
      <c r="H640" s="60">
        <f t="shared" ref="H640:H651" si="155">H637</f>
        <v>1</v>
      </c>
      <c r="I640" s="54">
        <f t="shared" si="153"/>
        <v>3</v>
      </c>
      <c r="J640" s="61"/>
      <c r="K640" s="30"/>
      <c r="L640" s="1" t="s">
        <v>21</v>
      </c>
      <c r="M640" s="2">
        <v>4</v>
      </c>
      <c r="N640" s="1" t="s">
        <v>308</v>
      </c>
      <c r="O640" s="12" t="s">
        <v>348</v>
      </c>
      <c r="P640" s="12"/>
      <c r="Q640" s="1" t="s">
        <v>1214</v>
      </c>
      <c r="R640" s="12" t="s">
        <v>18</v>
      </c>
      <c r="S640" s="13" t="s">
        <v>1213</v>
      </c>
      <c r="T640" s="12" t="s">
        <v>308</v>
      </c>
      <c r="U640" s="12"/>
      <c r="V640" s="1" t="str">
        <f t="shared" si="152"/>
        <v>2.7\0.1:3</v>
      </c>
      <c r="W640" s="1" t="s">
        <v>1430</v>
      </c>
      <c r="X640" s="18">
        <v>0</v>
      </c>
      <c r="Y640" s="7"/>
      <c r="Z640" s="206" t="s">
        <v>1198</v>
      </c>
      <c r="AA640" s="206"/>
      <c r="AB640" s="7"/>
      <c r="AC640" s="7"/>
      <c r="AD640" s="7"/>
      <c r="AE640" s="7"/>
      <c r="AG640" s="3" t="s">
        <v>768</v>
      </c>
      <c r="AH640" s="3"/>
      <c r="AI640" s="3">
        <v>4</v>
      </c>
      <c r="AJ640" s="242"/>
      <c r="AM640" s="3"/>
    </row>
    <row r="641" spans="1:39" x14ac:dyDescent="0.3">
      <c r="A641" s="5" t="str">
        <f t="shared" si="154"/>
        <v>BCV130</v>
      </c>
      <c r="B641" s="1" t="s">
        <v>1377</v>
      </c>
      <c r="C641" s="2" t="str">
        <f t="shared" si="149"/>
        <v>DIO1</v>
      </c>
      <c r="D641" s="2">
        <v>130</v>
      </c>
      <c r="E641" s="3">
        <f t="shared" si="150"/>
        <v>2</v>
      </c>
      <c r="F641" s="3">
        <f t="shared" si="151"/>
        <v>7</v>
      </c>
      <c r="G641" s="3">
        <v>0</v>
      </c>
      <c r="H641" s="60">
        <f t="shared" si="155"/>
        <v>1</v>
      </c>
      <c r="I641" s="54">
        <f t="shared" si="153"/>
        <v>4</v>
      </c>
      <c r="J641" s="61"/>
      <c r="K641" s="30"/>
      <c r="L641" s="1" t="s">
        <v>21</v>
      </c>
      <c r="M641" s="2">
        <v>4</v>
      </c>
      <c r="N641" s="1" t="s">
        <v>308</v>
      </c>
      <c r="O641" s="12" t="s">
        <v>345</v>
      </c>
      <c r="P641" s="12"/>
      <c r="Q641" s="1" t="s">
        <v>1212</v>
      </c>
      <c r="R641" s="12" t="s">
        <v>18</v>
      </c>
      <c r="S641" s="13" t="s">
        <v>1211</v>
      </c>
      <c r="T641" s="12" t="s">
        <v>308</v>
      </c>
      <c r="U641" s="12"/>
      <c r="V641" s="1" t="str">
        <f t="shared" si="152"/>
        <v>2.7\0.1:4</v>
      </c>
      <c r="W641" s="1" t="s">
        <v>1430</v>
      </c>
      <c r="X641" s="18">
        <v>0</v>
      </c>
      <c r="Y641" s="7"/>
      <c r="Z641" s="206" t="s">
        <v>1198</v>
      </c>
      <c r="AA641" s="206"/>
      <c r="AB641" s="7"/>
      <c r="AC641" s="7"/>
      <c r="AD641" s="7"/>
      <c r="AE641" s="7"/>
      <c r="AG641" s="3" t="s">
        <v>768</v>
      </c>
      <c r="AH641" s="3"/>
      <c r="AI641" s="3">
        <v>5</v>
      </c>
      <c r="AJ641" s="200"/>
      <c r="AM641" s="3"/>
    </row>
    <row r="642" spans="1:39" x14ac:dyDescent="0.3">
      <c r="A642" s="5" t="str">
        <f t="shared" si="154"/>
        <v>BCV130</v>
      </c>
      <c r="B642" s="1" t="s">
        <v>1377</v>
      </c>
      <c r="C642" s="2" t="str">
        <f t="shared" si="149"/>
        <v>DIO1</v>
      </c>
      <c r="D642" s="2">
        <v>130</v>
      </c>
      <c r="E642" s="3">
        <f t="shared" si="150"/>
        <v>2</v>
      </c>
      <c r="F642" s="3">
        <f t="shared" si="151"/>
        <v>7</v>
      </c>
      <c r="G642" s="3">
        <v>0</v>
      </c>
      <c r="H642" s="60">
        <f t="shared" si="155"/>
        <v>1</v>
      </c>
      <c r="I642" s="54">
        <f t="shared" si="153"/>
        <v>5</v>
      </c>
      <c r="J642" s="61"/>
      <c r="K642" s="30"/>
      <c r="L642" s="1" t="s">
        <v>21</v>
      </c>
      <c r="M642" s="2">
        <v>4</v>
      </c>
      <c r="N642" s="1" t="s">
        <v>308</v>
      </c>
      <c r="O642" s="12" t="s">
        <v>342</v>
      </c>
      <c r="P642" s="12"/>
      <c r="Q642" s="1" t="s">
        <v>1437</v>
      </c>
      <c r="R642" s="12" t="s">
        <v>18</v>
      </c>
      <c r="S642" s="13" t="s">
        <v>1008</v>
      </c>
      <c r="T642" s="12" t="s">
        <v>308</v>
      </c>
      <c r="U642" s="12"/>
      <c r="V642" s="1" t="str">
        <f t="shared" si="152"/>
        <v>2.7\0.1:5</v>
      </c>
      <c r="W642" s="1" t="s">
        <v>1430</v>
      </c>
      <c r="X642" s="18">
        <v>0</v>
      </c>
      <c r="Y642" s="7"/>
      <c r="Z642" s="206" t="s">
        <v>1198</v>
      </c>
      <c r="AA642" s="206"/>
      <c r="AB642" s="7"/>
      <c r="AC642" s="7"/>
      <c r="AD642" s="7"/>
      <c r="AE642" s="7"/>
      <c r="AG642" s="3" t="s">
        <v>768</v>
      </c>
      <c r="AH642" s="3"/>
      <c r="AI642" s="3">
        <v>6</v>
      </c>
      <c r="AJ642" s="200"/>
      <c r="AM642" s="3"/>
    </row>
    <row r="643" spans="1:39" x14ac:dyDescent="0.3">
      <c r="A643" s="5" t="str">
        <f t="shared" si="154"/>
        <v>BCV130</v>
      </c>
      <c r="B643" s="1" t="s">
        <v>1377</v>
      </c>
      <c r="C643" s="2" t="str">
        <f t="shared" si="149"/>
        <v>DIO1</v>
      </c>
      <c r="D643" s="2">
        <v>130</v>
      </c>
      <c r="E643" s="3">
        <f t="shared" si="150"/>
        <v>2</v>
      </c>
      <c r="F643" s="3">
        <f t="shared" si="151"/>
        <v>7</v>
      </c>
      <c r="G643" s="3">
        <v>0</v>
      </c>
      <c r="H643" s="60">
        <f t="shared" si="155"/>
        <v>1</v>
      </c>
      <c r="I643" s="54">
        <f t="shared" si="153"/>
        <v>6</v>
      </c>
      <c r="J643" s="61"/>
      <c r="K643" s="30"/>
      <c r="L643" s="1" t="s">
        <v>21</v>
      </c>
      <c r="M643" s="2">
        <v>4</v>
      </c>
      <c r="N643" s="1" t="s">
        <v>308</v>
      </c>
      <c r="O643" s="12" t="s">
        <v>339</v>
      </c>
      <c r="P643" s="12"/>
      <c r="Q643" s="1" t="s">
        <v>1436</v>
      </c>
      <c r="R643" s="12" t="s">
        <v>18</v>
      </c>
      <c r="S643" s="13" t="s">
        <v>1207</v>
      </c>
      <c r="T643" s="12" t="s">
        <v>308</v>
      </c>
      <c r="U643" s="12"/>
      <c r="V643" s="1" t="str">
        <f t="shared" si="152"/>
        <v>2.7\0.1:6</v>
      </c>
      <c r="W643" s="1" t="s">
        <v>1430</v>
      </c>
      <c r="X643" s="18">
        <v>0</v>
      </c>
      <c r="Y643" s="7"/>
      <c r="Z643" s="206" t="s">
        <v>1198</v>
      </c>
      <c r="AA643" s="206"/>
      <c r="AB643" s="7"/>
      <c r="AC643" s="7"/>
      <c r="AD643" s="7"/>
      <c r="AE643" s="7"/>
      <c r="AG643" s="3" t="s">
        <v>768</v>
      </c>
      <c r="AH643" s="3"/>
      <c r="AI643" s="3">
        <v>7</v>
      </c>
      <c r="AJ643" s="200"/>
      <c r="AM643" s="3"/>
    </row>
    <row r="644" spans="1:39" x14ac:dyDescent="0.3">
      <c r="A644" s="5" t="str">
        <f t="shared" si="154"/>
        <v>BCV130</v>
      </c>
      <c r="B644" s="1" t="s">
        <v>1377</v>
      </c>
      <c r="C644" s="2" t="str">
        <f t="shared" si="149"/>
        <v>DIO1</v>
      </c>
      <c r="D644" s="2">
        <v>130</v>
      </c>
      <c r="E644" s="3">
        <f t="shared" si="150"/>
        <v>2</v>
      </c>
      <c r="F644" s="3">
        <f t="shared" si="151"/>
        <v>7</v>
      </c>
      <c r="G644" s="3">
        <v>0</v>
      </c>
      <c r="H644" s="60">
        <f t="shared" si="155"/>
        <v>1</v>
      </c>
      <c r="I644" s="54">
        <f t="shared" si="153"/>
        <v>7</v>
      </c>
      <c r="J644" s="61"/>
      <c r="K644" s="30"/>
      <c r="L644" s="1" t="s">
        <v>21</v>
      </c>
      <c r="M644" s="2">
        <v>4</v>
      </c>
      <c r="N644" s="1" t="s">
        <v>308</v>
      </c>
      <c r="O644" s="12" t="s">
        <v>336</v>
      </c>
      <c r="P644" s="12"/>
      <c r="Q644" s="1" t="s">
        <v>1435</v>
      </c>
      <c r="R644" s="12" t="s">
        <v>18</v>
      </c>
      <c r="S644" s="13" t="s">
        <v>661</v>
      </c>
      <c r="T644" s="12" t="s">
        <v>308</v>
      </c>
      <c r="U644" s="12"/>
      <c r="V644" s="1" t="str">
        <f t="shared" si="152"/>
        <v>2.7\0.1:7</v>
      </c>
      <c r="W644" s="1" t="s">
        <v>1430</v>
      </c>
      <c r="X644" s="18">
        <v>0</v>
      </c>
      <c r="Y644" s="7"/>
      <c r="Z644" s="206" t="s">
        <v>1198</v>
      </c>
      <c r="AA644" s="206"/>
      <c r="AB644" s="7"/>
      <c r="AC644" s="7"/>
      <c r="AD644" s="7"/>
      <c r="AE644" s="7"/>
      <c r="AG644" s="3" t="s">
        <v>768</v>
      </c>
      <c r="AH644" s="3"/>
      <c r="AI644" s="3">
        <v>8</v>
      </c>
      <c r="AJ644" s="200"/>
      <c r="AM644" s="3"/>
    </row>
    <row r="645" spans="1:39" x14ac:dyDescent="0.3">
      <c r="A645" s="5" t="str">
        <f t="shared" si="154"/>
        <v>BCV130</v>
      </c>
      <c r="B645" s="1" t="s">
        <v>1377</v>
      </c>
      <c r="C645" s="2" t="str">
        <f t="shared" si="149"/>
        <v>DIO1</v>
      </c>
      <c r="D645" s="2">
        <v>130</v>
      </c>
      <c r="E645" s="3">
        <f t="shared" si="150"/>
        <v>2</v>
      </c>
      <c r="F645" s="3">
        <f t="shared" si="151"/>
        <v>7</v>
      </c>
      <c r="G645" s="3">
        <v>0</v>
      </c>
      <c r="H645" s="60">
        <f t="shared" si="155"/>
        <v>1</v>
      </c>
      <c r="I645" s="54">
        <f t="shared" si="153"/>
        <v>8</v>
      </c>
      <c r="J645" s="61"/>
      <c r="K645" s="30"/>
      <c r="L645" s="1" t="s">
        <v>21</v>
      </c>
      <c r="M645" s="2">
        <v>4</v>
      </c>
      <c r="N645" s="1" t="s">
        <v>308</v>
      </c>
      <c r="O645" s="12" t="s">
        <v>334</v>
      </c>
      <c r="P645" s="12"/>
      <c r="Q645" s="1" t="s">
        <v>1434</v>
      </c>
      <c r="R645" s="12" t="s">
        <v>18</v>
      </c>
      <c r="S645" s="13" t="s">
        <v>1003</v>
      </c>
      <c r="T645" s="12" t="s">
        <v>308</v>
      </c>
      <c r="U645" s="12"/>
      <c r="V645" s="1" t="str">
        <f t="shared" si="152"/>
        <v>2.7\0.1:8</v>
      </c>
      <c r="W645" s="1" t="s">
        <v>1430</v>
      </c>
      <c r="X645" s="18">
        <v>0</v>
      </c>
      <c r="Y645" s="7"/>
      <c r="Z645" s="206" t="s">
        <v>1198</v>
      </c>
      <c r="AA645" s="206"/>
      <c r="AB645" s="7"/>
      <c r="AC645" s="7"/>
      <c r="AD645" s="7"/>
      <c r="AE645" s="7"/>
      <c r="AG645" s="3" t="s">
        <v>768</v>
      </c>
      <c r="AH645" s="3"/>
      <c r="AI645" s="3">
        <v>9</v>
      </c>
      <c r="AJ645" s="200"/>
      <c r="AM645" s="3"/>
    </row>
    <row r="646" spans="1:39" x14ac:dyDescent="0.3">
      <c r="A646" s="5" t="str">
        <f t="shared" si="154"/>
        <v>BCV130</v>
      </c>
      <c r="B646" s="1" t="s">
        <v>1377</v>
      </c>
      <c r="C646" s="2" t="str">
        <f t="shared" si="149"/>
        <v>DIO1</v>
      </c>
      <c r="D646" s="2">
        <v>130</v>
      </c>
      <c r="E646" s="3">
        <f t="shared" si="150"/>
        <v>2</v>
      </c>
      <c r="F646" s="3">
        <f t="shared" si="151"/>
        <v>7</v>
      </c>
      <c r="G646" s="3">
        <v>0</v>
      </c>
      <c r="H646" s="60">
        <f t="shared" si="155"/>
        <v>1</v>
      </c>
      <c r="I646" s="54">
        <f t="shared" si="153"/>
        <v>9</v>
      </c>
      <c r="J646" s="61"/>
      <c r="K646" s="30"/>
      <c r="L646" s="1" t="s">
        <v>21</v>
      </c>
      <c r="M646" s="2">
        <v>4</v>
      </c>
      <c r="N646" s="1" t="s">
        <v>308</v>
      </c>
      <c r="O646" s="12" t="s">
        <v>332</v>
      </c>
      <c r="P646" s="12"/>
      <c r="Q646" s="1" t="s">
        <v>1433</v>
      </c>
      <c r="R646" s="12" t="s">
        <v>18</v>
      </c>
      <c r="S646" s="13" t="s">
        <v>1202</v>
      </c>
      <c r="T646" s="12" t="s">
        <v>308</v>
      </c>
      <c r="U646" s="12"/>
      <c r="V646" s="1" t="str">
        <f t="shared" si="152"/>
        <v>2.7\0.1:9</v>
      </c>
      <c r="W646" s="1" t="s">
        <v>1430</v>
      </c>
      <c r="X646" s="18">
        <v>0</v>
      </c>
      <c r="Y646" s="7"/>
      <c r="Z646" s="206" t="s">
        <v>1198</v>
      </c>
      <c r="AA646" s="206"/>
      <c r="AB646" s="7"/>
      <c r="AC646" s="7"/>
      <c r="AD646" s="7"/>
      <c r="AE646" s="7"/>
      <c r="AG646" s="3" t="s">
        <v>768</v>
      </c>
      <c r="AH646" s="3"/>
      <c r="AI646" s="3">
        <v>10</v>
      </c>
      <c r="AJ646" s="200"/>
      <c r="AM646" s="3"/>
    </row>
    <row r="647" spans="1:39" x14ac:dyDescent="0.3">
      <c r="A647" s="5" t="str">
        <f t="shared" si="154"/>
        <v>BCV130</v>
      </c>
      <c r="B647" s="1" t="s">
        <v>1377</v>
      </c>
      <c r="C647" s="2" t="str">
        <f t="shared" si="149"/>
        <v>DIO1</v>
      </c>
      <c r="D647" s="2">
        <v>130</v>
      </c>
      <c r="E647" s="3">
        <f t="shared" si="150"/>
        <v>2</v>
      </c>
      <c r="F647" s="3">
        <f t="shared" si="151"/>
        <v>7</v>
      </c>
      <c r="G647" s="3">
        <v>0</v>
      </c>
      <c r="H647" s="60">
        <f t="shared" si="155"/>
        <v>1</v>
      </c>
      <c r="I647" s="54">
        <f t="shared" si="153"/>
        <v>10</v>
      </c>
      <c r="J647" s="61"/>
      <c r="K647" s="30"/>
      <c r="L647" s="1" t="s">
        <v>21</v>
      </c>
      <c r="M647" s="2">
        <v>4</v>
      </c>
      <c r="N647" s="1" t="s">
        <v>308</v>
      </c>
      <c r="O647" s="12" t="s">
        <v>330</v>
      </c>
      <c r="P647" s="12"/>
      <c r="Q647" s="1" t="s">
        <v>1432</v>
      </c>
      <c r="R647" s="12" t="s">
        <v>18</v>
      </c>
      <c r="S647" s="13" t="s">
        <v>1201</v>
      </c>
      <c r="T647" s="1" t="s">
        <v>308</v>
      </c>
      <c r="V647" s="1" t="str">
        <f t="shared" si="152"/>
        <v>2.7\0.1:10</v>
      </c>
      <c r="W647" s="1" t="s">
        <v>1430</v>
      </c>
      <c r="X647" s="18">
        <v>0</v>
      </c>
      <c r="Y647" s="7"/>
      <c r="Z647" s="206" t="s">
        <v>1198</v>
      </c>
      <c r="AA647" s="206"/>
      <c r="AB647" s="7"/>
      <c r="AC647" s="7"/>
      <c r="AD647" s="7"/>
      <c r="AE647" s="7"/>
      <c r="AG647" s="3" t="s">
        <v>768</v>
      </c>
      <c r="AH647" s="3"/>
      <c r="AI647" s="3">
        <v>11</v>
      </c>
      <c r="AJ647" s="200"/>
      <c r="AM647" s="3"/>
    </row>
    <row r="648" spans="1:39" x14ac:dyDescent="0.3">
      <c r="A648" s="5" t="str">
        <f t="shared" si="154"/>
        <v>BCV130</v>
      </c>
      <c r="B648" s="1" t="s">
        <v>1377</v>
      </c>
      <c r="C648" s="2" t="str">
        <f t="shared" si="149"/>
        <v>DIO1</v>
      </c>
      <c r="D648" s="2">
        <v>130</v>
      </c>
      <c r="E648" s="3">
        <f t="shared" si="150"/>
        <v>2</v>
      </c>
      <c r="F648" s="3">
        <f t="shared" si="151"/>
        <v>7</v>
      </c>
      <c r="G648" s="3">
        <v>0</v>
      </c>
      <c r="H648" s="60">
        <f t="shared" si="155"/>
        <v>1</v>
      </c>
      <c r="I648" s="54">
        <f t="shared" si="153"/>
        <v>11</v>
      </c>
      <c r="J648" s="61"/>
      <c r="K648" s="30"/>
      <c r="L648" s="1" t="s">
        <v>21</v>
      </c>
      <c r="M648" s="2">
        <v>4</v>
      </c>
      <c r="N648" s="1" t="s">
        <v>308</v>
      </c>
      <c r="O648" s="12" t="s">
        <v>328</v>
      </c>
      <c r="P648" s="12"/>
      <c r="Q648" s="241" t="s">
        <v>1002</v>
      </c>
      <c r="R648" s="12" t="s">
        <v>18</v>
      </c>
      <c r="S648" s="13" t="s">
        <v>1200</v>
      </c>
      <c r="T648" s="1" t="s">
        <v>308</v>
      </c>
      <c r="V648" s="1" t="str">
        <f t="shared" si="152"/>
        <v>2.7\0.1:11</v>
      </c>
      <c r="W648" s="1" t="s">
        <v>1430</v>
      </c>
      <c r="X648" s="18">
        <v>0</v>
      </c>
      <c r="Y648" s="7"/>
      <c r="Z648" s="206" t="s">
        <v>1198</v>
      </c>
      <c r="AA648" s="206"/>
      <c r="AB648" s="7"/>
      <c r="AC648" s="7"/>
      <c r="AD648" s="7"/>
      <c r="AE648" s="7"/>
      <c r="AG648" s="3" t="s">
        <v>768</v>
      </c>
      <c r="AH648" s="3"/>
      <c r="AI648" s="3">
        <v>12</v>
      </c>
      <c r="AJ648" s="200"/>
      <c r="AM648" s="3"/>
    </row>
    <row r="649" spans="1:39" x14ac:dyDescent="0.3">
      <c r="A649" s="5" t="str">
        <f t="shared" si="154"/>
        <v>BCV130</v>
      </c>
      <c r="B649" s="1" t="s">
        <v>1377</v>
      </c>
      <c r="C649" s="2" t="str">
        <f t="shared" si="149"/>
        <v>DIO1</v>
      </c>
      <c r="D649" s="2">
        <v>130</v>
      </c>
      <c r="E649" s="3">
        <f t="shared" si="150"/>
        <v>2</v>
      </c>
      <c r="F649" s="3">
        <f t="shared" si="151"/>
        <v>7</v>
      </c>
      <c r="G649" s="3">
        <v>0</v>
      </c>
      <c r="H649" s="60">
        <f t="shared" si="155"/>
        <v>1</v>
      </c>
      <c r="I649" s="54">
        <f t="shared" si="153"/>
        <v>12</v>
      </c>
      <c r="J649" s="61"/>
      <c r="K649" s="30"/>
      <c r="L649" s="1" t="s">
        <v>21</v>
      </c>
      <c r="M649" s="2">
        <v>7</v>
      </c>
      <c r="N649" s="1" t="s">
        <v>308</v>
      </c>
      <c r="O649" s="1" t="s">
        <v>439</v>
      </c>
      <c r="Q649" s="1" t="s">
        <v>1431</v>
      </c>
      <c r="R649" s="12" t="s">
        <v>24</v>
      </c>
      <c r="S649" s="13" t="s">
        <v>974</v>
      </c>
      <c r="T649" s="1" t="s">
        <v>308</v>
      </c>
      <c r="V649" s="1" t="str">
        <f t="shared" si="152"/>
        <v>2.7\0.1:12</v>
      </c>
      <c r="W649" s="1" t="s">
        <v>1430</v>
      </c>
      <c r="X649" s="18">
        <v>0</v>
      </c>
      <c r="Y649" s="7"/>
      <c r="Z649" s="206" t="s">
        <v>1062</v>
      </c>
      <c r="AA649" s="206"/>
      <c r="AB649" s="7"/>
      <c r="AC649" s="7"/>
      <c r="AD649" s="7"/>
      <c r="AE649" s="7"/>
      <c r="AG649" s="3" t="s">
        <v>768</v>
      </c>
      <c r="AH649" s="3"/>
      <c r="AI649" s="3">
        <v>13</v>
      </c>
      <c r="AJ649" s="200"/>
      <c r="AM649" s="3"/>
    </row>
    <row r="650" spans="1:39" x14ac:dyDescent="0.3">
      <c r="A650" s="5" t="str">
        <f t="shared" si="154"/>
        <v>BCV130</v>
      </c>
      <c r="B650" s="1" t="s">
        <v>1377</v>
      </c>
      <c r="C650" s="2" t="str">
        <f t="shared" si="149"/>
        <v>DIO1</v>
      </c>
      <c r="D650" s="2">
        <v>130</v>
      </c>
      <c r="E650" s="3">
        <f t="shared" si="150"/>
        <v>2</v>
      </c>
      <c r="F650" s="3">
        <f t="shared" si="151"/>
        <v>7</v>
      </c>
      <c r="G650" s="3">
        <v>0</v>
      </c>
      <c r="H650" s="60">
        <f t="shared" si="155"/>
        <v>1</v>
      </c>
      <c r="I650" s="54">
        <f t="shared" si="153"/>
        <v>13</v>
      </c>
      <c r="J650" s="61"/>
      <c r="K650" s="30"/>
      <c r="L650" s="1" t="s">
        <v>21</v>
      </c>
      <c r="M650" s="2"/>
      <c r="N650" s="40"/>
      <c r="O650" s="12"/>
      <c r="P650" s="239"/>
      <c r="Q650" s="1" t="s">
        <v>302</v>
      </c>
      <c r="R650" s="12" t="s">
        <v>302</v>
      </c>
      <c r="S650" s="13"/>
      <c r="V650" s="1" t="str">
        <f t="shared" si="152"/>
        <v>2.7\0.1:13</v>
      </c>
      <c r="Y650" s="7"/>
      <c r="Z650" s="206" t="s">
        <v>1062</v>
      </c>
      <c r="AA650" s="206"/>
      <c r="AB650" s="7"/>
      <c r="AC650" s="7"/>
      <c r="AD650" s="7"/>
      <c r="AE650" s="7"/>
      <c r="AG650" s="3" t="s">
        <v>768</v>
      </c>
      <c r="AH650" s="3"/>
      <c r="AI650" s="3">
        <v>14</v>
      </c>
      <c r="AJ650" s="200"/>
      <c r="AM650" s="3"/>
    </row>
    <row r="651" spans="1:39" x14ac:dyDescent="0.3">
      <c r="A651" s="5" t="str">
        <f t="shared" si="154"/>
        <v>BCV130</v>
      </c>
      <c r="B651" s="1" t="s">
        <v>1377</v>
      </c>
      <c r="C651" s="2" t="str">
        <f t="shared" si="149"/>
        <v>DIO1</v>
      </c>
      <c r="D651" s="2">
        <v>130</v>
      </c>
      <c r="E651" s="3">
        <f t="shared" si="150"/>
        <v>2</v>
      </c>
      <c r="F651" s="3">
        <f t="shared" si="151"/>
        <v>7</v>
      </c>
      <c r="G651" s="3">
        <v>0</v>
      </c>
      <c r="H651" s="60">
        <f t="shared" si="155"/>
        <v>1</v>
      </c>
      <c r="I651" s="54">
        <f t="shared" si="153"/>
        <v>14</v>
      </c>
      <c r="J651" s="61"/>
      <c r="K651" s="30"/>
      <c r="L651" s="1" t="s">
        <v>21</v>
      </c>
      <c r="M651" s="2"/>
      <c r="N651" s="40"/>
      <c r="O651" s="12"/>
      <c r="P651" s="239"/>
      <c r="Q651" s="1" t="s">
        <v>302</v>
      </c>
      <c r="R651" s="12" t="s">
        <v>302</v>
      </c>
      <c r="S651" s="13"/>
      <c r="V651" s="1" t="str">
        <f t="shared" si="152"/>
        <v>2.7\0.1:14</v>
      </c>
      <c r="Y651" s="7"/>
      <c r="Z651" s="206" t="s">
        <v>1062</v>
      </c>
      <c r="AA651" s="206"/>
      <c r="AB651" s="7"/>
      <c r="AC651" s="7"/>
      <c r="AD651" s="7"/>
      <c r="AE651" s="7"/>
      <c r="AG651" s="3" t="s">
        <v>768</v>
      </c>
      <c r="AH651" s="3"/>
      <c r="AI651" s="3">
        <v>15</v>
      </c>
      <c r="AJ651" s="200"/>
      <c r="AM651" s="3"/>
    </row>
    <row r="652" spans="1:39" x14ac:dyDescent="0.3">
      <c r="A652" s="5" t="str">
        <f t="shared" si="154"/>
        <v>BCV130</v>
      </c>
      <c r="B652" s="1" t="s">
        <v>1377</v>
      </c>
      <c r="C652" s="2" t="str">
        <f t="shared" si="149"/>
        <v>DIO1</v>
      </c>
      <c r="D652" s="2">
        <v>130</v>
      </c>
      <c r="E652" s="3">
        <f t="shared" si="150"/>
        <v>2</v>
      </c>
      <c r="F652" s="3">
        <f t="shared" si="151"/>
        <v>7</v>
      </c>
      <c r="G652" s="3">
        <v>0</v>
      </c>
      <c r="H652" s="60">
        <f t="shared" ref="H652:H668" si="156">H648</f>
        <v>1</v>
      </c>
      <c r="I652" s="54">
        <f t="shared" si="153"/>
        <v>15</v>
      </c>
      <c r="J652" s="61"/>
      <c r="K652" s="30"/>
      <c r="L652" s="1" t="s">
        <v>21</v>
      </c>
      <c r="M652" s="2"/>
      <c r="N652" s="40"/>
      <c r="O652" s="12"/>
      <c r="P652" s="239"/>
      <c r="Q652" s="2" t="s">
        <v>302</v>
      </c>
      <c r="R652" s="12" t="s">
        <v>302</v>
      </c>
      <c r="S652" s="13"/>
      <c r="V652" s="1" t="str">
        <f t="shared" si="152"/>
        <v>2.7\0.1:15</v>
      </c>
      <c r="Y652" s="7"/>
      <c r="Z652" s="206" t="s">
        <v>1062</v>
      </c>
      <c r="AA652" s="206"/>
      <c r="AB652" s="7"/>
      <c r="AC652" s="7"/>
      <c r="AD652" s="7"/>
      <c r="AE652" s="7"/>
      <c r="AG652" s="3" t="s">
        <v>768</v>
      </c>
      <c r="AH652" s="3"/>
      <c r="AI652" s="3">
        <v>16</v>
      </c>
      <c r="AJ652" s="200"/>
      <c r="AM652" s="3"/>
    </row>
    <row r="653" spans="1:39" x14ac:dyDescent="0.3">
      <c r="A653" s="5" t="str">
        <f t="shared" si="154"/>
        <v>BCV130</v>
      </c>
      <c r="B653" s="1" t="s">
        <v>1377</v>
      </c>
      <c r="C653" s="2" t="str">
        <f t="shared" si="149"/>
        <v>DIO1</v>
      </c>
      <c r="D653" s="2">
        <v>130</v>
      </c>
      <c r="E653" s="3">
        <f t="shared" si="150"/>
        <v>2</v>
      </c>
      <c r="F653" s="3">
        <f t="shared" si="151"/>
        <v>7</v>
      </c>
      <c r="G653" s="3">
        <v>0</v>
      </c>
      <c r="H653" s="60">
        <f t="shared" si="156"/>
        <v>1</v>
      </c>
      <c r="I653" s="54">
        <f t="shared" si="153"/>
        <v>16</v>
      </c>
      <c r="J653" s="61"/>
      <c r="K653" s="2"/>
      <c r="L653" s="1" t="s">
        <v>21</v>
      </c>
      <c r="M653" s="2">
        <v>4</v>
      </c>
      <c r="N653" s="1" t="s">
        <v>1375</v>
      </c>
      <c r="O653" s="41" t="s">
        <v>1374</v>
      </c>
      <c r="P653" s="41" t="s">
        <v>1224</v>
      </c>
      <c r="Q653" s="41" t="s">
        <v>1373</v>
      </c>
      <c r="R653" s="41" t="s">
        <v>18</v>
      </c>
      <c r="S653" s="13" t="s">
        <v>1429</v>
      </c>
      <c r="T653" s="1" t="s">
        <v>17</v>
      </c>
      <c r="V653" s="1" t="str">
        <f t="shared" si="152"/>
        <v>2.7\0.1:16</v>
      </c>
      <c r="W653" s="1" t="s">
        <v>1353</v>
      </c>
      <c r="X653" s="18">
        <v>0</v>
      </c>
      <c r="Y653" s="7"/>
      <c r="Z653" s="206" t="s">
        <v>1198</v>
      </c>
      <c r="AA653" s="206"/>
      <c r="AB653" s="7"/>
      <c r="AC653" s="7"/>
      <c r="AD653" s="7"/>
      <c r="AE653" s="7"/>
      <c r="AG653" s="3" t="s">
        <v>768</v>
      </c>
      <c r="AH653" s="3">
        <v>17</v>
      </c>
      <c r="AI653" s="3">
        <v>18</v>
      </c>
      <c r="AJ653" s="200"/>
      <c r="AM653" s="3"/>
    </row>
    <row r="654" spans="1:39" x14ac:dyDescent="0.3">
      <c r="A654" s="5" t="str">
        <f t="shared" si="154"/>
        <v>BCV130</v>
      </c>
      <c r="B654" s="1" t="s">
        <v>1377</v>
      </c>
      <c r="C654" s="2" t="str">
        <f t="shared" si="149"/>
        <v>DIO1</v>
      </c>
      <c r="D654" s="2">
        <v>130</v>
      </c>
      <c r="E654" s="3">
        <f t="shared" si="150"/>
        <v>2</v>
      </c>
      <c r="F654" s="3">
        <f t="shared" si="151"/>
        <v>7</v>
      </c>
      <c r="G654" s="3">
        <v>0</v>
      </c>
      <c r="H654" s="60">
        <f t="shared" si="156"/>
        <v>1</v>
      </c>
      <c r="I654" s="54">
        <f t="shared" si="153"/>
        <v>17</v>
      </c>
      <c r="J654" s="61"/>
      <c r="K654" s="30"/>
      <c r="L654" s="1" t="s">
        <v>21</v>
      </c>
      <c r="M654" s="2">
        <v>4</v>
      </c>
      <c r="N654" s="1" t="s">
        <v>1372</v>
      </c>
      <c r="O654" s="41" t="s">
        <v>1371</v>
      </c>
      <c r="P654" s="41" t="s">
        <v>1224</v>
      </c>
      <c r="Q654" s="41" t="s">
        <v>1370</v>
      </c>
      <c r="R654" s="41" t="s">
        <v>18</v>
      </c>
      <c r="S654" s="13" t="s">
        <v>1045</v>
      </c>
      <c r="T654" s="1" t="s">
        <v>17</v>
      </c>
      <c r="V654" s="1" t="str">
        <f t="shared" si="152"/>
        <v>2.7\0.1:17</v>
      </c>
      <c r="W654" s="1" t="s">
        <v>1353</v>
      </c>
      <c r="X654" s="18">
        <v>0</v>
      </c>
      <c r="Y654" s="7"/>
      <c r="Z654" s="206" t="s">
        <v>1198</v>
      </c>
      <c r="AA654" s="206"/>
      <c r="AB654" s="7"/>
      <c r="AC654" s="7"/>
      <c r="AD654" s="7"/>
      <c r="AE654" s="7"/>
      <c r="AG654" s="3" t="s">
        <v>768</v>
      </c>
      <c r="AH654" s="3">
        <v>19</v>
      </c>
      <c r="AI654" s="3">
        <v>20</v>
      </c>
      <c r="AJ654" s="200"/>
      <c r="AM654" s="3"/>
    </row>
    <row r="655" spans="1:39" x14ac:dyDescent="0.3">
      <c r="A655" s="5" t="str">
        <f t="shared" si="154"/>
        <v>BCV130</v>
      </c>
      <c r="B655" s="1" t="s">
        <v>1377</v>
      </c>
      <c r="C655" s="2" t="str">
        <f t="shared" si="149"/>
        <v>DIO1</v>
      </c>
      <c r="D655" s="2">
        <v>130</v>
      </c>
      <c r="E655" s="3">
        <f t="shared" si="150"/>
        <v>2</v>
      </c>
      <c r="F655" s="3">
        <f t="shared" si="151"/>
        <v>7</v>
      </c>
      <c r="G655" s="3">
        <v>0</v>
      </c>
      <c r="H655" s="60">
        <f t="shared" si="156"/>
        <v>1</v>
      </c>
      <c r="I655" s="54">
        <f t="shared" si="153"/>
        <v>18</v>
      </c>
      <c r="J655" s="61"/>
      <c r="K655" s="30"/>
      <c r="L655" s="1" t="s">
        <v>21</v>
      </c>
      <c r="M655" s="2">
        <v>4</v>
      </c>
      <c r="N655" s="1" t="s">
        <v>1369</v>
      </c>
      <c r="O655" s="1" t="s">
        <v>1368</v>
      </c>
      <c r="P655" s="1" t="s">
        <v>1224</v>
      </c>
      <c r="Q655" s="1" t="s">
        <v>1367</v>
      </c>
      <c r="R655" s="1" t="s">
        <v>18</v>
      </c>
      <c r="S655" s="13" t="s">
        <v>1041</v>
      </c>
      <c r="T655" s="1" t="s">
        <v>17</v>
      </c>
      <c r="V655" s="1" t="str">
        <f t="shared" si="152"/>
        <v>2.7\0.1:18</v>
      </c>
      <c r="W655" s="1" t="s">
        <v>1353</v>
      </c>
      <c r="X655" s="18">
        <v>0</v>
      </c>
      <c r="Y655" s="7"/>
      <c r="Z655" s="206" t="s">
        <v>1198</v>
      </c>
      <c r="AA655" s="206"/>
      <c r="AB655" s="7"/>
      <c r="AC655" s="7"/>
      <c r="AD655" s="7"/>
      <c r="AE655" s="7"/>
      <c r="AG655" s="3" t="s">
        <v>768</v>
      </c>
      <c r="AH655" s="3">
        <v>21</v>
      </c>
      <c r="AI655" s="3">
        <v>22</v>
      </c>
      <c r="AJ655" s="200"/>
      <c r="AM655" s="3"/>
    </row>
    <row r="656" spans="1:39" x14ac:dyDescent="0.3">
      <c r="A656" s="5" t="str">
        <f t="shared" si="154"/>
        <v>BCV130</v>
      </c>
      <c r="B656" s="1" t="s">
        <v>1377</v>
      </c>
      <c r="C656" s="2" t="str">
        <f t="shared" si="149"/>
        <v>DIO1</v>
      </c>
      <c r="D656" s="2">
        <v>130</v>
      </c>
      <c r="E656" s="3">
        <f t="shared" si="150"/>
        <v>2</v>
      </c>
      <c r="F656" s="3">
        <f t="shared" si="151"/>
        <v>7</v>
      </c>
      <c r="G656" s="3">
        <v>0</v>
      </c>
      <c r="H656" s="60">
        <f t="shared" si="156"/>
        <v>1</v>
      </c>
      <c r="I656" s="54">
        <f t="shared" si="153"/>
        <v>19</v>
      </c>
      <c r="J656" s="61"/>
      <c r="K656" s="30"/>
      <c r="L656" s="1" t="s">
        <v>21</v>
      </c>
      <c r="M656" s="2">
        <v>4</v>
      </c>
      <c r="N656" s="1" t="s">
        <v>1366</v>
      </c>
      <c r="O656" s="1" t="s">
        <v>1365</v>
      </c>
      <c r="P656" s="1" t="s">
        <v>1224</v>
      </c>
      <c r="Q656" s="41" t="s">
        <v>1364</v>
      </c>
      <c r="R656" s="1" t="s">
        <v>18</v>
      </c>
      <c r="S656" s="13" t="s">
        <v>1037</v>
      </c>
      <c r="T656" s="1" t="s">
        <v>17</v>
      </c>
      <c r="V656" s="1" t="str">
        <f t="shared" si="152"/>
        <v>2.7\0.1:19</v>
      </c>
      <c r="W656" s="1" t="s">
        <v>1353</v>
      </c>
      <c r="X656" s="18">
        <v>0</v>
      </c>
      <c r="Y656" s="7"/>
      <c r="Z656" s="206" t="s">
        <v>1198</v>
      </c>
      <c r="AA656" s="206"/>
      <c r="AB656" s="7"/>
      <c r="AC656" s="7"/>
      <c r="AD656" s="7"/>
      <c r="AE656" s="7"/>
      <c r="AG656" s="3" t="s">
        <v>768</v>
      </c>
      <c r="AH656" s="3">
        <v>23</v>
      </c>
      <c r="AI656" s="3">
        <v>24</v>
      </c>
      <c r="AJ656" s="200"/>
      <c r="AM656" s="3"/>
    </row>
    <row r="657" spans="1:39" x14ac:dyDescent="0.3">
      <c r="A657" s="5" t="str">
        <f t="shared" si="154"/>
        <v>BCV130</v>
      </c>
      <c r="B657" s="1" t="s">
        <v>1377</v>
      </c>
      <c r="C657" s="2" t="str">
        <f t="shared" si="149"/>
        <v>DIO1</v>
      </c>
      <c r="D657" s="2">
        <v>130</v>
      </c>
      <c r="E657" s="3">
        <f t="shared" si="150"/>
        <v>2</v>
      </c>
      <c r="F657" s="3">
        <f t="shared" si="151"/>
        <v>7</v>
      </c>
      <c r="G657" s="3">
        <v>0</v>
      </c>
      <c r="H657" s="60">
        <f t="shared" si="156"/>
        <v>1</v>
      </c>
      <c r="I657" s="54">
        <f t="shared" si="153"/>
        <v>20</v>
      </c>
      <c r="J657" s="61"/>
      <c r="K657" s="30"/>
      <c r="L657" s="1" t="s">
        <v>21</v>
      </c>
      <c r="M657" s="2">
        <v>4</v>
      </c>
      <c r="N657" s="1" t="s">
        <v>1363</v>
      </c>
      <c r="O657" s="1" t="s">
        <v>1362</v>
      </c>
      <c r="P657" s="1" t="s">
        <v>1224</v>
      </c>
      <c r="Q657" s="41" t="s">
        <v>1361</v>
      </c>
      <c r="R657" s="1" t="s">
        <v>18</v>
      </c>
      <c r="S657" s="13" t="s">
        <v>1033</v>
      </c>
      <c r="T657" s="1" t="s">
        <v>17</v>
      </c>
      <c r="V657" s="1" t="str">
        <f t="shared" si="152"/>
        <v>2.7\0.1:20</v>
      </c>
      <c r="W657" s="1" t="s">
        <v>1353</v>
      </c>
      <c r="X657" s="18">
        <v>0</v>
      </c>
      <c r="Y657" s="7"/>
      <c r="Z657" s="206" t="s">
        <v>1198</v>
      </c>
      <c r="AA657" s="206"/>
      <c r="AB657" s="7"/>
      <c r="AC657" s="7"/>
      <c r="AD657" s="7"/>
      <c r="AE657" s="7"/>
      <c r="AG657" s="3" t="s">
        <v>768</v>
      </c>
      <c r="AH657" s="3">
        <v>25</v>
      </c>
      <c r="AI657" s="3">
        <v>26</v>
      </c>
      <c r="AJ657" s="200"/>
      <c r="AM657" s="3"/>
    </row>
    <row r="658" spans="1:39" x14ac:dyDescent="0.3">
      <c r="A658" s="5" t="str">
        <f t="shared" si="154"/>
        <v>BCV130</v>
      </c>
      <c r="B658" s="1" t="s">
        <v>1377</v>
      </c>
      <c r="C658" s="2" t="str">
        <f t="shared" si="149"/>
        <v>DIO1</v>
      </c>
      <c r="D658" s="2">
        <v>130</v>
      </c>
      <c r="E658" s="3">
        <f t="shared" si="150"/>
        <v>2</v>
      </c>
      <c r="F658" s="3">
        <f t="shared" si="151"/>
        <v>7</v>
      </c>
      <c r="G658" s="3">
        <v>0</v>
      </c>
      <c r="H658" s="60">
        <f t="shared" si="156"/>
        <v>1</v>
      </c>
      <c r="I658" s="54">
        <f t="shared" si="153"/>
        <v>21</v>
      </c>
      <c r="J658" s="61"/>
      <c r="K658" s="30"/>
      <c r="L658" s="1" t="s">
        <v>21</v>
      </c>
      <c r="M658" s="2">
        <v>4</v>
      </c>
      <c r="N658" s="1" t="s">
        <v>1360</v>
      </c>
      <c r="O658" s="1" t="s">
        <v>1359</v>
      </c>
      <c r="P658" s="1" t="s">
        <v>1224</v>
      </c>
      <c r="Q658" s="1" t="s">
        <v>1358</v>
      </c>
      <c r="R658" s="1" t="s">
        <v>18</v>
      </c>
      <c r="S658" s="13" t="s">
        <v>1357</v>
      </c>
      <c r="T658" s="1" t="s">
        <v>17</v>
      </c>
      <c r="V658" s="1" t="str">
        <f t="shared" si="152"/>
        <v>2.7\0.1:21</v>
      </c>
      <c r="W658" s="1" t="s">
        <v>1353</v>
      </c>
      <c r="X658" s="18">
        <v>0</v>
      </c>
      <c r="Y658" s="7"/>
      <c r="Z658" s="206" t="s">
        <v>1198</v>
      </c>
      <c r="AA658" s="206"/>
      <c r="AB658" s="7"/>
      <c r="AC658" s="7"/>
      <c r="AD658" s="7"/>
      <c r="AE658" s="7"/>
      <c r="AG658" s="3" t="s">
        <v>768</v>
      </c>
      <c r="AH658" s="3">
        <v>27</v>
      </c>
      <c r="AI658" s="3">
        <v>28</v>
      </c>
      <c r="AJ658" s="200"/>
      <c r="AM658" s="3"/>
    </row>
    <row r="659" spans="1:39" x14ac:dyDescent="0.3">
      <c r="A659" s="5" t="str">
        <f t="shared" si="154"/>
        <v>BCV130</v>
      </c>
      <c r="B659" s="1" t="s">
        <v>1377</v>
      </c>
      <c r="C659" s="2" t="str">
        <f t="shared" si="149"/>
        <v>DIO1</v>
      </c>
      <c r="D659" s="2">
        <v>130</v>
      </c>
      <c r="E659" s="3">
        <f t="shared" si="150"/>
        <v>2</v>
      </c>
      <c r="F659" s="3">
        <f t="shared" si="151"/>
        <v>7</v>
      </c>
      <c r="G659" s="3">
        <v>0</v>
      </c>
      <c r="H659" s="60">
        <f t="shared" si="156"/>
        <v>1</v>
      </c>
      <c r="I659" s="54">
        <f t="shared" si="153"/>
        <v>22</v>
      </c>
      <c r="J659" s="61"/>
      <c r="K659" s="30"/>
      <c r="L659" s="1" t="s">
        <v>21</v>
      </c>
      <c r="M659" s="2">
        <v>4</v>
      </c>
      <c r="N659" s="1" t="s">
        <v>1428</v>
      </c>
      <c r="O659" s="1" t="s">
        <v>1427</v>
      </c>
      <c r="P659" s="1" t="s">
        <v>1224</v>
      </c>
      <c r="Q659" s="41" t="s">
        <v>1426</v>
      </c>
      <c r="R659" s="1" t="s">
        <v>18</v>
      </c>
      <c r="S659" s="13"/>
      <c r="T659" s="1" t="s">
        <v>17</v>
      </c>
      <c r="V659" s="1" t="str">
        <f t="shared" si="152"/>
        <v>2.7\0.1:22</v>
      </c>
      <c r="W659" s="1" t="s">
        <v>1379</v>
      </c>
      <c r="X659" s="18">
        <v>0</v>
      </c>
      <c r="Y659" s="7"/>
      <c r="Z659" s="206" t="s">
        <v>1062</v>
      </c>
      <c r="AA659" s="206"/>
      <c r="AB659" s="7"/>
      <c r="AC659" s="7"/>
      <c r="AD659" s="7"/>
      <c r="AE659" s="7"/>
      <c r="AG659" s="3" t="s">
        <v>768</v>
      </c>
      <c r="AH659" s="3">
        <v>29</v>
      </c>
      <c r="AI659" s="3">
        <v>30</v>
      </c>
      <c r="AJ659" s="200"/>
      <c r="AM659" s="3"/>
    </row>
    <row r="660" spans="1:39" x14ac:dyDescent="0.3">
      <c r="A660" s="5" t="str">
        <f t="shared" si="154"/>
        <v>BCV130</v>
      </c>
      <c r="B660" s="1" t="s">
        <v>1377</v>
      </c>
      <c r="C660" s="2" t="str">
        <f t="shared" si="149"/>
        <v>DIO1</v>
      </c>
      <c r="D660" s="2">
        <v>130</v>
      </c>
      <c r="E660" s="3">
        <f t="shared" si="150"/>
        <v>2</v>
      </c>
      <c r="F660" s="3">
        <f t="shared" si="151"/>
        <v>7</v>
      </c>
      <c r="G660" s="3">
        <v>0</v>
      </c>
      <c r="H660" s="60">
        <f t="shared" si="156"/>
        <v>1</v>
      </c>
      <c r="I660" s="54">
        <f t="shared" si="153"/>
        <v>23</v>
      </c>
      <c r="J660" s="61"/>
      <c r="K660" s="30"/>
      <c r="L660" s="1" t="s">
        <v>21</v>
      </c>
      <c r="M660" s="2">
        <v>4</v>
      </c>
      <c r="N660" s="1" t="s">
        <v>1425</v>
      </c>
      <c r="O660" s="1" t="s">
        <v>1424</v>
      </c>
      <c r="P660" s="1" t="s">
        <v>1224</v>
      </c>
      <c r="Q660" s="41" t="s">
        <v>1423</v>
      </c>
      <c r="R660" s="1" t="s">
        <v>18</v>
      </c>
      <c r="S660" s="13"/>
      <c r="T660" s="1" t="s">
        <v>17</v>
      </c>
      <c r="V660" s="1" t="str">
        <f t="shared" si="152"/>
        <v>2.7\0.1:23</v>
      </c>
      <c r="W660" s="1" t="s">
        <v>1379</v>
      </c>
      <c r="X660" s="18">
        <v>0</v>
      </c>
      <c r="Y660" s="7"/>
      <c r="Z660" s="206" t="s">
        <v>1062</v>
      </c>
      <c r="AA660" s="206"/>
      <c r="AB660" s="7"/>
      <c r="AC660" s="7"/>
      <c r="AD660" s="7"/>
      <c r="AE660" s="7"/>
      <c r="AG660" s="3" t="s">
        <v>768</v>
      </c>
      <c r="AH660" s="3">
        <v>31</v>
      </c>
      <c r="AI660" s="3">
        <v>32</v>
      </c>
      <c r="AJ660" s="200"/>
      <c r="AM660" s="3"/>
    </row>
    <row r="661" spans="1:39" x14ac:dyDescent="0.3">
      <c r="A661" s="5" t="str">
        <f t="shared" si="154"/>
        <v>BCV130</v>
      </c>
      <c r="B661" s="1" t="s">
        <v>1377</v>
      </c>
      <c r="C661" s="2" t="str">
        <f t="shared" si="149"/>
        <v>DIO1</v>
      </c>
      <c r="D661" s="2">
        <v>130</v>
      </c>
      <c r="E661" s="3">
        <f t="shared" si="150"/>
        <v>2</v>
      </c>
      <c r="F661" s="3">
        <f t="shared" si="151"/>
        <v>7</v>
      </c>
      <c r="G661" s="3">
        <v>0</v>
      </c>
      <c r="H661" s="60">
        <f t="shared" si="156"/>
        <v>1</v>
      </c>
      <c r="I661" s="54">
        <f t="shared" si="153"/>
        <v>24</v>
      </c>
      <c r="J661" s="61"/>
      <c r="K661" s="30"/>
      <c r="L661" s="1" t="s">
        <v>21</v>
      </c>
      <c r="M661" s="2">
        <v>4</v>
      </c>
      <c r="N661" s="1" t="s">
        <v>1422</v>
      </c>
      <c r="O661" s="1" t="s">
        <v>1421</v>
      </c>
      <c r="P661" s="1" t="s">
        <v>1224</v>
      </c>
      <c r="Q661" s="41" t="s">
        <v>1420</v>
      </c>
      <c r="R661" s="1" t="s">
        <v>18</v>
      </c>
      <c r="S661" s="13"/>
      <c r="T661" s="1" t="s">
        <v>17</v>
      </c>
      <c r="V661" s="1" t="str">
        <f t="shared" si="152"/>
        <v>2.7\0.1:24</v>
      </c>
      <c r="W661" s="1" t="s">
        <v>1379</v>
      </c>
      <c r="X661" s="18">
        <v>0</v>
      </c>
      <c r="Y661" s="7"/>
      <c r="Z661" s="206" t="s">
        <v>1062</v>
      </c>
      <c r="AA661" s="206"/>
      <c r="AB661" s="7"/>
      <c r="AC661" s="7"/>
      <c r="AD661" s="7"/>
      <c r="AE661" s="7"/>
      <c r="AG661" s="3" t="s">
        <v>768</v>
      </c>
      <c r="AH661" s="3">
        <v>33</v>
      </c>
      <c r="AI661" s="3">
        <v>34</v>
      </c>
      <c r="AJ661" s="200"/>
      <c r="AM661" s="3"/>
    </row>
    <row r="662" spans="1:39" x14ac:dyDescent="0.3">
      <c r="A662" s="5" t="str">
        <f t="shared" si="154"/>
        <v>BCV130</v>
      </c>
      <c r="B662" s="1" t="s">
        <v>1377</v>
      </c>
      <c r="C662" s="2" t="str">
        <f t="shared" si="149"/>
        <v>DIO1</v>
      </c>
      <c r="D662" s="2">
        <v>130</v>
      </c>
      <c r="E662" s="3">
        <f t="shared" si="150"/>
        <v>2</v>
      </c>
      <c r="F662" s="3">
        <f t="shared" si="151"/>
        <v>7</v>
      </c>
      <c r="G662" s="3">
        <v>0</v>
      </c>
      <c r="H662" s="60">
        <f t="shared" si="156"/>
        <v>1</v>
      </c>
      <c r="I662" s="54">
        <f t="shared" si="153"/>
        <v>25</v>
      </c>
      <c r="J662" s="61"/>
      <c r="K662" s="30"/>
      <c r="L662" s="1" t="s">
        <v>21</v>
      </c>
      <c r="M662" s="2">
        <v>4</v>
      </c>
      <c r="N662" s="1" t="s">
        <v>1419</v>
      </c>
      <c r="O662" s="1" t="s">
        <v>1418</v>
      </c>
      <c r="P662" s="1" t="s">
        <v>1224</v>
      </c>
      <c r="Q662" s="41" t="s">
        <v>1417</v>
      </c>
      <c r="R662" s="1" t="s">
        <v>18</v>
      </c>
      <c r="S662" s="13"/>
      <c r="T662" s="1" t="s">
        <v>17</v>
      </c>
      <c r="V662" s="1" t="str">
        <f t="shared" si="152"/>
        <v>2.7\0.1:25</v>
      </c>
      <c r="W662" s="1" t="s">
        <v>1379</v>
      </c>
      <c r="X662" s="18">
        <v>0</v>
      </c>
      <c r="Y662" s="7"/>
      <c r="Z662" s="206" t="s">
        <v>1062</v>
      </c>
      <c r="AA662" s="206"/>
      <c r="AB662" s="7"/>
      <c r="AC662" s="7"/>
      <c r="AD662" s="7"/>
      <c r="AE662" s="7"/>
      <c r="AG662" s="3" t="s">
        <v>768</v>
      </c>
      <c r="AH662" s="3">
        <v>35</v>
      </c>
      <c r="AI662" s="3">
        <v>36</v>
      </c>
      <c r="AJ662" s="200"/>
      <c r="AM662" s="3"/>
    </row>
    <row r="663" spans="1:39" x14ac:dyDescent="0.3">
      <c r="A663" s="5" t="str">
        <f t="shared" si="154"/>
        <v>BCV130</v>
      </c>
      <c r="B663" s="1" t="s">
        <v>1377</v>
      </c>
      <c r="C663" s="2" t="str">
        <f t="shared" si="149"/>
        <v>DIO1</v>
      </c>
      <c r="D663" s="2">
        <v>130</v>
      </c>
      <c r="E663" s="3">
        <f t="shared" si="150"/>
        <v>2</v>
      </c>
      <c r="F663" s="3">
        <f t="shared" si="151"/>
        <v>7</v>
      </c>
      <c r="G663" s="3">
        <v>0</v>
      </c>
      <c r="H663" s="60">
        <f t="shared" si="156"/>
        <v>1</v>
      </c>
      <c r="I663" s="54">
        <f t="shared" si="153"/>
        <v>26</v>
      </c>
      <c r="J663" s="61"/>
      <c r="K663" s="30"/>
      <c r="L663" s="1" t="s">
        <v>21</v>
      </c>
      <c r="M663" s="2">
        <v>4</v>
      </c>
      <c r="N663" s="1" t="s">
        <v>1416</v>
      </c>
      <c r="O663" s="1" t="s">
        <v>1415</v>
      </c>
      <c r="P663" s="1" t="s">
        <v>1224</v>
      </c>
      <c r="Q663" s="1" t="s">
        <v>1414</v>
      </c>
      <c r="R663" s="1" t="s">
        <v>18</v>
      </c>
      <c r="S663" s="13"/>
      <c r="T663" s="1" t="s">
        <v>17</v>
      </c>
      <c r="V663" s="1" t="str">
        <f t="shared" si="152"/>
        <v>2.7\0.1:26</v>
      </c>
      <c r="W663" s="1" t="s">
        <v>1379</v>
      </c>
      <c r="X663" s="18">
        <v>0</v>
      </c>
      <c r="Y663" s="7"/>
      <c r="Z663" s="206" t="s">
        <v>1062</v>
      </c>
      <c r="AA663" s="206"/>
      <c r="AC663" s="7"/>
      <c r="AD663" s="7"/>
      <c r="AE663" s="7"/>
      <c r="AG663" s="3" t="s">
        <v>768</v>
      </c>
      <c r="AH663" s="3">
        <v>37</v>
      </c>
      <c r="AI663" s="3">
        <v>38</v>
      </c>
      <c r="AJ663" s="200"/>
      <c r="AM663" s="3"/>
    </row>
    <row r="664" spans="1:39" x14ac:dyDescent="0.3">
      <c r="A664" s="5" t="str">
        <f t="shared" si="154"/>
        <v>BCV130</v>
      </c>
      <c r="B664" s="1" t="s">
        <v>1377</v>
      </c>
      <c r="C664" s="2" t="str">
        <f t="shared" si="149"/>
        <v>DIO1</v>
      </c>
      <c r="D664" s="2">
        <v>130</v>
      </c>
      <c r="E664" s="3">
        <f t="shared" si="150"/>
        <v>2</v>
      </c>
      <c r="F664" s="3">
        <f t="shared" si="151"/>
        <v>7</v>
      </c>
      <c r="G664" s="3">
        <v>0</v>
      </c>
      <c r="H664" s="60">
        <f t="shared" si="156"/>
        <v>1</v>
      </c>
      <c r="I664" s="54">
        <f t="shared" si="153"/>
        <v>27</v>
      </c>
      <c r="J664" s="61"/>
      <c r="K664" s="30"/>
      <c r="L664" s="1" t="s">
        <v>21</v>
      </c>
      <c r="M664" s="2">
        <v>4</v>
      </c>
      <c r="N664" s="1" t="s">
        <v>1413</v>
      </c>
      <c r="O664" s="1" t="s">
        <v>1412</v>
      </c>
      <c r="P664" s="1" t="s">
        <v>1224</v>
      </c>
      <c r="Q664" s="221" t="s">
        <v>1411</v>
      </c>
      <c r="R664" s="220" t="s">
        <v>18</v>
      </c>
      <c r="S664" s="13"/>
      <c r="T664" s="1" t="s">
        <v>17</v>
      </c>
      <c r="V664" s="1" t="str">
        <f t="shared" si="152"/>
        <v>2.7\0.1:27</v>
      </c>
      <c r="W664" s="1" t="s">
        <v>1379</v>
      </c>
      <c r="X664" s="18">
        <v>0</v>
      </c>
      <c r="Y664" s="7"/>
      <c r="Z664" s="206" t="s">
        <v>1062</v>
      </c>
      <c r="AA664" s="206"/>
      <c r="AC664" s="7"/>
      <c r="AD664" s="7"/>
      <c r="AE664" s="7"/>
      <c r="AG664" s="3" t="s">
        <v>768</v>
      </c>
      <c r="AH664" s="3">
        <v>39</v>
      </c>
      <c r="AI664" s="3">
        <v>40</v>
      </c>
      <c r="AJ664" s="200"/>
      <c r="AM664" s="3"/>
    </row>
    <row r="665" spans="1:39" x14ac:dyDescent="0.3">
      <c r="A665" s="5" t="str">
        <f t="shared" si="154"/>
        <v>BCV130</v>
      </c>
      <c r="B665" s="1" t="s">
        <v>1377</v>
      </c>
      <c r="C665" s="2" t="str">
        <f t="shared" si="149"/>
        <v>DIO1</v>
      </c>
      <c r="D665" s="2">
        <v>130</v>
      </c>
      <c r="E665" s="3">
        <f t="shared" si="150"/>
        <v>2</v>
      </c>
      <c r="F665" s="3">
        <f t="shared" si="151"/>
        <v>7</v>
      </c>
      <c r="G665" s="3">
        <v>0</v>
      </c>
      <c r="H665" s="60">
        <f t="shared" si="156"/>
        <v>1</v>
      </c>
      <c r="I665" s="54">
        <f t="shared" si="153"/>
        <v>28</v>
      </c>
      <c r="J665" s="61"/>
      <c r="K665" s="30"/>
      <c r="L665" s="1" t="s">
        <v>21</v>
      </c>
      <c r="M665" s="2">
        <v>4</v>
      </c>
      <c r="N665" s="1" t="s">
        <v>1410</v>
      </c>
      <c r="O665" s="1" t="s">
        <v>1409</v>
      </c>
      <c r="P665" s="1" t="s">
        <v>1224</v>
      </c>
      <c r="Q665" s="41" t="s">
        <v>1408</v>
      </c>
      <c r="R665" s="1" t="s">
        <v>18</v>
      </c>
      <c r="S665" s="13"/>
      <c r="T665" s="1" t="s">
        <v>17</v>
      </c>
      <c r="V665" s="1" t="str">
        <f t="shared" si="152"/>
        <v>2.7\0.1:28</v>
      </c>
      <c r="W665" s="1" t="s">
        <v>1379</v>
      </c>
      <c r="X665" s="18">
        <v>0</v>
      </c>
      <c r="Y665" s="7"/>
      <c r="Z665" s="206" t="s">
        <v>1062</v>
      </c>
      <c r="AA665" s="206"/>
      <c r="AC665" s="7"/>
      <c r="AD665" s="7"/>
      <c r="AE665" s="7"/>
      <c r="AG665" s="3" t="s">
        <v>768</v>
      </c>
      <c r="AH665" s="3">
        <v>41</v>
      </c>
      <c r="AI665" s="3">
        <v>42</v>
      </c>
      <c r="AJ665" s="200"/>
      <c r="AM665" s="3"/>
    </row>
    <row r="666" spans="1:39" x14ac:dyDescent="0.3">
      <c r="A666" s="5" t="str">
        <f t="shared" si="154"/>
        <v>BCV130</v>
      </c>
      <c r="B666" s="1" t="s">
        <v>1377</v>
      </c>
      <c r="C666" s="2" t="str">
        <f t="shared" ref="C666:C697" si="157">+C665</f>
        <v>DIO1</v>
      </c>
      <c r="D666" s="2">
        <v>130</v>
      </c>
      <c r="E666" s="3">
        <f t="shared" ref="E666:E697" si="158">+E665</f>
        <v>2</v>
      </c>
      <c r="F666" s="3">
        <f t="shared" ref="F666:F697" si="159">+F665</f>
        <v>7</v>
      </c>
      <c r="G666" s="3">
        <v>0</v>
      </c>
      <c r="H666" s="60">
        <f t="shared" si="156"/>
        <v>1</v>
      </c>
      <c r="I666" s="54">
        <f t="shared" si="153"/>
        <v>29</v>
      </c>
      <c r="J666" s="61"/>
      <c r="K666" s="30"/>
      <c r="L666" s="1" t="s">
        <v>21</v>
      </c>
      <c r="M666" s="2"/>
      <c r="Q666" s="41" t="s">
        <v>302</v>
      </c>
      <c r="R666" s="1" t="s">
        <v>302</v>
      </c>
      <c r="S666" s="13"/>
      <c r="V666" s="1" t="str">
        <f t="shared" si="152"/>
        <v>2.7\0.1:29</v>
      </c>
      <c r="Y666" s="7"/>
      <c r="Z666" s="206" t="s">
        <v>1062</v>
      </c>
      <c r="AA666" s="206"/>
      <c r="AC666" s="7"/>
      <c r="AD666" s="7"/>
      <c r="AE666" s="7"/>
      <c r="AG666" s="3" t="s">
        <v>768</v>
      </c>
      <c r="AH666" s="3">
        <v>43</v>
      </c>
      <c r="AI666" s="3">
        <v>44</v>
      </c>
      <c r="AJ666" s="200"/>
      <c r="AM666" s="3"/>
    </row>
    <row r="667" spans="1:39" x14ac:dyDescent="0.3">
      <c r="A667" s="5" t="str">
        <f t="shared" si="154"/>
        <v>BCV130</v>
      </c>
      <c r="B667" s="1" t="s">
        <v>1377</v>
      </c>
      <c r="C667" s="2" t="str">
        <f t="shared" si="157"/>
        <v>DIO1</v>
      </c>
      <c r="D667" s="2">
        <v>130</v>
      </c>
      <c r="E667" s="3">
        <f t="shared" si="158"/>
        <v>2</v>
      </c>
      <c r="F667" s="3">
        <f t="shared" si="159"/>
        <v>7</v>
      </c>
      <c r="G667" s="3">
        <v>0</v>
      </c>
      <c r="H667" s="60">
        <f t="shared" si="156"/>
        <v>1</v>
      </c>
      <c r="I667" s="54">
        <f t="shared" si="153"/>
        <v>30</v>
      </c>
      <c r="J667" s="61"/>
      <c r="K667" s="30"/>
      <c r="L667" s="1" t="s">
        <v>21</v>
      </c>
      <c r="M667" s="2"/>
      <c r="Q667" s="221" t="s">
        <v>302</v>
      </c>
      <c r="R667" s="220" t="s">
        <v>302</v>
      </c>
      <c r="S667" s="13"/>
      <c r="V667" s="1" t="str">
        <f t="shared" si="152"/>
        <v>2.7\0.1:30</v>
      </c>
      <c r="Y667" s="7"/>
      <c r="Z667" s="206" t="s">
        <v>1062</v>
      </c>
      <c r="AA667" s="206"/>
      <c r="AC667" s="7"/>
      <c r="AD667" s="7"/>
      <c r="AE667" s="7"/>
      <c r="AG667" s="3" t="s">
        <v>768</v>
      </c>
      <c r="AH667" s="3">
        <v>45</v>
      </c>
      <c r="AI667" s="3">
        <v>46</v>
      </c>
      <c r="AJ667" s="200"/>
      <c r="AM667" s="3"/>
    </row>
    <row r="668" spans="1:39" ht="13.5" thickBot="1" x14ac:dyDescent="0.35">
      <c r="A668" s="5" t="str">
        <f t="shared" si="154"/>
        <v>BCV130</v>
      </c>
      <c r="B668" s="1" t="s">
        <v>1377</v>
      </c>
      <c r="C668" s="2" t="str">
        <f t="shared" si="157"/>
        <v>DIO1</v>
      </c>
      <c r="D668" s="2">
        <v>130</v>
      </c>
      <c r="E668" s="3">
        <f t="shared" si="158"/>
        <v>2</v>
      </c>
      <c r="F668" s="3">
        <f t="shared" si="159"/>
        <v>7</v>
      </c>
      <c r="G668" s="3">
        <v>0</v>
      </c>
      <c r="H668" s="60">
        <f t="shared" si="156"/>
        <v>1</v>
      </c>
      <c r="I668" s="59">
        <f t="shared" si="153"/>
        <v>31</v>
      </c>
      <c r="J668" s="58"/>
      <c r="K668" s="30"/>
      <c r="L668" s="1" t="s">
        <v>21</v>
      </c>
      <c r="M668" s="2"/>
      <c r="Q668" s="1" t="s">
        <v>302</v>
      </c>
      <c r="R668" s="1" t="s">
        <v>302</v>
      </c>
      <c r="S668" s="13"/>
      <c r="V668" s="1" t="str">
        <f t="shared" si="152"/>
        <v>2.7\0.1:31</v>
      </c>
      <c r="Y668" s="7"/>
      <c r="Z668" s="206" t="s">
        <v>1062</v>
      </c>
      <c r="AA668" s="206"/>
      <c r="AC668" s="7"/>
      <c r="AD668" s="7"/>
      <c r="AE668" s="7"/>
      <c r="AG668" s="3" t="s">
        <v>768</v>
      </c>
      <c r="AH668" s="3">
        <v>47</v>
      </c>
      <c r="AI668" s="3">
        <v>48</v>
      </c>
      <c r="AJ668" s="200"/>
      <c r="AM668" s="3"/>
    </row>
    <row r="669" spans="1:39" x14ac:dyDescent="0.3">
      <c r="A669" s="76" t="s">
        <v>17</v>
      </c>
      <c r="B669" s="1" t="s">
        <v>1377</v>
      </c>
      <c r="C669" s="2" t="str">
        <f t="shared" si="157"/>
        <v>DIO1</v>
      </c>
      <c r="D669" s="2">
        <v>130</v>
      </c>
      <c r="E669" s="3">
        <f t="shared" si="158"/>
        <v>2</v>
      </c>
      <c r="F669" s="3">
        <f t="shared" si="159"/>
        <v>7</v>
      </c>
      <c r="G669" s="3">
        <v>0</v>
      </c>
      <c r="H669" s="57">
        <f>+H653+1</f>
        <v>2</v>
      </c>
      <c r="I669" s="56">
        <v>0</v>
      </c>
      <c r="J669" s="222" t="s">
        <v>316</v>
      </c>
      <c r="K669" s="2" t="s">
        <v>315</v>
      </c>
      <c r="L669" s="1" t="s">
        <v>21</v>
      </c>
      <c r="M669" s="2">
        <v>4</v>
      </c>
      <c r="N669" s="1" t="s">
        <v>1356</v>
      </c>
      <c r="O669" s="1" t="s">
        <v>962</v>
      </c>
      <c r="P669" s="1" t="s">
        <v>1224</v>
      </c>
      <c r="Q669" s="1" t="s">
        <v>963</v>
      </c>
      <c r="R669" s="1" t="s">
        <v>46</v>
      </c>
      <c r="S669" s="13" t="s">
        <v>962</v>
      </c>
      <c r="T669" s="1" t="s">
        <v>17</v>
      </c>
      <c r="V669" s="1" t="str">
        <f t="shared" ref="V669:V700" si="160">+CONCATENATE(E669,".",F669,"\",G669,".",H669,":",I669)</f>
        <v>2.7\0.2:0</v>
      </c>
      <c r="W669" s="1" t="s">
        <v>1379</v>
      </c>
      <c r="X669" s="18">
        <v>0</v>
      </c>
      <c r="Y669" s="7"/>
      <c r="Z669" s="206" t="s">
        <v>1062</v>
      </c>
      <c r="AA669" s="206"/>
      <c r="AC669" s="7"/>
      <c r="AD669" s="7"/>
      <c r="AE669" s="7"/>
      <c r="AG669" s="3" t="s">
        <v>732</v>
      </c>
      <c r="AH669" s="3">
        <v>1</v>
      </c>
      <c r="AI669" s="3">
        <v>2</v>
      </c>
      <c r="AJ669" s="200"/>
      <c r="AM669" s="3"/>
    </row>
    <row r="670" spans="1:39" x14ac:dyDescent="0.3">
      <c r="A670" s="5" t="str">
        <f t="shared" ref="A670:A700" si="161">A669</f>
        <v>BCV130</v>
      </c>
      <c r="B670" s="1" t="s">
        <v>1377</v>
      </c>
      <c r="C670" s="2" t="str">
        <f t="shared" si="157"/>
        <v>DIO1</v>
      </c>
      <c r="D670" s="2">
        <v>130</v>
      </c>
      <c r="E670" s="3">
        <f t="shared" si="158"/>
        <v>2</v>
      </c>
      <c r="F670" s="3">
        <f t="shared" si="159"/>
        <v>7</v>
      </c>
      <c r="G670" s="3">
        <v>0</v>
      </c>
      <c r="H670" s="60">
        <f>H669</f>
        <v>2</v>
      </c>
      <c r="I670" s="54">
        <f t="shared" ref="I670:I700" si="162">+I669+1</f>
        <v>1</v>
      </c>
      <c r="J670" s="61"/>
      <c r="K670" s="2"/>
      <c r="L670" s="1" t="s">
        <v>21</v>
      </c>
      <c r="M670" s="2">
        <v>4</v>
      </c>
      <c r="N670" s="1" t="s">
        <v>1356</v>
      </c>
      <c r="O670" s="1" t="s">
        <v>959</v>
      </c>
      <c r="P670" s="1" t="s">
        <v>1224</v>
      </c>
      <c r="Q670" s="1" t="s">
        <v>960</v>
      </c>
      <c r="R670" s="1" t="s">
        <v>46</v>
      </c>
      <c r="S670" s="13" t="s">
        <v>959</v>
      </c>
      <c r="T670" s="1" t="s">
        <v>17</v>
      </c>
      <c r="V670" s="1" t="str">
        <f t="shared" si="160"/>
        <v>2.7\0.2:1</v>
      </c>
      <c r="W670" s="1" t="s">
        <v>1379</v>
      </c>
      <c r="X670" s="18">
        <v>0</v>
      </c>
      <c r="Y670" s="7"/>
      <c r="Z670" s="206" t="s">
        <v>1062</v>
      </c>
      <c r="AA670" s="206"/>
      <c r="AC670" s="7"/>
      <c r="AD670" s="7"/>
      <c r="AE670" s="7"/>
      <c r="AG670" s="3" t="s">
        <v>732</v>
      </c>
      <c r="AH670" s="3">
        <v>3</v>
      </c>
      <c r="AI670" s="3">
        <v>4</v>
      </c>
      <c r="AJ670" s="200"/>
      <c r="AM670" s="3"/>
    </row>
    <row r="671" spans="1:39" x14ac:dyDescent="0.3">
      <c r="A671" s="5" t="str">
        <f t="shared" si="161"/>
        <v>BCV130</v>
      </c>
      <c r="B671" s="1" t="s">
        <v>1377</v>
      </c>
      <c r="C671" s="2" t="str">
        <f t="shared" si="157"/>
        <v>DIO1</v>
      </c>
      <c r="D671" s="2">
        <v>130</v>
      </c>
      <c r="E671" s="3">
        <f t="shared" si="158"/>
        <v>2</v>
      </c>
      <c r="F671" s="3">
        <f t="shared" si="159"/>
        <v>7</v>
      </c>
      <c r="G671" s="3">
        <v>0</v>
      </c>
      <c r="H671" s="60">
        <f>H669</f>
        <v>2</v>
      </c>
      <c r="I671" s="54">
        <f t="shared" si="162"/>
        <v>2</v>
      </c>
      <c r="J671" s="61"/>
      <c r="K671" s="2"/>
      <c r="L671" s="1" t="s">
        <v>21</v>
      </c>
      <c r="M671" s="2">
        <v>4</v>
      </c>
      <c r="N671" s="1" t="s">
        <v>1356</v>
      </c>
      <c r="O671" s="1" t="s">
        <v>61</v>
      </c>
      <c r="P671" s="1" t="s">
        <v>1224</v>
      </c>
      <c r="Q671" s="1" t="s">
        <v>1028</v>
      </c>
      <c r="R671" s="1" t="s">
        <v>18</v>
      </c>
      <c r="S671" s="13" t="s">
        <v>1027</v>
      </c>
      <c r="T671" s="1" t="s">
        <v>17</v>
      </c>
      <c r="V671" s="1" t="str">
        <f t="shared" si="160"/>
        <v>2.7\0.2:2</v>
      </c>
      <c r="W671" s="1" t="s">
        <v>1353</v>
      </c>
      <c r="X671" s="18">
        <v>0</v>
      </c>
      <c r="Y671" s="7"/>
      <c r="Z671" s="206" t="s">
        <v>1198</v>
      </c>
      <c r="AA671" s="206"/>
      <c r="AC671" s="7"/>
      <c r="AD671" s="7"/>
      <c r="AE671" s="7"/>
      <c r="AG671" s="3" t="s">
        <v>732</v>
      </c>
      <c r="AH671" s="3">
        <v>5</v>
      </c>
      <c r="AI671" s="3">
        <v>6</v>
      </c>
      <c r="AJ671" s="200"/>
      <c r="AM671" s="3"/>
    </row>
    <row r="672" spans="1:39" x14ac:dyDescent="0.3">
      <c r="A672" s="5" t="str">
        <f t="shared" si="161"/>
        <v>BCV130</v>
      </c>
      <c r="B672" s="1" t="s">
        <v>1377</v>
      </c>
      <c r="C672" s="2" t="str">
        <f t="shared" si="157"/>
        <v>DIO1</v>
      </c>
      <c r="D672" s="2">
        <v>130</v>
      </c>
      <c r="E672" s="3">
        <f t="shared" si="158"/>
        <v>2</v>
      </c>
      <c r="F672" s="3">
        <f t="shared" si="159"/>
        <v>7</v>
      </c>
      <c r="G672" s="3">
        <v>0</v>
      </c>
      <c r="H672" s="60">
        <f t="shared" ref="H672:H683" si="163">H669</f>
        <v>2</v>
      </c>
      <c r="I672" s="54">
        <f t="shared" si="162"/>
        <v>3</v>
      </c>
      <c r="J672" s="61"/>
      <c r="K672" s="30"/>
      <c r="L672" s="1" t="s">
        <v>21</v>
      </c>
      <c r="M672" s="2"/>
      <c r="Q672" s="1" t="s">
        <v>302</v>
      </c>
      <c r="R672" s="1" t="s">
        <v>302</v>
      </c>
      <c r="S672" s="13"/>
      <c r="V672" s="1" t="str">
        <f t="shared" si="160"/>
        <v>2.7\0.2:3</v>
      </c>
      <c r="Y672" s="7"/>
      <c r="Z672" s="206" t="s">
        <v>1062</v>
      </c>
      <c r="AA672" s="206"/>
      <c r="AC672" s="7"/>
      <c r="AD672" s="7"/>
      <c r="AE672" s="7"/>
      <c r="AG672" s="3" t="s">
        <v>732</v>
      </c>
      <c r="AH672" s="3">
        <v>7</v>
      </c>
      <c r="AI672" s="3">
        <v>8</v>
      </c>
      <c r="AJ672" s="200"/>
      <c r="AM672" s="3"/>
    </row>
    <row r="673" spans="1:39" x14ac:dyDescent="0.3">
      <c r="A673" s="5" t="str">
        <f t="shared" si="161"/>
        <v>BCV130</v>
      </c>
      <c r="B673" s="1" t="s">
        <v>1377</v>
      </c>
      <c r="C673" s="2" t="str">
        <f t="shared" si="157"/>
        <v>DIO1</v>
      </c>
      <c r="D673" s="2">
        <v>130</v>
      </c>
      <c r="E673" s="3">
        <f t="shared" si="158"/>
        <v>2</v>
      </c>
      <c r="F673" s="3">
        <f t="shared" si="159"/>
        <v>7</v>
      </c>
      <c r="G673" s="3">
        <v>0</v>
      </c>
      <c r="H673" s="60">
        <f t="shared" si="163"/>
        <v>2</v>
      </c>
      <c r="I673" s="54">
        <f t="shared" si="162"/>
        <v>4</v>
      </c>
      <c r="J673" s="61"/>
      <c r="K673" s="30"/>
      <c r="L673" s="1" t="s">
        <v>21</v>
      </c>
      <c r="M673" s="2">
        <v>4</v>
      </c>
      <c r="N673" s="1" t="s">
        <v>1389</v>
      </c>
      <c r="O673" s="1" t="s">
        <v>1407</v>
      </c>
      <c r="P673" s="1" t="s">
        <v>1387</v>
      </c>
      <c r="Q673" s="1" t="s">
        <v>998</v>
      </c>
      <c r="R673" s="1" t="s">
        <v>734</v>
      </c>
      <c r="S673" s="13"/>
      <c r="T673" s="1" t="s">
        <v>17</v>
      </c>
      <c r="V673" s="1" t="str">
        <f t="shared" si="160"/>
        <v>2.7\0.2:4</v>
      </c>
      <c r="W673" s="1" t="s">
        <v>1379</v>
      </c>
      <c r="X673" s="18">
        <v>0</v>
      </c>
      <c r="Y673" s="7"/>
      <c r="Z673" s="206" t="s">
        <v>1062</v>
      </c>
      <c r="AA673" s="206"/>
      <c r="AC673" s="7"/>
      <c r="AD673" s="7"/>
      <c r="AE673" s="7"/>
      <c r="AG673" s="3" t="s">
        <v>732</v>
      </c>
      <c r="AH673" s="3">
        <v>9</v>
      </c>
      <c r="AI673" s="3">
        <v>10</v>
      </c>
      <c r="AJ673" s="200"/>
      <c r="AM673" s="3"/>
    </row>
    <row r="674" spans="1:39" x14ac:dyDescent="0.3">
      <c r="A674" s="5" t="str">
        <f t="shared" si="161"/>
        <v>BCV130</v>
      </c>
      <c r="B674" s="1" t="s">
        <v>1377</v>
      </c>
      <c r="C674" s="2" t="str">
        <f t="shared" si="157"/>
        <v>DIO1</v>
      </c>
      <c r="D674" s="2">
        <v>130</v>
      </c>
      <c r="E674" s="3">
        <f t="shared" si="158"/>
        <v>2</v>
      </c>
      <c r="F674" s="3">
        <f t="shared" si="159"/>
        <v>7</v>
      </c>
      <c r="G674" s="3">
        <v>0</v>
      </c>
      <c r="H674" s="60">
        <f t="shared" si="163"/>
        <v>2</v>
      </c>
      <c r="I674" s="54">
        <f t="shared" si="162"/>
        <v>5</v>
      </c>
      <c r="J674" s="61"/>
      <c r="K674" s="30"/>
      <c r="L674" s="1" t="s">
        <v>21</v>
      </c>
      <c r="M674" s="2"/>
      <c r="Q674" s="1" t="s">
        <v>302</v>
      </c>
      <c r="R674" s="1" t="s">
        <v>302</v>
      </c>
      <c r="S674" s="13"/>
      <c r="V674" s="1" t="str">
        <f t="shared" si="160"/>
        <v>2.7\0.2:5</v>
      </c>
      <c r="Y674" s="7"/>
      <c r="Z674" s="206" t="s">
        <v>1062</v>
      </c>
      <c r="AA674" s="206"/>
      <c r="AC674" s="7"/>
      <c r="AD674" s="7"/>
      <c r="AE674" s="7"/>
      <c r="AG674" s="3" t="s">
        <v>732</v>
      </c>
      <c r="AH674" s="3">
        <v>11</v>
      </c>
      <c r="AI674" s="3">
        <v>12</v>
      </c>
      <c r="AJ674" s="200"/>
      <c r="AM674" s="3"/>
    </row>
    <row r="675" spans="1:39" x14ac:dyDescent="0.3">
      <c r="A675" s="5" t="str">
        <f t="shared" si="161"/>
        <v>BCV130</v>
      </c>
      <c r="B675" s="1" t="s">
        <v>1377</v>
      </c>
      <c r="C675" s="2" t="str">
        <f t="shared" si="157"/>
        <v>DIO1</v>
      </c>
      <c r="D675" s="2">
        <v>130</v>
      </c>
      <c r="E675" s="3">
        <f t="shared" si="158"/>
        <v>2</v>
      </c>
      <c r="F675" s="3">
        <f t="shared" si="159"/>
        <v>7</v>
      </c>
      <c r="G675" s="3">
        <v>0</v>
      </c>
      <c r="H675" s="60">
        <f t="shared" si="163"/>
        <v>2</v>
      </c>
      <c r="I675" s="54">
        <f t="shared" si="162"/>
        <v>6</v>
      </c>
      <c r="J675" s="61"/>
      <c r="K675" s="2"/>
      <c r="L675" s="1" t="s">
        <v>21</v>
      </c>
      <c r="M675" s="2">
        <v>4</v>
      </c>
      <c r="N675" s="1" t="s">
        <v>1355</v>
      </c>
      <c r="O675" s="220" t="s">
        <v>61</v>
      </c>
      <c r="P675" s="220" t="s">
        <v>1406</v>
      </c>
      <c r="Q675" s="1" t="s">
        <v>1028</v>
      </c>
      <c r="R675" s="1" t="s">
        <v>18</v>
      </c>
      <c r="S675" s="13" t="s">
        <v>1354</v>
      </c>
      <c r="T675" s="1" t="s">
        <v>17</v>
      </c>
      <c r="V675" s="1" t="str">
        <f t="shared" si="160"/>
        <v>2.7\0.2:6</v>
      </c>
      <c r="W675" s="1" t="s">
        <v>1353</v>
      </c>
      <c r="X675" s="18">
        <v>0</v>
      </c>
      <c r="Y675" s="7"/>
      <c r="Z675" s="206" t="s">
        <v>1198</v>
      </c>
      <c r="AA675" s="206"/>
      <c r="AC675" s="7"/>
      <c r="AD675" s="7"/>
      <c r="AE675" s="7"/>
      <c r="AG675" s="3" t="s">
        <v>732</v>
      </c>
      <c r="AH675" s="3">
        <v>13</v>
      </c>
      <c r="AI675" s="3">
        <v>14</v>
      </c>
      <c r="AJ675" s="200"/>
      <c r="AM675" s="3"/>
    </row>
    <row r="676" spans="1:39" x14ac:dyDescent="0.3">
      <c r="A676" s="5" t="str">
        <f t="shared" si="161"/>
        <v>BCV130</v>
      </c>
      <c r="B676" s="1" t="s">
        <v>1377</v>
      </c>
      <c r="C676" s="2" t="str">
        <f t="shared" si="157"/>
        <v>DIO1</v>
      </c>
      <c r="D676" s="2">
        <v>130</v>
      </c>
      <c r="E676" s="3">
        <f t="shared" si="158"/>
        <v>2</v>
      </c>
      <c r="F676" s="3">
        <f t="shared" si="159"/>
        <v>7</v>
      </c>
      <c r="G676" s="3">
        <v>0</v>
      </c>
      <c r="H676" s="60">
        <f t="shared" si="163"/>
        <v>2</v>
      </c>
      <c r="I676" s="54">
        <f t="shared" si="162"/>
        <v>7</v>
      </c>
      <c r="J676" s="61"/>
      <c r="K676" s="30"/>
      <c r="L676" s="1" t="s">
        <v>21</v>
      </c>
      <c r="M676" s="40">
        <v>7</v>
      </c>
      <c r="N676" s="40" t="s">
        <v>1405</v>
      </c>
      <c r="O676" s="224" t="s">
        <v>736</v>
      </c>
      <c r="P676" s="224" t="s">
        <v>1404</v>
      </c>
      <c r="Q676" s="40"/>
      <c r="R676" s="224" t="s">
        <v>1403</v>
      </c>
      <c r="S676" s="66"/>
      <c r="T676" s="40" t="s">
        <v>17</v>
      </c>
      <c r="U676" s="40"/>
      <c r="V676" s="40" t="str">
        <f t="shared" si="160"/>
        <v>2.7\0.2:7</v>
      </c>
      <c r="W676" s="40" t="s">
        <v>1379</v>
      </c>
      <c r="X676" s="240">
        <v>1</v>
      </c>
      <c r="Y676" s="7"/>
      <c r="Z676" s="206" t="s">
        <v>1062</v>
      </c>
      <c r="AA676" s="206"/>
      <c r="AC676" s="7"/>
      <c r="AD676" s="7"/>
      <c r="AE676" s="7"/>
      <c r="AG676" s="3" t="s">
        <v>732</v>
      </c>
      <c r="AH676" s="3">
        <v>15</v>
      </c>
      <c r="AI676" s="3">
        <v>16</v>
      </c>
      <c r="AJ676" s="200"/>
      <c r="AM676" s="3"/>
    </row>
    <row r="677" spans="1:39" x14ac:dyDescent="0.3">
      <c r="A677" s="5" t="str">
        <f t="shared" si="161"/>
        <v>BCV130</v>
      </c>
      <c r="B677" s="1" t="s">
        <v>1377</v>
      </c>
      <c r="C677" s="2" t="str">
        <f t="shared" si="157"/>
        <v>DIO1</v>
      </c>
      <c r="D677" s="2">
        <v>130</v>
      </c>
      <c r="E677" s="3">
        <f t="shared" si="158"/>
        <v>2</v>
      </c>
      <c r="F677" s="3">
        <f t="shared" si="159"/>
        <v>7</v>
      </c>
      <c r="G677" s="3">
        <v>0</v>
      </c>
      <c r="H677" s="60">
        <f t="shared" si="163"/>
        <v>2</v>
      </c>
      <c r="I677" s="54">
        <f t="shared" si="162"/>
        <v>8</v>
      </c>
      <c r="J677" s="61"/>
      <c r="K677" s="30"/>
      <c r="L677" s="1" t="s">
        <v>21</v>
      </c>
      <c r="M677" s="2"/>
      <c r="N677" s="40"/>
      <c r="P677" s="40"/>
      <c r="Q677" s="1" t="s">
        <v>302</v>
      </c>
      <c r="S677" s="13"/>
      <c r="V677" s="1" t="str">
        <f t="shared" si="160"/>
        <v>2.7\0.2:8</v>
      </c>
      <c r="Y677" s="7"/>
      <c r="Z677" s="206" t="s">
        <v>1062</v>
      </c>
      <c r="AA677" s="206"/>
      <c r="AC677" s="7"/>
      <c r="AD677" s="7"/>
      <c r="AE677" s="7"/>
      <c r="AG677" s="3" t="s">
        <v>732</v>
      </c>
      <c r="AH677" s="3">
        <v>17</v>
      </c>
      <c r="AI677" s="3">
        <v>18</v>
      </c>
      <c r="AJ677" s="200"/>
      <c r="AM677" s="3"/>
    </row>
    <row r="678" spans="1:39" x14ac:dyDescent="0.3">
      <c r="A678" s="5" t="str">
        <f t="shared" si="161"/>
        <v>BCV130</v>
      </c>
      <c r="B678" s="1" t="s">
        <v>1377</v>
      </c>
      <c r="C678" s="2" t="str">
        <f t="shared" si="157"/>
        <v>DIO1</v>
      </c>
      <c r="D678" s="2">
        <v>130</v>
      </c>
      <c r="E678" s="3">
        <f t="shared" si="158"/>
        <v>2</v>
      </c>
      <c r="F678" s="3">
        <f t="shared" si="159"/>
        <v>7</v>
      </c>
      <c r="G678" s="3">
        <v>0</v>
      </c>
      <c r="H678" s="60">
        <f t="shared" si="163"/>
        <v>2</v>
      </c>
      <c r="I678" s="54">
        <f t="shared" si="162"/>
        <v>9</v>
      </c>
      <c r="J678" s="61"/>
      <c r="K678" s="30"/>
      <c r="L678" s="1" t="s">
        <v>21</v>
      </c>
      <c r="M678" s="2"/>
      <c r="N678" s="40"/>
      <c r="P678" s="40"/>
      <c r="Q678" s="1" t="s">
        <v>302</v>
      </c>
      <c r="S678" s="13"/>
      <c r="V678" s="1" t="str">
        <f t="shared" si="160"/>
        <v>2.7\0.2:9</v>
      </c>
      <c r="Y678" s="7"/>
      <c r="Z678" s="206" t="s">
        <v>1062</v>
      </c>
      <c r="AA678" s="206"/>
      <c r="AC678" s="7"/>
      <c r="AD678" s="7"/>
      <c r="AE678" s="7"/>
      <c r="AG678" s="3" t="s">
        <v>732</v>
      </c>
      <c r="AH678" s="3">
        <v>19</v>
      </c>
      <c r="AI678" s="3">
        <v>20</v>
      </c>
      <c r="AJ678" s="200"/>
      <c r="AM678" s="3"/>
    </row>
    <row r="679" spans="1:39" x14ac:dyDescent="0.3">
      <c r="A679" s="5" t="str">
        <f t="shared" si="161"/>
        <v>BCV130</v>
      </c>
      <c r="B679" s="1" t="s">
        <v>1377</v>
      </c>
      <c r="C679" s="2" t="str">
        <f t="shared" si="157"/>
        <v>DIO1</v>
      </c>
      <c r="D679" s="2">
        <v>130</v>
      </c>
      <c r="E679" s="3">
        <f t="shared" si="158"/>
        <v>2</v>
      </c>
      <c r="F679" s="3">
        <f t="shared" si="159"/>
        <v>7</v>
      </c>
      <c r="G679" s="3">
        <v>0</v>
      </c>
      <c r="H679" s="60">
        <f t="shared" si="163"/>
        <v>2</v>
      </c>
      <c r="I679" s="54">
        <f t="shared" si="162"/>
        <v>10</v>
      </c>
      <c r="J679" s="61"/>
      <c r="K679" s="30"/>
      <c r="L679" s="1" t="s">
        <v>21</v>
      </c>
      <c r="M679" s="2"/>
      <c r="N679" s="40"/>
      <c r="O679" s="220"/>
      <c r="P679" s="224"/>
      <c r="Q679" s="1" t="s">
        <v>302</v>
      </c>
      <c r="S679" s="13"/>
      <c r="V679" s="1" t="str">
        <f t="shared" si="160"/>
        <v>2.7\0.2:10</v>
      </c>
      <c r="Z679" s="206" t="s">
        <v>1062</v>
      </c>
      <c r="AC679" s="7"/>
      <c r="AD679" s="7"/>
      <c r="AE679" s="7"/>
      <c r="AG679" s="3" t="s">
        <v>732</v>
      </c>
      <c r="AH679" s="3">
        <v>21</v>
      </c>
      <c r="AI679" s="3">
        <v>22</v>
      </c>
      <c r="AJ679" s="200"/>
      <c r="AM679" s="3"/>
    </row>
    <row r="680" spans="1:39" x14ac:dyDescent="0.3">
      <c r="A680" s="5" t="str">
        <f t="shared" si="161"/>
        <v>BCV130</v>
      </c>
      <c r="B680" s="1" t="s">
        <v>1377</v>
      </c>
      <c r="C680" s="2" t="str">
        <f t="shared" si="157"/>
        <v>DIO1</v>
      </c>
      <c r="D680" s="2">
        <v>130</v>
      </c>
      <c r="E680" s="3">
        <f t="shared" si="158"/>
        <v>2</v>
      </c>
      <c r="F680" s="3">
        <f t="shared" si="159"/>
        <v>7</v>
      </c>
      <c r="G680" s="3">
        <v>0</v>
      </c>
      <c r="H680" s="60">
        <f t="shared" si="163"/>
        <v>2</v>
      </c>
      <c r="I680" s="54">
        <f t="shared" si="162"/>
        <v>11</v>
      </c>
      <c r="J680" s="61"/>
      <c r="K680" s="30"/>
      <c r="L680" s="1" t="s">
        <v>21</v>
      </c>
      <c r="M680" s="2"/>
      <c r="N680" s="40"/>
      <c r="O680" s="220"/>
      <c r="P680" s="224"/>
      <c r="Q680" s="1" t="s">
        <v>302</v>
      </c>
      <c r="S680" s="13"/>
      <c r="V680" s="1" t="str">
        <f t="shared" si="160"/>
        <v>2.7\0.2:11</v>
      </c>
      <c r="Z680" s="206" t="s">
        <v>1062</v>
      </c>
      <c r="AC680" s="7"/>
      <c r="AD680" s="7"/>
      <c r="AE680" s="7"/>
      <c r="AG680" s="3" t="s">
        <v>732</v>
      </c>
      <c r="AH680" s="3">
        <v>23</v>
      </c>
      <c r="AI680" s="3">
        <v>24</v>
      </c>
      <c r="AJ680" s="200"/>
      <c r="AM680" s="3"/>
    </row>
    <row r="681" spans="1:39" x14ac:dyDescent="0.3">
      <c r="A681" s="5" t="str">
        <f t="shared" si="161"/>
        <v>BCV130</v>
      </c>
      <c r="B681" s="1" t="s">
        <v>1377</v>
      </c>
      <c r="C681" s="2" t="str">
        <f t="shared" si="157"/>
        <v>DIO1</v>
      </c>
      <c r="D681" s="2">
        <v>130</v>
      </c>
      <c r="E681" s="3">
        <f t="shared" si="158"/>
        <v>2</v>
      </c>
      <c r="F681" s="3">
        <f t="shared" si="159"/>
        <v>7</v>
      </c>
      <c r="G681" s="3">
        <v>0</v>
      </c>
      <c r="H681" s="60">
        <f t="shared" si="163"/>
        <v>2</v>
      </c>
      <c r="I681" s="54">
        <f t="shared" si="162"/>
        <v>12</v>
      </c>
      <c r="J681" s="61"/>
      <c r="K681" s="30"/>
      <c r="L681" s="1" t="s">
        <v>21</v>
      </c>
      <c r="M681" s="2"/>
      <c r="N681" s="40"/>
      <c r="O681" s="12"/>
      <c r="P681" s="239"/>
      <c r="Q681" s="12" t="s">
        <v>302</v>
      </c>
      <c r="R681" s="12"/>
      <c r="S681" s="13"/>
      <c r="V681" s="1" t="str">
        <f t="shared" si="160"/>
        <v>2.7\0.2:12</v>
      </c>
      <c r="Y681" s="7"/>
      <c r="Z681" s="206" t="s">
        <v>1062</v>
      </c>
      <c r="AA681" s="206"/>
      <c r="AC681" s="7"/>
      <c r="AD681" s="7"/>
      <c r="AE681" s="7"/>
      <c r="AG681" s="3" t="s">
        <v>732</v>
      </c>
      <c r="AH681" s="3">
        <v>25</v>
      </c>
      <c r="AI681" s="3">
        <v>26</v>
      </c>
      <c r="AJ681" s="200"/>
      <c r="AM681" s="3"/>
    </row>
    <row r="682" spans="1:39" x14ac:dyDescent="0.3">
      <c r="A682" s="5" t="str">
        <f t="shared" si="161"/>
        <v>BCV130</v>
      </c>
      <c r="B682" s="1" t="s">
        <v>1377</v>
      </c>
      <c r="C682" s="2" t="str">
        <f t="shared" si="157"/>
        <v>DIO1</v>
      </c>
      <c r="D682" s="2">
        <v>130</v>
      </c>
      <c r="E682" s="3">
        <f t="shared" si="158"/>
        <v>2</v>
      </c>
      <c r="F682" s="3">
        <f t="shared" si="159"/>
        <v>7</v>
      </c>
      <c r="G682" s="3">
        <v>0</v>
      </c>
      <c r="H682" s="60">
        <f t="shared" si="163"/>
        <v>2</v>
      </c>
      <c r="I682" s="54">
        <f t="shared" si="162"/>
        <v>13</v>
      </c>
      <c r="J682" s="61"/>
      <c r="K682" s="30"/>
      <c r="L682" s="1" t="s">
        <v>21</v>
      </c>
      <c r="M682" s="2"/>
      <c r="N682" s="40"/>
      <c r="P682" s="40"/>
      <c r="Q682" s="1" t="s">
        <v>302</v>
      </c>
      <c r="S682" s="13"/>
      <c r="V682" s="1" t="str">
        <f t="shared" si="160"/>
        <v>2.7\0.2:13</v>
      </c>
      <c r="Y682" s="7"/>
      <c r="Z682" s="206" t="s">
        <v>1062</v>
      </c>
      <c r="AA682" s="206"/>
      <c r="AC682" s="7"/>
      <c r="AD682" s="7"/>
      <c r="AE682" s="7"/>
      <c r="AG682" s="3" t="s">
        <v>732</v>
      </c>
      <c r="AH682" s="3">
        <v>27</v>
      </c>
      <c r="AI682" s="3">
        <v>28</v>
      </c>
      <c r="AJ682" s="200"/>
      <c r="AM682" s="3"/>
    </row>
    <row r="683" spans="1:39" x14ac:dyDescent="0.3">
      <c r="A683" s="5" t="str">
        <f t="shared" si="161"/>
        <v>BCV130</v>
      </c>
      <c r="B683" s="1" t="s">
        <v>1377</v>
      </c>
      <c r="C683" s="2" t="str">
        <f t="shared" si="157"/>
        <v>DIO1</v>
      </c>
      <c r="D683" s="2">
        <v>130</v>
      </c>
      <c r="E683" s="3">
        <f t="shared" si="158"/>
        <v>2</v>
      </c>
      <c r="F683" s="3">
        <f t="shared" si="159"/>
        <v>7</v>
      </c>
      <c r="G683" s="3">
        <v>0</v>
      </c>
      <c r="H683" s="60">
        <f t="shared" si="163"/>
        <v>2</v>
      </c>
      <c r="I683" s="54">
        <f t="shared" si="162"/>
        <v>14</v>
      </c>
      <c r="J683" s="61"/>
      <c r="K683" s="30"/>
      <c r="L683" s="1" t="s">
        <v>21</v>
      </c>
      <c r="M683" s="2"/>
      <c r="N683" s="40"/>
      <c r="P683" s="40"/>
      <c r="Q683" s="1" t="s">
        <v>302</v>
      </c>
      <c r="S683" s="13"/>
      <c r="V683" s="1" t="str">
        <f t="shared" si="160"/>
        <v>2.7\0.2:14</v>
      </c>
      <c r="Y683" s="7"/>
      <c r="Z683" s="206" t="s">
        <v>1062</v>
      </c>
      <c r="AA683" s="206"/>
      <c r="AC683" s="7"/>
      <c r="AD683" s="7"/>
      <c r="AE683" s="7"/>
      <c r="AG683" s="3" t="s">
        <v>732</v>
      </c>
      <c r="AH683" s="3">
        <v>29</v>
      </c>
      <c r="AI683" s="3">
        <v>30</v>
      </c>
      <c r="AJ683" s="200"/>
      <c r="AM683" s="3"/>
    </row>
    <row r="684" spans="1:39" x14ac:dyDescent="0.3">
      <c r="A684" s="5" t="str">
        <f t="shared" si="161"/>
        <v>BCV130</v>
      </c>
      <c r="B684" s="1" t="s">
        <v>1377</v>
      </c>
      <c r="C684" s="2" t="str">
        <f t="shared" si="157"/>
        <v>DIO1</v>
      </c>
      <c r="D684" s="2">
        <v>130</v>
      </c>
      <c r="E684" s="3">
        <f t="shared" si="158"/>
        <v>2</v>
      </c>
      <c r="F684" s="3">
        <f t="shared" si="159"/>
        <v>7</v>
      </c>
      <c r="G684" s="3">
        <v>0</v>
      </c>
      <c r="H684" s="60">
        <f t="shared" ref="H684:H700" si="164">H680</f>
        <v>2</v>
      </c>
      <c r="I684" s="54">
        <f t="shared" si="162"/>
        <v>15</v>
      </c>
      <c r="J684" s="61"/>
      <c r="K684" s="30"/>
      <c r="L684" s="1" t="s">
        <v>21</v>
      </c>
      <c r="V684" s="1" t="str">
        <f t="shared" si="160"/>
        <v>2.7\0.2:15</v>
      </c>
      <c r="Y684" s="7"/>
      <c r="Z684" s="206" t="s">
        <v>1062</v>
      </c>
      <c r="AA684" s="206"/>
      <c r="AC684" s="7"/>
      <c r="AD684" s="7"/>
      <c r="AE684" s="7"/>
      <c r="AG684" s="3" t="s">
        <v>732</v>
      </c>
      <c r="AH684" s="3">
        <v>31</v>
      </c>
      <c r="AI684" s="3">
        <v>32</v>
      </c>
      <c r="AJ684" s="200"/>
      <c r="AM684" s="3"/>
    </row>
    <row r="685" spans="1:39" x14ac:dyDescent="0.3">
      <c r="A685" s="5" t="str">
        <f t="shared" si="161"/>
        <v>BCV130</v>
      </c>
      <c r="B685" s="1" t="s">
        <v>1377</v>
      </c>
      <c r="C685" s="2" t="str">
        <f t="shared" si="157"/>
        <v>DIO1</v>
      </c>
      <c r="D685" s="2">
        <v>130</v>
      </c>
      <c r="E685" s="3">
        <f t="shared" si="158"/>
        <v>2</v>
      </c>
      <c r="F685" s="3">
        <f t="shared" si="159"/>
        <v>7</v>
      </c>
      <c r="G685" s="3">
        <v>0</v>
      </c>
      <c r="H685" s="60">
        <f t="shared" si="164"/>
        <v>2</v>
      </c>
      <c r="I685" s="54">
        <f t="shared" si="162"/>
        <v>16</v>
      </c>
      <c r="J685" s="61"/>
      <c r="K685" s="2"/>
      <c r="L685" s="1" t="s">
        <v>21</v>
      </c>
      <c r="M685" s="2">
        <v>7</v>
      </c>
      <c r="N685" s="1" t="s">
        <v>1402</v>
      </c>
      <c r="O685" s="1" t="s">
        <v>448</v>
      </c>
      <c r="P685" s="1" t="s">
        <v>1340</v>
      </c>
      <c r="Q685" s="1" t="s">
        <v>18</v>
      </c>
      <c r="S685" s="1" t="s">
        <v>1402</v>
      </c>
      <c r="V685" s="1" t="str">
        <f t="shared" si="160"/>
        <v>2.7\0.2:16</v>
      </c>
      <c r="W685" s="1" t="s">
        <v>1379</v>
      </c>
      <c r="Y685" s="7"/>
      <c r="Z685" s="206" t="s">
        <v>1062</v>
      </c>
      <c r="AA685" s="206"/>
      <c r="AC685" s="7"/>
      <c r="AD685" s="7"/>
      <c r="AE685" s="7"/>
      <c r="AG685" s="3" t="s">
        <v>1401</v>
      </c>
      <c r="AH685" s="3" t="s">
        <v>1401</v>
      </c>
      <c r="AI685" s="3" t="s">
        <v>1401</v>
      </c>
      <c r="AJ685" s="200"/>
      <c r="AM685" s="3"/>
    </row>
    <row r="686" spans="1:39" x14ac:dyDescent="0.3">
      <c r="A686" s="5" t="str">
        <f t="shared" si="161"/>
        <v>BCV130</v>
      </c>
      <c r="B686" s="1" t="s">
        <v>1377</v>
      </c>
      <c r="C686" s="2" t="str">
        <f t="shared" si="157"/>
        <v>DIO1</v>
      </c>
      <c r="D686" s="2">
        <v>130</v>
      </c>
      <c r="E686" s="3">
        <f t="shared" si="158"/>
        <v>2</v>
      </c>
      <c r="F686" s="3">
        <f t="shared" si="159"/>
        <v>7</v>
      </c>
      <c r="G686" s="3">
        <v>0</v>
      </c>
      <c r="H686" s="60">
        <f t="shared" si="164"/>
        <v>2</v>
      </c>
      <c r="I686" s="54">
        <f t="shared" si="162"/>
        <v>17</v>
      </c>
      <c r="J686" s="61"/>
      <c r="K686" s="30"/>
      <c r="L686" s="1" t="s">
        <v>21</v>
      </c>
      <c r="M686" s="2">
        <v>7</v>
      </c>
      <c r="N686" s="1" t="s">
        <v>1402</v>
      </c>
      <c r="O686" s="1" t="s">
        <v>435</v>
      </c>
      <c r="P686" s="1" t="s">
        <v>1338</v>
      </c>
      <c r="Q686" s="1" t="s">
        <v>1339</v>
      </c>
      <c r="S686" s="1" t="s">
        <v>1402</v>
      </c>
      <c r="V686" s="1" t="str">
        <f t="shared" si="160"/>
        <v>2.7\0.2:17</v>
      </c>
      <c r="W686" s="1" t="s">
        <v>1379</v>
      </c>
      <c r="Y686" s="7"/>
      <c r="Z686" s="206" t="s">
        <v>1062</v>
      </c>
      <c r="AA686" s="206"/>
      <c r="AC686" s="7"/>
      <c r="AD686" s="7"/>
      <c r="AE686" s="7"/>
      <c r="AG686" s="3" t="s">
        <v>1401</v>
      </c>
      <c r="AH686" s="3" t="s">
        <v>1401</v>
      </c>
      <c r="AI686" s="3" t="s">
        <v>1401</v>
      </c>
      <c r="AJ686" s="200"/>
      <c r="AM686" s="3"/>
    </row>
    <row r="687" spans="1:39" x14ac:dyDescent="0.3">
      <c r="A687" s="5" t="str">
        <f t="shared" si="161"/>
        <v>BCV130</v>
      </c>
      <c r="B687" s="1" t="s">
        <v>1377</v>
      </c>
      <c r="C687" s="2" t="str">
        <f t="shared" si="157"/>
        <v>DIO1</v>
      </c>
      <c r="D687" s="2">
        <v>130</v>
      </c>
      <c r="E687" s="3">
        <f t="shared" si="158"/>
        <v>2</v>
      </c>
      <c r="F687" s="3">
        <f t="shared" si="159"/>
        <v>7</v>
      </c>
      <c r="G687" s="3">
        <v>0</v>
      </c>
      <c r="H687" s="60">
        <f t="shared" si="164"/>
        <v>2</v>
      </c>
      <c r="I687" s="54">
        <f t="shared" si="162"/>
        <v>18</v>
      </c>
      <c r="J687" s="61"/>
      <c r="K687" s="30"/>
      <c r="L687" s="1" t="s">
        <v>21</v>
      </c>
      <c r="M687" s="2">
        <v>7</v>
      </c>
      <c r="N687" s="1" t="s">
        <v>1402</v>
      </c>
      <c r="O687" s="1" t="s">
        <v>422</v>
      </c>
      <c r="P687" s="1" t="s">
        <v>1338</v>
      </c>
      <c r="Q687" s="1" t="s">
        <v>1337</v>
      </c>
      <c r="S687" s="1" t="s">
        <v>1402</v>
      </c>
      <c r="V687" s="1" t="str">
        <f t="shared" si="160"/>
        <v>2.7\0.2:18</v>
      </c>
      <c r="W687" s="1" t="s">
        <v>1379</v>
      </c>
      <c r="Y687" s="7"/>
      <c r="Z687" s="206" t="s">
        <v>1062</v>
      </c>
      <c r="AA687" s="206"/>
      <c r="AC687" s="7"/>
      <c r="AD687" s="7"/>
      <c r="AE687" s="7"/>
      <c r="AG687" s="3" t="s">
        <v>1401</v>
      </c>
      <c r="AH687" s="3" t="s">
        <v>1401</v>
      </c>
      <c r="AI687" s="3" t="s">
        <v>1401</v>
      </c>
      <c r="AJ687" s="200"/>
      <c r="AM687" s="3"/>
    </row>
    <row r="688" spans="1:39" x14ac:dyDescent="0.3">
      <c r="A688" s="5" t="str">
        <f t="shared" si="161"/>
        <v>BCV130</v>
      </c>
      <c r="B688" s="1" t="s">
        <v>1377</v>
      </c>
      <c r="C688" s="2" t="str">
        <f t="shared" si="157"/>
        <v>DIO1</v>
      </c>
      <c r="D688" s="2">
        <v>130</v>
      </c>
      <c r="E688" s="3">
        <f t="shared" si="158"/>
        <v>2</v>
      </c>
      <c r="F688" s="3">
        <f t="shared" si="159"/>
        <v>7</v>
      </c>
      <c r="G688" s="3">
        <v>0</v>
      </c>
      <c r="H688" s="60">
        <f t="shared" si="164"/>
        <v>2</v>
      </c>
      <c r="I688" s="54">
        <f t="shared" si="162"/>
        <v>19</v>
      </c>
      <c r="J688" s="61"/>
      <c r="K688" s="30"/>
      <c r="L688" s="1" t="s">
        <v>21</v>
      </c>
      <c r="M688" s="2"/>
      <c r="N688" s="40"/>
      <c r="O688" s="220"/>
      <c r="P688" s="224"/>
      <c r="Q688" s="221" t="s">
        <v>302</v>
      </c>
      <c r="R688" s="220"/>
      <c r="S688" s="13"/>
      <c r="V688" s="1" t="str">
        <f t="shared" si="160"/>
        <v>2.7\0.2:19</v>
      </c>
      <c r="Y688" s="7"/>
      <c r="Z688" s="206" t="s">
        <v>1062</v>
      </c>
      <c r="AA688" s="206"/>
      <c r="AC688" s="7"/>
      <c r="AD688" s="7"/>
      <c r="AE688" s="7"/>
      <c r="AG688" s="3" t="s">
        <v>1401</v>
      </c>
      <c r="AH688" s="3" t="s">
        <v>1401</v>
      </c>
      <c r="AI688" s="3" t="s">
        <v>1401</v>
      </c>
      <c r="AJ688" s="200"/>
      <c r="AM688" s="3"/>
    </row>
    <row r="689" spans="1:39" x14ac:dyDescent="0.3">
      <c r="A689" s="5" t="str">
        <f t="shared" si="161"/>
        <v>BCV130</v>
      </c>
      <c r="B689" s="1" t="s">
        <v>1377</v>
      </c>
      <c r="C689" s="2" t="str">
        <f t="shared" si="157"/>
        <v>DIO1</v>
      </c>
      <c r="D689" s="2">
        <v>130</v>
      </c>
      <c r="E689" s="3">
        <f t="shared" si="158"/>
        <v>2</v>
      </c>
      <c r="F689" s="3">
        <f t="shared" si="159"/>
        <v>7</v>
      </c>
      <c r="G689" s="3">
        <v>0</v>
      </c>
      <c r="H689" s="60">
        <f t="shared" si="164"/>
        <v>2</v>
      </c>
      <c r="I689" s="54">
        <f t="shared" si="162"/>
        <v>20</v>
      </c>
      <c r="J689" s="61"/>
      <c r="K689" s="30"/>
      <c r="L689" s="1" t="s">
        <v>21</v>
      </c>
      <c r="M689" s="2"/>
      <c r="N689" s="40"/>
      <c r="O689" s="2"/>
      <c r="P689" s="40"/>
      <c r="Q689" s="2" t="s">
        <v>302</v>
      </c>
      <c r="R689" s="2"/>
      <c r="S689" s="13"/>
      <c r="V689" s="1" t="str">
        <f t="shared" si="160"/>
        <v>2.7\0.2:20</v>
      </c>
      <c r="Y689" s="7"/>
      <c r="Z689" s="206" t="s">
        <v>1062</v>
      </c>
      <c r="AA689" s="206"/>
      <c r="AC689" s="7"/>
      <c r="AD689" s="7"/>
      <c r="AE689" s="7"/>
      <c r="AG689" s="3" t="s">
        <v>668</v>
      </c>
      <c r="AH689" s="3">
        <v>9</v>
      </c>
      <c r="AI689" s="3">
        <v>10</v>
      </c>
      <c r="AJ689" s="200"/>
      <c r="AM689" s="3"/>
    </row>
    <row r="690" spans="1:39" x14ac:dyDescent="0.3">
      <c r="A690" s="5" t="str">
        <f t="shared" si="161"/>
        <v>BCV130</v>
      </c>
      <c r="B690" s="1" t="s">
        <v>1377</v>
      </c>
      <c r="C690" s="2" t="str">
        <f t="shared" si="157"/>
        <v>DIO1</v>
      </c>
      <c r="D690" s="2">
        <v>130</v>
      </c>
      <c r="E690" s="3">
        <f t="shared" si="158"/>
        <v>2</v>
      </c>
      <c r="F690" s="3">
        <f t="shared" si="159"/>
        <v>7</v>
      </c>
      <c r="G690" s="3">
        <v>0</v>
      </c>
      <c r="H690" s="60">
        <f t="shared" si="164"/>
        <v>2</v>
      </c>
      <c r="I690" s="54">
        <f t="shared" si="162"/>
        <v>21</v>
      </c>
      <c r="J690" s="61"/>
      <c r="K690" s="30"/>
      <c r="L690" s="1" t="s">
        <v>21</v>
      </c>
      <c r="M690" s="2"/>
      <c r="N690" s="40"/>
      <c r="O690" s="2"/>
      <c r="P690" s="40"/>
      <c r="Q690" s="2" t="s">
        <v>302</v>
      </c>
      <c r="R690" s="2"/>
      <c r="S690" s="13"/>
      <c r="V690" s="1" t="str">
        <f t="shared" si="160"/>
        <v>2.7\0.2:21</v>
      </c>
      <c r="Y690" s="7"/>
      <c r="Z690" s="206" t="s">
        <v>1062</v>
      </c>
      <c r="AA690" s="206"/>
      <c r="AC690" s="7"/>
      <c r="AD690" s="7"/>
      <c r="AE690" s="7"/>
      <c r="AG690" s="3" t="s">
        <v>668</v>
      </c>
      <c r="AH690" s="3">
        <v>11</v>
      </c>
      <c r="AI690" s="3">
        <v>12</v>
      </c>
      <c r="AJ690" s="200"/>
      <c r="AM690" s="3"/>
    </row>
    <row r="691" spans="1:39" x14ac:dyDescent="0.3">
      <c r="A691" s="5" t="str">
        <f t="shared" si="161"/>
        <v>BCV130</v>
      </c>
      <c r="B691" s="1" t="s">
        <v>1377</v>
      </c>
      <c r="C691" s="2" t="str">
        <f t="shared" si="157"/>
        <v>DIO1</v>
      </c>
      <c r="D691" s="2">
        <v>130</v>
      </c>
      <c r="E691" s="3">
        <f t="shared" si="158"/>
        <v>2</v>
      </c>
      <c r="F691" s="3">
        <f t="shared" si="159"/>
        <v>7</v>
      </c>
      <c r="G691" s="3">
        <v>0</v>
      </c>
      <c r="H691" s="60">
        <f t="shared" si="164"/>
        <v>2</v>
      </c>
      <c r="I691" s="54">
        <f t="shared" si="162"/>
        <v>22</v>
      </c>
      <c r="J691" s="61"/>
      <c r="K691" s="30"/>
      <c r="L691" s="1" t="s">
        <v>21</v>
      </c>
      <c r="M691" s="2"/>
      <c r="N691" s="40"/>
      <c r="O691" s="2"/>
      <c r="P691" s="40"/>
      <c r="Q691" s="2" t="s">
        <v>302</v>
      </c>
      <c r="R691" s="2"/>
      <c r="S691" s="13"/>
      <c r="V691" s="1" t="str">
        <f t="shared" si="160"/>
        <v>2.7\0.2:22</v>
      </c>
      <c r="Z691" s="206" t="s">
        <v>1062</v>
      </c>
      <c r="AG691" s="3" t="s">
        <v>668</v>
      </c>
      <c r="AH691" s="3">
        <v>13</v>
      </c>
      <c r="AI691" s="3">
        <v>14</v>
      </c>
      <c r="AJ691" s="200"/>
      <c r="AM691" s="3"/>
    </row>
    <row r="692" spans="1:39" x14ac:dyDescent="0.3">
      <c r="A692" s="5" t="str">
        <f t="shared" si="161"/>
        <v>BCV130</v>
      </c>
      <c r="B692" s="1" t="s">
        <v>1377</v>
      </c>
      <c r="C692" s="2" t="str">
        <f t="shared" si="157"/>
        <v>DIO1</v>
      </c>
      <c r="D692" s="2">
        <v>130</v>
      </c>
      <c r="E692" s="3">
        <f t="shared" si="158"/>
        <v>2</v>
      </c>
      <c r="F692" s="3">
        <f t="shared" si="159"/>
        <v>7</v>
      </c>
      <c r="G692" s="3">
        <v>0</v>
      </c>
      <c r="H692" s="60">
        <f t="shared" si="164"/>
        <v>2</v>
      </c>
      <c r="I692" s="54">
        <f t="shared" si="162"/>
        <v>23</v>
      </c>
      <c r="J692" s="61"/>
      <c r="K692" s="30"/>
      <c r="L692" s="1" t="s">
        <v>21</v>
      </c>
      <c r="M692" s="2"/>
      <c r="N692" s="40"/>
      <c r="O692" s="2"/>
      <c r="P692" s="40"/>
      <c r="Q692" s="2" t="s">
        <v>302</v>
      </c>
      <c r="R692" s="2"/>
      <c r="S692" s="13"/>
      <c r="V692" s="1" t="str">
        <f t="shared" si="160"/>
        <v>2.7\0.2:23</v>
      </c>
      <c r="Z692" s="206" t="s">
        <v>1062</v>
      </c>
      <c r="AG692" s="3" t="s">
        <v>668</v>
      </c>
      <c r="AH692" s="3">
        <v>15</v>
      </c>
      <c r="AI692" s="3">
        <v>16</v>
      </c>
      <c r="AJ692" s="200"/>
      <c r="AM692" s="3"/>
    </row>
    <row r="693" spans="1:39" x14ac:dyDescent="0.3">
      <c r="A693" s="5" t="str">
        <f t="shared" si="161"/>
        <v>BCV130</v>
      </c>
      <c r="B693" s="1" t="s">
        <v>1377</v>
      </c>
      <c r="C693" s="2" t="str">
        <f t="shared" si="157"/>
        <v>DIO1</v>
      </c>
      <c r="D693" s="2">
        <v>130</v>
      </c>
      <c r="E693" s="3">
        <f t="shared" si="158"/>
        <v>2</v>
      </c>
      <c r="F693" s="3">
        <f t="shared" si="159"/>
        <v>7</v>
      </c>
      <c r="G693" s="3">
        <v>0</v>
      </c>
      <c r="H693" s="60">
        <f t="shared" si="164"/>
        <v>2</v>
      </c>
      <c r="I693" s="54">
        <f t="shared" si="162"/>
        <v>24</v>
      </c>
      <c r="J693" s="61"/>
      <c r="K693" s="30"/>
      <c r="L693" s="1" t="s">
        <v>21</v>
      </c>
      <c r="M693" s="2"/>
      <c r="N693" s="40"/>
      <c r="O693" s="2"/>
      <c r="P693" s="40"/>
      <c r="Q693" s="2" t="s">
        <v>302</v>
      </c>
      <c r="R693" s="2"/>
      <c r="S693" s="13"/>
      <c r="V693" s="1" t="str">
        <f t="shared" si="160"/>
        <v>2.7\0.2:24</v>
      </c>
      <c r="Z693" s="206" t="s">
        <v>1062</v>
      </c>
      <c r="AG693" s="3" t="s">
        <v>668</v>
      </c>
      <c r="AH693" s="3">
        <v>17</v>
      </c>
      <c r="AI693" s="3">
        <v>18</v>
      </c>
      <c r="AJ693" s="200"/>
      <c r="AM693" s="3"/>
    </row>
    <row r="694" spans="1:39" x14ac:dyDescent="0.3">
      <c r="A694" s="5" t="str">
        <f t="shared" si="161"/>
        <v>BCV130</v>
      </c>
      <c r="B694" s="1" t="s">
        <v>1377</v>
      </c>
      <c r="C694" s="2" t="str">
        <f t="shared" si="157"/>
        <v>DIO1</v>
      </c>
      <c r="D694" s="2">
        <v>130</v>
      </c>
      <c r="E694" s="3">
        <f t="shared" si="158"/>
        <v>2</v>
      </c>
      <c r="F694" s="3">
        <f t="shared" si="159"/>
        <v>7</v>
      </c>
      <c r="G694" s="3">
        <v>0</v>
      </c>
      <c r="H694" s="60">
        <f t="shared" si="164"/>
        <v>2</v>
      </c>
      <c r="I694" s="54">
        <f t="shared" si="162"/>
        <v>25</v>
      </c>
      <c r="J694" s="61"/>
      <c r="K694" s="30"/>
      <c r="L694" s="1" t="s">
        <v>21</v>
      </c>
      <c r="M694" s="2"/>
      <c r="N694" s="40"/>
      <c r="P694" s="40"/>
      <c r="Q694" s="1" t="s">
        <v>302</v>
      </c>
      <c r="S694" s="13"/>
      <c r="V694" s="1" t="str">
        <f t="shared" si="160"/>
        <v>2.7\0.2:25</v>
      </c>
      <c r="Z694" s="206" t="s">
        <v>1062</v>
      </c>
      <c r="AG694" s="3" t="s">
        <v>668</v>
      </c>
      <c r="AH694" s="3">
        <v>19</v>
      </c>
      <c r="AI694" s="3">
        <v>20</v>
      </c>
      <c r="AJ694" s="200"/>
      <c r="AM694" s="3"/>
    </row>
    <row r="695" spans="1:39" x14ac:dyDescent="0.3">
      <c r="A695" s="5" t="str">
        <f t="shared" si="161"/>
        <v>BCV130</v>
      </c>
      <c r="B695" s="1" t="s">
        <v>1377</v>
      </c>
      <c r="C695" s="2" t="str">
        <f t="shared" si="157"/>
        <v>DIO1</v>
      </c>
      <c r="D695" s="2">
        <v>130</v>
      </c>
      <c r="E695" s="3">
        <f t="shared" si="158"/>
        <v>2</v>
      </c>
      <c r="F695" s="3">
        <f t="shared" si="159"/>
        <v>7</v>
      </c>
      <c r="G695" s="3">
        <v>0</v>
      </c>
      <c r="H695" s="60">
        <f t="shared" si="164"/>
        <v>2</v>
      </c>
      <c r="I695" s="54">
        <f t="shared" si="162"/>
        <v>26</v>
      </c>
      <c r="J695" s="61"/>
      <c r="K695" s="30"/>
      <c r="L695" s="1" t="s">
        <v>21</v>
      </c>
      <c r="M695" s="2"/>
      <c r="N695" s="40"/>
      <c r="P695" s="40"/>
      <c r="Q695" s="1" t="s">
        <v>302</v>
      </c>
      <c r="S695" s="13"/>
      <c r="V695" s="1" t="str">
        <f t="shared" si="160"/>
        <v>2.7\0.2:26</v>
      </c>
      <c r="Z695" s="206" t="s">
        <v>1062</v>
      </c>
      <c r="AG695" s="3" t="s">
        <v>668</v>
      </c>
      <c r="AH695" s="3">
        <v>21</v>
      </c>
      <c r="AI695" s="3">
        <v>22</v>
      </c>
      <c r="AJ695" s="200"/>
      <c r="AM695" s="3"/>
    </row>
    <row r="696" spans="1:39" x14ac:dyDescent="0.3">
      <c r="A696" s="5" t="str">
        <f t="shared" si="161"/>
        <v>BCV130</v>
      </c>
      <c r="B696" s="1" t="s">
        <v>1377</v>
      </c>
      <c r="C696" s="2" t="str">
        <f t="shared" si="157"/>
        <v>DIO1</v>
      </c>
      <c r="D696" s="2">
        <v>130</v>
      </c>
      <c r="E696" s="3">
        <f t="shared" si="158"/>
        <v>2</v>
      </c>
      <c r="F696" s="3">
        <f t="shared" si="159"/>
        <v>7</v>
      </c>
      <c r="G696" s="3">
        <v>0</v>
      </c>
      <c r="H696" s="60">
        <f t="shared" si="164"/>
        <v>2</v>
      </c>
      <c r="I696" s="54">
        <f t="shared" si="162"/>
        <v>27</v>
      </c>
      <c r="J696" s="61"/>
      <c r="K696" s="30"/>
      <c r="L696" s="1" t="s">
        <v>21</v>
      </c>
      <c r="M696" s="2"/>
      <c r="N696" s="40"/>
      <c r="P696" s="40"/>
      <c r="Q696" s="1" t="s">
        <v>302</v>
      </c>
      <c r="S696" s="13"/>
      <c r="V696" s="1" t="str">
        <f t="shared" si="160"/>
        <v>2.7\0.2:27</v>
      </c>
      <c r="Z696" s="206" t="s">
        <v>1062</v>
      </c>
      <c r="AG696" s="3" t="s">
        <v>668</v>
      </c>
      <c r="AH696" s="3">
        <v>23</v>
      </c>
      <c r="AI696" s="3">
        <v>24</v>
      </c>
      <c r="AJ696" s="200"/>
      <c r="AM696" s="3"/>
    </row>
    <row r="697" spans="1:39" x14ac:dyDescent="0.3">
      <c r="A697" s="5" t="str">
        <f t="shared" si="161"/>
        <v>BCV130</v>
      </c>
      <c r="B697" s="1" t="s">
        <v>1377</v>
      </c>
      <c r="C697" s="2" t="str">
        <f t="shared" si="157"/>
        <v>DIO1</v>
      </c>
      <c r="D697" s="2">
        <v>130</v>
      </c>
      <c r="E697" s="3">
        <f t="shared" si="158"/>
        <v>2</v>
      </c>
      <c r="F697" s="3">
        <f t="shared" si="159"/>
        <v>7</v>
      </c>
      <c r="G697" s="3">
        <v>0</v>
      </c>
      <c r="H697" s="60">
        <f t="shared" si="164"/>
        <v>2</v>
      </c>
      <c r="I697" s="54">
        <f t="shared" si="162"/>
        <v>28</v>
      </c>
      <c r="J697" s="61"/>
      <c r="K697" s="30"/>
      <c r="L697" s="1" t="s">
        <v>21</v>
      </c>
      <c r="M697" s="2"/>
      <c r="N697" s="40"/>
      <c r="P697" s="40"/>
      <c r="Q697" s="1" t="s">
        <v>302</v>
      </c>
      <c r="S697" s="13"/>
      <c r="V697" s="1" t="str">
        <f t="shared" si="160"/>
        <v>2.7\0.2:28</v>
      </c>
      <c r="Z697" s="206" t="s">
        <v>1062</v>
      </c>
      <c r="AG697" s="3" t="s">
        <v>668</v>
      </c>
      <c r="AH697" s="3">
        <v>25</v>
      </c>
      <c r="AI697" s="3">
        <v>26</v>
      </c>
      <c r="AJ697" s="200"/>
      <c r="AM697" s="3"/>
    </row>
    <row r="698" spans="1:39" x14ac:dyDescent="0.3">
      <c r="A698" s="5" t="str">
        <f t="shared" si="161"/>
        <v>BCV130</v>
      </c>
      <c r="B698" s="1" t="s">
        <v>1377</v>
      </c>
      <c r="C698" s="2" t="str">
        <f t="shared" ref="C698:C729" si="165">+C697</f>
        <v>DIO1</v>
      </c>
      <c r="D698" s="2">
        <v>130</v>
      </c>
      <c r="E698" s="3">
        <f t="shared" ref="E698:E729" si="166">+E697</f>
        <v>2</v>
      </c>
      <c r="F698" s="3">
        <f t="shared" ref="F698:F729" si="167">+F697</f>
        <v>7</v>
      </c>
      <c r="G698" s="3">
        <v>0</v>
      </c>
      <c r="H698" s="60">
        <f t="shared" si="164"/>
        <v>2</v>
      </c>
      <c r="I698" s="54">
        <f t="shared" si="162"/>
        <v>29</v>
      </c>
      <c r="J698" s="61"/>
      <c r="K698" s="30"/>
      <c r="L698" s="1" t="s">
        <v>21</v>
      </c>
      <c r="M698" s="2"/>
      <c r="N698" s="40"/>
      <c r="P698" s="40"/>
      <c r="Q698" s="1" t="s">
        <v>302</v>
      </c>
      <c r="S698" s="13"/>
      <c r="V698" s="1" t="str">
        <f t="shared" si="160"/>
        <v>2.7\0.2:29</v>
      </c>
      <c r="Z698" s="206" t="s">
        <v>1062</v>
      </c>
      <c r="AG698" s="3" t="s">
        <v>668</v>
      </c>
      <c r="AH698" s="3">
        <v>27</v>
      </c>
      <c r="AI698" s="3">
        <v>28</v>
      </c>
      <c r="AJ698" s="200"/>
      <c r="AM698" s="3"/>
    </row>
    <row r="699" spans="1:39" x14ac:dyDescent="0.3">
      <c r="A699" s="5" t="str">
        <f t="shared" si="161"/>
        <v>BCV130</v>
      </c>
      <c r="B699" s="1" t="s">
        <v>1377</v>
      </c>
      <c r="C699" s="2" t="str">
        <f t="shared" si="165"/>
        <v>DIO1</v>
      </c>
      <c r="D699" s="2">
        <v>130</v>
      </c>
      <c r="E699" s="3">
        <f t="shared" si="166"/>
        <v>2</v>
      </c>
      <c r="F699" s="3">
        <f t="shared" si="167"/>
        <v>7</v>
      </c>
      <c r="G699" s="3">
        <v>0</v>
      </c>
      <c r="H699" s="60">
        <f t="shared" si="164"/>
        <v>2</v>
      </c>
      <c r="I699" s="54">
        <f t="shared" si="162"/>
        <v>30</v>
      </c>
      <c r="J699" s="61"/>
      <c r="K699" s="30"/>
      <c r="L699" s="1" t="s">
        <v>21</v>
      </c>
      <c r="M699" s="2"/>
      <c r="N699" s="40"/>
      <c r="P699" s="40"/>
      <c r="Q699" s="1" t="s">
        <v>302</v>
      </c>
      <c r="S699" s="13"/>
      <c r="V699" s="1" t="str">
        <f t="shared" si="160"/>
        <v>2.7\0.2:30</v>
      </c>
      <c r="Z699" s="206" t="s">
        <v>1062</v>
      </c>
      <c r="AG699" s="3" t="s">
        <v>668</v>
      </c>
      <c r="AH699" s="3">
        <v>29</v>
      </c>
      <c r="AI699" s="3">
        <v>30</v>
      </c>
      <c r="AJ699" s="200"/>
      <c r="AM699" s="3"/>
    </row>
    <row r="700" spans="1:39" ht="13.5" thickBot="1" x14ac:dyDescent="0.35">
      <c r="A700" s="5" t="str">
        <f t="shared" si="161"/>
        <v>BCV130</v>
      </c>
      <c r="B700" s="1" t="s">
        <v>1377</v>
      </c>
      <c r="C700" s="2" t="str">
        <f t="shared" si="165"/>
        <v>DIO1</v>
      </c>
      <c r="D700" s="2">
        <v>130</v>
      </c>
      <c r="E700" s="3">
        <f t="shared" si="166"/>
        <v>2</v>
      </c>
      <c r="F700" s="3">
        <f t="shared" si="167"/>
        <v>7</v>
      </c>
      <c r="G700" s="3">
        <v>0</v>
      </c>
      <c r="H700" s="60">
        <f t="shared" si="164"/>
        <v>2</v>
      </c>
      <c r="I700" s="59">
        <f t="shared" si="162"/>
        <v>31</v>
      </c>
      <c r="J700" s="58"/>
      <c r="K700" s="30"/>
      <c r="L700" s="1" t="s">
        <v>21</v>
      </c>
      <c r="M700" s="2"/>
      <c r="N700" s="40"/>
      <c r="P700" s="40"/>
      <c r="Q700" s="1" t="s">
        <v>302</v>
      </c>
      <c r="S700" s="13"/>
      <c r="V700" s="1" t="str">
        <f t="shared" si="160"/>
        <v>2.7\0.2:31</v>
      </c>
      <c r="Z700" s="206" t="s">
        <v>1062</v>
      </c>
      <c r="AG700" s="3" t="s">
        <v>668</v>
      </c>
      <c r="AH700" s="3">
        <v>31</v>
      </c>
      <c r="AI700" s="3">
        <v>32</v>
      </c>
      <c r="AJ700" s="200"/>
      <c r="AM700" s="3"/>
    </row>
    <row r="701" spans="1:39" x14ac:dyDescent="0.3">
      <c r="A701" s="76" t="s">
        <v>17</v>
      </c>
      <c r="B701" s="1" t="s">
        <v>1377</v>
      </c>
      <c r="C701" s="2" t="str">
        <f t="shared" si="165"/>
        <v>DIO1</v>
      </c>
      <c r="D701" s="2">
        <v>130</v>
      </c>
      <c r="E701" s="3">
        <f t="shared" si="166"/>
        <v>2</v>
      </c>
      <c r="F701" s="3">
        <f t="shared" si="167"/>
        <v>7</v>
      </c>
      <c r="G701" s="3">
        <v>0</v>
      </c>
      <c r="H701" s="62">
        <v>3</v>
      </c>
      <c r="I701" s="56">
        <v>0</v>
      </c>
      <c r="J701" s="79" t="s">
        <v>549</v>
      </c>
      <c r="K701" s="2" t="s">
        <v>548</v>
      </c>
      <c r="L701" s="30" t="s">
        <v>42</v>
      </c>
      <c r="M701" s="2">
        <v>4</v>
      </c>
      <c r="N701" s="1" t="s">
        <v>1400</v>
      </c>
      <c r="O701" s="1" t="s">
        <v>1399</v>
      </c>
      <c r="P701" s="1" t="s">
        <v>1034</v>
      </c>
      <c r="Q701" s="1" t="s">
        <v>1267</v>
      </c>
      <c r="S701" s="13"/>
      <c r="T701" s="1" t="s">
        <v>17</v>
      </c>
      <c r="V701" s="1" t="str">
        <f t="shared" ref="V701:V732" si="168">+CONCATENATE(E701,".",F701,"\",G701,".",H701,":",I701)</f>
        <v>2.7\0.3:0</v>
      </c>
      <c r="W701" s="1" t="s">
        <v>1379</v>
      </c>
      <c r="X701" s="18">
        <v>0</v>
      </c>
      <c r="Z701" s="206" t="s">
        <v>1062</v>
      </c>
      <c r="AG701" s="3" t="s">
        <v>588</v>
      </c>
      <c r="AH701" s="3">
        <v>1</v>
      </c>
      <c r="AI701" s="3">
        <v>2</v>
      </c>
      <c r="AJ701" s="200"/>
      <c r="AM701" s="3"/>
    </row>
    <row r="702" spans="1:39" x14ac:dyDescent="0.3">
      <c r="A702" s="5" t="str">
        <f t="shared" ref="A702:A716" si="169">A701</f>
        <v>BCV130</v>
      </c>
      <c r="B702" s="1" t="s">
        <v>1377</v>
      </c>
      <c r="C702" s="2" t="str">
        <f t="shared" si="165"/>
        <v>DIO1</v>
      </c>
      <c r="D702" s="2">
        <v>130</v>
      </c>
      <c r="E702" s="3">
        <f t="shared" si="166"/>
        <v>2</v>
      </c>
      <c r="F702" s="3">
        <f t="shared" si="167"/>
        <v>7</v>
      </c>
      <c r="G702" s="3">
        <v>0</v>
      </c>
      <c r="H702" s="60">
        <f>H701</f>
        <v>3</v>
      </c>
      <c r="I702" s="54">
        <f t="shared" ref="I702:I716" si="170">+I701+1</f>
        <v>1</v>
      </c>
      <c r="J702" s="78"/>
      <c r="K702" s="30"/>
      <c r="L702" s="30" t="s">
        <v>42</v>
      </c>
      <c r="M702" s="2">
        <v>4</v>
      </c>
      <c r="N702" s="1" t="s">
        <v>1398</v>
      </c>
      <c r="O702" s="1" t="s">
        <v>1397</v>
      </c>
      <c r="P702" s="1" t="s">
        <v>1034</v>
      </c>
      <c r="Q702" s="1" t="s">
        <v>1396</v>
      </c>
      <c r="R702" s="1" t="s">
        <v>302</v>
      </c>
      <c r="S702" s="13"/>
      <c r="T702" s="1" t="s">
        <v>17</v>
      </c>
      <c r="V702" s="1" t="str">
        <f t="shared" si="168"/>
        <v>2.7\0.3:1</v>
      </c>
      <c r="W702" s="1" t="s">
        <v>1379</v>
      </c>
      <c r="X702" s="18">
        <v>0</v>
      </c>
      <c r="Z702" s="206" t="s">
        <v>1062</v>
      </c>
      <c r="AG702" s="3" t="s">
        <v>588</v>
      </c>
      <c r="AH702" s="3">
        <v>3</v>
      </c>
      <c r="AI702" s="3">
        <v>4</v>
      </c>
      <c r="AJ702" s="200"/>
      <c r="AM702" s="3"/>
    </row>
    <row r="703" spans="1:39" x14ac:dyDescent="0.3">
      <c r="A703" s="5" t="str">
        <f t="shared" si="169"/>
        <v>BCV130</v>
      </c>
      <c r="B703" s="1" t="s">
        <v>1377</v>
      </c>
      <c r="C703" s="2" t="str">
        <f t="shared" si="165"/>
        <v>DIO1</v>
      </c>
      <c r="D703" s="2">
        <v>130</v>
      </c>
      <c r="E703" s="3">
        <f t="shared" si="166"/>
        <v>2</v>
      </c>
      <c r="F703" s="3">
        <f t="shared" si="167"/>
        <v>7</v>
      </c>
      <c r="G703" s="3">
        <v>0</v>
      </c>
      <c r="H703" s="55">
        <f t="shared" ref="H703:H716" si="171">+H702</f>
        <v>3</v>
      </c>
      <c r="I703" s="54">
        <f t="shared" si="170"/>
        <v>2</v>
      </c>
      <c r="J703" s="78"/>
      <c r="K703" s="27"/>
      <c r="L703" s="30" t="s">
        <v>42</v>
      </c>
      <c r="M703" s="2">
        <v>4</v>
      </c>
      <c r="N703" s="1" t="s">
        <v>1395</v>
      </c>
      <c r="O703" s="1" t="s">
        <v>1394</v>
      </c>
      <c r="P703" s="1" t="s">
        <v>1034</v>
      </c>
      <c r="Q703" s="1" t="s">
        <v>1393</v>
      </c>
      <c r="R703" s="1" t="s">
        <v>302</v>
      </c>
      <c r="S703" s="13"/>
      <c r="T703" s="1" t="s">
        <v>17</v>
      </c>
      <c r="V703" s="1" t="str">
        <f t="shared" si="168"/>
        <v>2.7\0.3:2</v>
      </c>
      <c r="W703" s="1" t="s">
        <v>1379</v>
      </c>
      <c r="X703" s="18">
        <v>0</v>
      </c>
      <c r="Z703" s="206" t="s">
        <v>1062</v>
      </c>
      <c r="AG703" s="3" t="s">
        <v>588</v>
      </c>
      <c r="AH703" s="3">
        <v>5</v>
      </c>
      <c r="AI703" s="3">
        <v>6</v>
      </c>
      <c r="AJ703" s="200"/>
      <c r="AM703" s="3"/>
    </row>
    <row r="704" spans="1:39" x14ac:dyDescent="0.3">
      <c r="A704" s="5" t="str">
        <f t="shared" si="169"/>
        <v>BCV130</v>
      </c>
      <c r="B704" s="1" t="s">
        <v>1377</v>
      </c>
      <c r="C704" s="2" t="str">
        <f t="shared" si="165"/>
        <v>DIO1</v>
      </c>
      <c r="D704" s="2">
        <v>130</v>
      </c>
      <c r="E704" s="3">
        <f t="shared" si="166"/>
        <v>2</v>
      </c>
      <c r="F704" s="3">
        <f t="shared" si="167"/>
        <v>7</v>
      </c>
      <c r="G704" s="3">
        <v>0</v>
      </c>
      <c r="H704" s="55">
        <f t="shared" si="171"/>
        <v>3</v>
      </c>
      <c r="I704" s="54">
        <f t="shared" si="170"/>
        <v>3</v>
      </c>
      <c r="J704" s="78"/>
      <c r="K704" s="27"/>
      <c r="L704" s="30" t="s">
        <v>42</v>
      </c>
      <c r="M704" s="2">
        <v>4</v>
      </c>
      <c r="N704" s="1" t="s">
        <v>1392</v>
      </c>
      <c r="O704" s="1" t="s">
        <v>1391</v>
      </c>
      <c r="P704" s="1" t="s">
        <v>1034</v>
      </c>
      <c r="Q704" s="4" t="s">
        <v>1390</v>
      </c>
      <c r="R704" s="4"/>
      <c r="S704" s="13"/>
      <c r="T704" s="1" t="s">
        <v>17</v>
      </c>
      <c r="V704" s="1" t="str">
        <f t="shared" si="168"/>
        <v>2.7\0.3:3</v>
      </c>
      <c r="W704" s="1" t="s">
        <v>1379</v>
      </c>
      <c r="X704" s="18">
        <v>0</v>
      </c>
      <c r="Z704" s="206" t="s">
        <v>1062</v>
      </c>
      <c r="AG704" s="3" t="s">
        <v>588</v>
      </c>
      <c r="AH704" s="3">
        <v>7</v>
      </c>
      <c r="AI704" s="3">
        <v>8</v>
      </c>
      <c r="AJ704" s="200"/>
      <c r="AM704" s="3"/>
    </row>
    <row r="705" spans="1:39" x14ac:dyDescent="0.3">
      <c r="A705" s="5" t="str">
        <f t="shared" si="169"/>
        <v>BCV130</v>
      </c>
      <c r="B705" s="1" t="s">
        <v>1377</v>
      </c>
      <c r="C705" s="2" t="str">
        <f t="shared" si="165"/>
        <v>DIO1</v>
      </c>
      <c r="D705" s="2">
        <v>130</v>
      </c>
      <c r="E705" s="3">
        <f t="shared" si="166"/>
        <v>2</v>
      </c>
      <c r="F705" s="3">
        <f t="shared" si="167"/>
        <v>7</v>
      </c>
      <c r="G705" s="3">
        <v>0</v>
      </c>
      <c r="H705" s="55">
        <f t="shared" si="171"/>
        <v>3</v>
      </c>
      <c r="I705" s="54">
        <f t="shared" si="170"/>
        <v>4</v>
      </c>
      <c r="J705" s="78"/>
      <c r="K705" s="27"/>
      <c r="L705" s="30" t="s">
        <v>42</v>
      </c>
      <c r="M705" s="2"/>
      <c r="Q705" s="4"/>
      <c r="R705" s="4"/>
      <c r="S705" s="13"/>
      <c r="V705" s="1" t="str">
        <f t="shared" si="168"/>
        <v>2.7\0.3:4</v>
      </c>
      <c r="Z705" s="206" t="s">
        <v>1062</v>
      </c>
      <c r="AG705" s="3" t="s">
        <v>588</v>
      </c>
      <c r="AH705" s="3">
        <v>9</v>
      </c>
      <c r="AI705" s="3">
        <v>10</v>
      </c>
      <c r="AJ705" s="200"/>
      <c r="AM705" s="3"/>
    </row>
    <row r="706" spans="1:39" x14ac:dyDescent="0.3">
      <c r="A706" s="5" t="str">
        <f t="shared" si="169"/>
        <v>BCV130</v>
      </c>
      <c r="B706" s="1" t="s">
        <v>1377</v>
      </c>
      <c r="C706" s="2" t="str">
        <f t="shared" si="165"/>
        <v>DIO1</v>
      </c>
      <c r="D706" s="2">
        <v>130</v>
      </c>
      <c r="E706" s="3">
        <f t="shared" si="166"/>
        <v>2</v>
      </c>
      <c r="F706" s="3">
        <f t="shared" si="167"/>
        <v>7</v>
      </c>
      <c r="G706" s="3">
        <v>0</v>
      </c>
      <c r="H706" s="55">
        <f t="shared" si="171"/>
        <v>3</v>
      </c>
      <c r="I706" s="54">
        <f t="shared" si="170"/>
        <v>5</v>
      </c>
      <c r="J706" s="78"/>
      <c r="K706" s="27"/>
      <c r="L706" s="30" t="s">
        <v>42</v>
      </c>
      <c r="M706" s="2"/>
      <c r="S706" s="13"/>
      <c r="V706" s="1" t="str">
        <f t="shared" si="168"/>
        <v>2.7\0.3:5</v>
      </c>
      <c r="Z706" s="206" t="s">
        <v>1062</v>
      </c>
      <c r="AG706" s="3" t="s">
        <v>588</v>
      </c>
      <c r="AH706" s="3">
        <v>11</v>
      </c>
      <c r="AI706" s="3">
        <v>12</v>
      </c>
      <c r="AJ706" s="200"/>
      <c r="AM706" s="3"/>
    </row>
    <row r="707" spans="1:39" x14ac:dyDescent="0.3">
      <c r="A707" s="5" t="str">
        <f t="shared" si="169"/>
        <v>BCV130</v>
      </c>
      <c r="B707" s="1" t="s">
        <v>1377</v>
      </c>
      <c r="C707" s="2" t="str">
        <f t="shared" si="165"/>
        <v>DIO1</v>
      </c>
      <c r="D707" s="2">
        <v>130</v>
      </c>
      <c r="E707" s="3">
        <f t="shared" si="166"/>
        <v>2</v>
      </c>
      <c r="F707" s="3">
        <f t="shared" si="167"/>
        <v>7</v>
      </c>
      <c r="G707" s="3">
        <v>0</v>
      </c>
      <c r="H707" s="55">
        <f t="shared" si="171"/>
        <v>3</v>
      </c>
      <c r="I707" s="54">
        <f t="shared" si="170"/>
        <v>6</v>
      </c>
      <c r="J707" s="78"/>
      <c r="K707" s="27"/>
      <c r="L707" s="30" t="s">
        <v>42</v>
      </c>
      <c r="M707" s="2"/>
      <c r="S707" s="13"/>
      <c r="V707" s="1" t="str">
        <f t="shared" si="168"/>
        <v>2.7\0.3:6</v>
      </c>
      <c r="Z707" s="206" t="s">
        <v>1062</v>
      </c>
      <c r="AG707" s="3" t="s">
        <v>588</v>
      </c>
      <c r="AH707" s="3">
        <v>13</v>
      </c>
      <c r="AI707" s="3">
        <v>14</v>
      </c>
      <c r="AJ707" s="200"/>
    </row>
    <row r="708" spans="1:39" x14ac:dyDescent="0.3">
      <c r="A708" s="5" t="str">
        <f t="shared" si="169"/>
        <v>BCV130</v>
      </c>
      <c r="B708" s="1" t="s">
        <v>1377</v>
      </c>
      <c r="C708" s="2" t="str">
        <f t="shared" si="165"/>
        <v>DIO1</v>
      </c>
      <c r="D708" s="2">
        <v>130</v>
      </c>
      <c r="E708" s="3">
        <f t="shared" si="166"/>
        <v>2</v>
      </c>
      <c r="F708" s="3">
        <f t="shared" si="167"/>
        <v>7</v>
      </c>
      <c r="G708" s="3">
        <v>0</v>
      </c>
      <c r="H708" s="55">
        <f t="shared" si="171"/>
        <v>3</v>
      </c>
      <c r="I708" s="54">
        <f t="shared" si="170"/>
        <v>7</v>
      </c>
      <c r="J708" s="78"/>
      <c r="K708" s="27"/>
      <c r="L708" s="30" t="s">
        <v>42</v>
      </c>
      <c r="M708" s="2"/>
      <c r="S708" s="13"/>
      <c r="V708" s="1" t="str">
        <f t="shared" si="168"/>
        <v>2.7\0.3:7</v>
      </c>
      <c r="Z708" s="206" t="s">
        <v>1062</v>
      </c>
      <c r="AG708" s="3" t="s">
        <v>588</v>
      </c>
      <c r="AH708" s="3">
        <v>15</v>
      </c>
      <c r="AI708" s="3">
        <v>16</v>
      </c>
      <c r="AJ708" s="200"/>
      <c r="AM708" s="3"/>
    </row>
    <row r="709" spans="1:39" x14ac:dyDescent="0.3">
      <c r="A709" s="5" t="str">
        <f t="shared" si="169"/>
        <v>BCV130</v>
      </c>
      <c r="B709" s="1" t="s">
        <v>1377</v>
      </c>
      <c r="C709" s="2" t="str">
        <f t="shared" si="165"/>
        <v>DIO1</v>
      </c>
      <c r="D709" s="2">
        <v>130</v>
      </c>
      <c r="E709" s="3">
        <f t="shared" si="166"/>
        <v>2</v>
      </c>
      <c r="F709" s="3">
        <f t="shared" si="167"/>
        <v>7</v>
      </c>
      <c r="G709" s="3">
        <v>0</v>
      </c>
      <c r="H709" s="55">
        <f t="shared" si="171"/>
        <v>3</v>
      </c>
      <c r="I709" s="54">
        <f t="shared" si="170"/>
        <v>8</v>
      </c>
      <c r="J709" s="78"/>
      <c r="K709" s="27"/>
      <c r="L709" s="30" t="s">
        <v>42</v>
      </c>
      <c r="M709" s="2"/>
      <c r="V709" s="1" t="str">
        <f t="shared" si="168"/>
        <v>2.7\0.3:8</v>
      </c>
      <c r="Z709" s="206" t="s">
        <v>1062</v>
      </c>
      <c r="AG709" s="3" t="s">
        <v>588</v>
      </c>
      <c r="AH709" s="3">
        <v>17</v>
      </c>
      <c r="AI709" s="3">
        <v>18</v>
      </c>
      <c r="AJ709" s="200"/>
      <c r="AM709" s="3"/>
    </row>
    <row r="710" spans="1:39" x14ac:dyDescent="0.3">
      <c r="A710" s="5" t="str">
        <f t="shared" si="169"/>
        <v>BCV130</v>
      </c>
      <c r="B710" s="1" t="s">
        <v>1377</v>
      </c>
      <c r="C710" s="2" t="str">
        <f t="shared" si="165"/>
        <v>DIO1</v>
      </c>
      <c r="D710" s="2">
        <v>130</v>
      </c>
      <c r="E710" s="3">
        <f t="shared" si="166"/>
        <v>2</v>
      </c>
      <c r="F710" s="3">
        <f t="shared" si="167"/>
        <v>7</v>
      </c>
      <c r="G710" s="3">
        <v>0</v>
      </c>
      <c r="H710" s="55">
        <f t="shared" si="171"/>
        <v>3</v>
      </c>
      <c r="I710" s="54">
        <f t="shared" si="170"/>
        <v>9</v>
      </c>
      <c r="J710" s="78"/>
      <c r="K710" s="27"/>
      <c r="L710" s="30" t="s">
        <v>42</v>
      </c>
      <c r="M710" s="2"/>
      <c r="S710" s="13"/>
      <c r="V710" s="1" t="str">
        <f t="shared" si="168"/>
        <v>2.7\0.3:9</v>
      </c>
      <c r="Z710" s="206" t="s">
        <v>1062</v>
      </c>
      <c r="AG710" s="3" t="s">
        <v>588</v>
      </c>
      <c r="AH710" s="3">
        <v>19</v>
      </c>
      <c r="AI710" s="3">
        <v>20</v>
      </c>
      <c r="AJ710" s="200"/>
      <c r="AM710" s="3"/>
    </row>
    <row r="711" spans="1:39" x14ac:dyDescent="0.3">
      <c r="A711" s="5" t="str">
        <f t="shared" si="169"/>
        <v>BCV130</v>
      </c>
      <c r="B711" s="1" t="s">
        <v>1377</v>
      </c>
      <c r="C711" s="2" t="str">
        <f t="shared" si="165"/>
        <v>DIO1</v>
      </c>
      <c r="D711" s="2">
        <v>130</v>
      </c>
      <c r="E711" s="3">
        <f t="shared" si="166"/>
        <v>2</v>
      </c>
      <c r="F711" s="3">
        <f t="shared" si="167"/>
        <v>7</v>
      </c>
      <c r="G711" s="3">
        <v>0</v>
      </c>
      <c r="H711" s="55">
        <f t="shared" si="171"/>
        <v>3</v>
      </c>
      <c r="I711" s="54">
        <f t="shared" si="170"/>
        <v>10</v>
      </c>
      <c r="J711" s="78"/>
      <c r="K711" s="27"/>
      <c r="L711" s="30" t="s">
        <v>42</v>
      </c>
      <c r="M711" s="2"/>
      <c r="Q711" s="232"/>
      <c r="S711" s="13"/>
      <c r="V711" s="1" t="str">
        <f t="shared" si="168"/>
        <v>2.7\0.3:10</v>
      </c>
      <c r="Z711" s="206" t="s">
        <v>1062</v>
      </c>
      <c r="AG711" s="3" t="s">
        <v>588</v>
      </c>
      <c r="AH711" s="3">
        <v>21</v>
      </c>
      <c r="AI711" s="3">
        <v>22</v>
      </c>
      <c r="AJ711" s="200"/>
      <c r="AM711" s="3"/>
    </row>
    <row r="712" spans="1:39" x14ac:dyDescent="0.3">
      <c r="A712" s="5" t="str">
        <f t="shared" si="169"/>
        <v>BCV130</v>
      </c>
      <c r="B712" s="1" t="s">
        <v>1377</v>
      </c>
      <c r="C712" s="2" t="str">
        <f t="shared" si="165"/>
        <v>DIO1</v>
      </c>
      <c r="D712" s="2">
        <v>130</v>
      </c>
      <c r="E712" s="3">
        <f t="shared" si="166"/>
        <v>2</v>
      </c>
      <c r="F712" s="3">
        <f t="shared" si="167"/>
        <v>7</v>
      </c>
      <c r="G712" s="3">
        <v>0</v>
      </c>
      <c r="H712" s="55">
        <f t="shared" si="171"/>
        <v>3</v>
      </c>
      <c r="I712" s="54">
        <f t="shared" si="170"/>
        <v>11</v>
      </c>
      <c r="J712" s="78"/>
      <c r="K712" s="27"/>
      <c r="L712" s="30" t="s">
        <v>42</v>
      </c>
      <c r="M712" s="2"/>
      <c r="S712" s="13"/>
      <c r="V712" s="1" t="str">
        <f t="shared" si="168"/>
        <v>2.7\0.3:11</v>
      </c>
      <c r="Z712" s="206" t="s">
        <v>1062</v>
      </c>
      <c r="AG712" s="3" t="s">
        <v>588</v>
      </c>
      <c r="AH712" s="3">
        <v>23</v>
      </c>
      <c r="AI712" s="3">
        <v>24</v>
      </c>
      <c r="AJ712" s="200"/>
      <c r="AM712" s="3"/>
    </row>
    <row r="713" spans="1:39" x14ac:dyDescent="0.3">
      <c r="A713" s="5" t="str">
        <f t="shared" si="169"/>
        <v>BCV130</v>
      </c>
      <c r="B713" s="1" t="s">
        <v>1377</v>
      </c>
      <c r="C713" s="2" t="str">
        <f t="shared" si="165"/>
        <v>DIO1</v>
      </c>
      <c r="D713" s="2">
        <v>130</v>
      </c>
      <c r="E713" s="3">
        <f t="shared" si="166"/>
        <v>2</v>
      </c>
      <c r="F713" s="3">
        <f t="shared" si="167"/>
        <v>7</v>
      </c>
      <c r="G713" s="3">
        <v>0</v>
      </c>
      <c r="H713" s="55">
        <f t="shared" si="171"/>
        <v>3</v>
      </c>
      <c r="I713" s="54">
        <f t="shared" si="170"/>
        <v>12</v>
      </c>
      <c r="J713" s="78"/>
      <c r="K713" s="27"/>
      <c r="L713" s="30" t="s">
        <v>42</v>
      </c>
      <c r="M713" s="2"/>
      <c r="S713" s="13"/>
      <c r="V713" s="1" t="str">
        <f t="shared" si="168"/>
        <v>2.7\0.3:12</v>
      </c>
      <c r="Z713" s="206" t="s">
        <v>1062</v>
      </c>
      <c r="AG713" s="3" t="s">
        <v>588</v>
      </c>
      <c r="AH713" s="3">
        <v>25</v>
      </c>
      <c r="AI713" s="3">
        <v>26</v>
      </c>
      <c r="AJ713" s="200"/>
      <c r="AM713" s="3"/>
    </row>
    <row r="714" spans="1:39" x14ac:dyDescent="0.3">
      <c r="A714" s="5" t="str">
        <f t="shared" si="169"/>
        <v>BCV130</v>
      </c>
      <c r="B714" s="1" t="s">
        <v>1377</v>
      </c>
      <c r="C714" s="2" t="str">
        <f t="shared" si="165"/>
        <v>DIO1</v>
      </c>
      <c r="D714" s="2">
        <v>130</v>
      </c>
      <c r="E714" s="3">
        <f t="shared" si="166"/>
        <v>2</v>
      </c>
      <c r="F714" s="3">
        <f t="shared" si="167"/>
        <v>7</v>
      </c>
      <c r="G714" s="3">
        <v>0</v>
      </c>
      <c r="H714" s="55">
        <f t="shared" si="171"/>
        <v>3</v>
      </c>
      <c r="I714" s="54">
        <f t="shared" si="170"/>
        <v>13</v>
      </c>
      <c r="J714" s="78"/>
      <c r="K714" s="27"/>
      <c r="L714" s="30" t="s">
        <v>42</v>
      </c>
      <c r="M714" s="2"/>
      <c r="S714" s="13"/>
      <c r="V714" s="1" t="str">
        <f t="shared" si="168"/>
        <v>2.7\0.3:13</v>
      </c>
      <c r="Z714" s="206" t="s">
        <v>1062</v>
      </c>
      <c r="AG714" s="3" t="s">
        <v>588</v>
      </c>
      <c r="AH714" s="3">
        <v>27</v>
      </c>
      <c r="AI714" s="3">
        <v>28</v>
      </c>
      <c r="AJ714" s="200"/>
      <c r="AM714" s="3"/>
    </row>
    <row r="715" spans="1:39" x14ac:dyDescent="0.3">
      <c r="A715" s="5" t="str">
        <f t="shared" si="169"/>
        <v>BCV130</v>
      </c>
      <c r="B715" s="1" t="s">
        <v>1377</v>
      </c>
      <c r="C715" s="2" t="str">
        <f t="shared" si="165"/>
        <v>DIO1</v>
      </c>
      <c r="D715" s="2">
        <v>130</v>
      </c>
      <c r="E715" s="3">
        <f t="shared" si="166"/>
        <v>2</v>
      </c>
      <c r="F715" s="3">
        <f t="shared" si="167"/>
        <v>7</v>
      </c>
      <c r="G715" s="3">
        <v>0</v>
      </c>
      <c r="H715" s="55">
        <f t="shared" si="171"/>
        <v>3</v>
      </c>
      <c r="I715" s="54">
        <f t="shared" si="170"/>
        <v>14</v>
      </c>
      <c r="J715" s="78"/>
      <c r="K715" s="27"/>
      <c r="L715" s="30" t="s">
        <v>42</v>
      </c>
      <c r="M715" s="2"/>
      <c r="S715" s="13"/>
      <c r="V715" s="1" t="str">
        <f t="shared" si="168"/>
        <v>2.7\0.3:14</v>
      </c>
      <c r="Z715" s="206" t="s">
        <v>1062</v>
      </c>
      <c r="AG715" s="3" t="s">
        <v>588</v>
      </c>
      <c r="AH715" s="3">
        <v>29</v>
      </c>
      <c r="AI715" s="3">
        <v>30</v>
      </c>
      <c r="AJ715" s="200"/>
      <c r="AM715" s="3"/>
    </row>
    <row r="716" spans="1:39" ht="13.5" thickBot="1" x14ac:dyDescent="0.35">
      <c r="A716" s="5" t="str">
        <f t="shared" si="169"/>
        <v>BCV130</v>
      </c>
      <c r="B716" s="1" t="s">
        <v>1377</v>
      </c>
      <c r="C716" s="2" t="str">
        <f t="shared" si="165"/>
        <v>DIO1</v>
      </c>
      <c r="D716" s="2">
        <v>130</v>
      </c>
      <c r="E716" s="3">
        <f t="shared" si="166"/>
        <v>2</v>
      </c>
      <c r="F716" s="3">
        <f t="shared" si="167"/>
        <v>7</v>
      </c>
      <c r="G716" s="3">
        <v>0</v>
      </c>
      <c r="H716" s="55">
        <f t="shared" si="171"/>
        <v>3</v>
      </c>
      <c r="I716" s="59">
        <f t="shared" si="170"/>
        <v>15</v>
      </c>
      <c r="J716" s="77"/>
      <c r="K716" s="27"/>
      <c r="L716" s="30" t="s">
        <v>42</v>
      </c>
      <c r="M716" s="2"/>
      <c r="S716" s="13"/>
      <c r="V716" s="1" t="str">
        <f t="shared" si="168"/>
        <v>2.7\0.3:15</v>
      </c>
      <c r="Z716" s="206" t="s">
        <v>1062</v>
      </c>
      <c r="AG716" s="3" t="s">
        <v>588</v>
      </c>
      <c r="AH716" s="3">
        <v>31</v>
      </c>
      <c r="AI716" s="3">
        <v>32</v>
      </c>
      <c r="AJ716" s="200"/>
      <c r="AM716" s="3"/>
    </row>
    <row r="717" spans="1:39" x14ac:dyDescent="0.3">
      <c r="A717" s="76" t="s">
        <v>17</v>
      </c>
      <c r="B717" s="1" t="s">
        <v>1377</v>
      </c>
      <c r="C717" s="2" t="str">
        <f t="shared" si="165"/>
        <v>DIO1</v>
      </c>
      <c r="D717" s="2">
        <v>130</v>
      </c>
      <c r="E717" s="3">
        <f t="shared" si="166"/>
        <v>2</v>
      </c>
      <c r="F717" s="3">
        <f t="shared" si="167"/>
        <v>7</v>
      </c>
      <c r="G717" s="3">
        <v>0</v>
      </c>
      <c r="H717" s="62">
        <v>4</v>
      </c>
      <c r="I717" s="56">
        <v>0</v>
      </c>
      <c r="J717" s="218" t="s">
        <v>879</v>
      </c>
      <c r="K717" s="1" t="s">
        <v>896</v>
      </c>
      <c r="L717" s="30" t="s">
        <v>880</v>
      </c>
      <c r="M717" s="2">
        <v>4</v>
      </c>
      <c r="N717" s="1" t="s">
        <v>1389</v>
      </c>
      <c r="O717" s="1" t="s">
        <v>1388</v>
      </c>
      <c r="P717" s="1" t="s">
        <v>1387</v>
      </c>
      <c r="Q717" s="1" t="s">
        <v>1099</v>
      </c>
      <c r="R717" s="2"/>
      <c r="S717" s="13" t="s">
        <v>883</v>
      </c>
      <c r="T717" s="1" t="s">
        <v>17</v>
      </c>
      <c r="U717" s="13" t="s">
        <v>868</v>
      </c>
      <c r="V717" s="1" t="str">
        <f t="shared" si="168"/>
        <v>2.7\0.4:0</v>
      </c>
      <c r="W717" s="1" t="s">
        <v>1379</v>
      </c>
      <c r="X717" s="18">
        <v>0</v>
      </c>
      <c r="Z717" s="206" t="s">
        <v>1062</v>
      </c>
      <c r="AB717" s="13">
        <v>0</v>
      </c>
      <c r="AC717" s="13">
        <v>10</v>
      </c>
      <c r="AD717" s="13">
        <v>0</v>
      </c>
      <c r="AE717" s="13">
        <v>10</v>
      </c>
      <c r="AF717" s="13" t="s">
        <v>865</v>
      </c>
      <c r="AG717" s="3" t="s">
        <v>588</v>
      </c>
      <c r="AH717" s="3">
        <v>33</v>
      </c>
      <c r="AI717" s="3">
        <v>34</v>
      </c>
      <c r="AJ717" s="200"/>
      <c r="AM717" s="3"/>
    </row>
    <row r="718" spans="1:39" x14ac:dyDescent="0.3">
      <c r="A718" s="5" t="str">
        <f t="shared" ref="A718:A724" si="172">A717</f>
        <v>BCV130</v>
      </c>
      <c r="B718" s="1" t="s">
        <v>1377</v>
      </c>
      <c r="C718" s="2" t="str">
        <f t="shared" si="165"/>
        <v>DIO1</v>
      </c>
      <c r="D718" s="2">
        <v>130</v>
      </c>
      <c r="E718" s="3">
        <f t="shared" si="166"/>
        <v>2</v>
      </c>
      <c r="F718" s="3">
        <f t="shared" si="167"/>
        <v>7</v>
      </c>
      <c r="G718" s="3">
        <v>0</v>
      </c>
      <c r="H718" s="55">
        <f t="shared" ref="H718:H724" si="173">+H717</f>
        <v>4</v>
      </c>
      <c r="I718" s="54">
        <f t="shared" ref="I718:I724" si="174">+I717+1</f>
        <v>1</v>
      </c>
      <c r="J718" s="217"/>
      <c r="K718" s="2"/>
      <c r="L718" s="30" t="s">
        <v>880</v>
      </c>
      <c r="M718" s="2"/>
      <c r="R718" s="2"/>
      <c r="S718" s="13"/>
      <c r="V718" s="1" t="str">
        <f t="shared" si="168"/>
        <v>2.7\0.4:1</v>
      </c>
      <c r="Z718" s="206" t="s">
        <v>1062</v>
      </c>
      <c r="AG718" s="3" t="s">
        <v>588</v>
      </c>
      <c r="AH718" s="3">
        <v>35</v>
      </c>
      <c r="AI718" s="3">
        <v>36</v>
      </c>
      <c r="AJ718" s="200"/>
      <c r="AM718" s="3"/>
    </row>
    <row r="719" spans="1:39" x14ac:dyDescent="0.3">
      <c r="A719" s="5" t="str">
        <f t="shared" si="172"/>
        <v>BCV130</v>
      </c>
      <c r="B719" s="1" t="s">
        <v>1377</v>
      </c>
      <c r="C719" s="2" t="str">
        <f t="shared" si="165"/>
        <v>DIO1</v>
      </c>
      <c r="D719" s="2">
        <v>130</v>
      </c>
      <c r="E719" s="3">
        <f t="shared" si="166"/>
        <v>2</v>
      </c>
      <c r="F719" s="3">
        <f t="shared" si="167"/>
        <v>7</v>
      </c>
      <c r="G719" s="3">
        <v>0</v>
      </c>
      <c r="H719" s="55">
        <f t="shared" si="173"/>
        <v>4</v>
      </c>
      <c r="I719" s="54">
        <f t="shared" si="174"/>
        <v>2</v>
      </c>
      <c r="J719" s="217"/>
      <c r="K719" s="2"/>
      <c r="L719" s="30" t="s">
        <v>880</v>
      </c>
      <c r="M719" s="2"/>
      <c r="Q719" s="4"/>
      <c r="R719" s="4"/>
      <c r="S719" s="13"/>
      <c r="V719" s="1" t="str">
        <f t="shared" si="168"/>
        <v>2.7\0.4:2</v>
      </c>
      <c r="Z719" s="206" t="s">
        <v>1062</v>
      </c>
      <c r="AG719" s="3" t="s">
        <v>588</v>
      </c>
      <c r="AH719" s="3">
        <v>37</v>
      </c>
      <c r="AI719" s="3">
        <v>38</v>
      </c>
      <c r="AJ719" s="200"/>
      <c r="AM719" s="3"/>
    </row>
    <row r="720" spans="1:39" x14ac:dyDescent="0.3">
      <c r="A720" s="5" t="str">
        <f t="shared" si="172"/>
        <v>BCV130</v>
      </c>
      <c r="B720" s="1" t="s">
        <v>1377</v>
      </c>
      <c r="C720" s="2" t="str">
        <f t="shared" si="165"/>
        <v>DIO1</v>
      </c>
      <c r="D720" s="2">
        <v>130</v>
      </c>
      <c r="E720" s="3">
        <f t="shared" si="166"/>
        <v>2</v>
      </c>
      <c r="F720" s="3">
        <f t="shared" si="167"/>
        <v>7</v>
      </c>
      <c r="G720" s="3">
        <v>0</v>
      </c>
      <c r="H720" s="55">
        <f t="shared" si="173"/>
        <v>4</v>
      </c>
      <c r="I720" s="54">
        <f t="shared" si="174"/>
        <v>3</v>
      </c>
      <c r="J720" s="217"/>
      <c r="K720" s="2"/>
      <c r="L720" s="30" t="s">
        <v>880</v>
      </c>
      <c r="M720" s="2"/>
      <c r="R720" s="2"/>
      <c r="S720" s="13"/>
      <c r="V720" s="1" t="str">
        <f t="shared" si="168"/>
        <v>2.7\0.4:3</v>
      </c>
      <c r="Z720" s="206" t="s">
        <v>1062</v>
      </c>
      <c r="AG720" s="3" t="s">
        <v>588</v>
      </c>
      <c r="AH720" s="3">
        <v>39</v>
      </c>
      <c r="AI720" s="3">
        <v>40</v>
      </c>
      <c r="AJ720" s="200"/>
      <c r="AM720" s="3"/>
    </row>
    <row r="721" spans="1:39" x14ac:dyDescent="0.3">
      <c r="A721" s="5" t="str">
        <f t="shared" si="172"/>
        <v>BCV130</v>
      </c>
      <c r="B721" s="1" t="s">
        <v>1377</v>
      </c>
      <c r="C721" s="2" t="str">
        <f t="shared" si="165"/>
        <v>DIO1</v>
      </c>
      <c r="D721" s="2">
        <v>130</v>
      </c>
      <c r="E721" s="3">
        <f t="shared" si="166"/>
        <v>2</v>
      </c>
      <c r="F721" s="3">
        <f t="shared" si="167"/>
        <v>7</v>
      </c>
      <c r="G721" s="3">
        <v>0</v>
      </c>
      <c r="H721" s="55">
        <f t="shared" si="173"/>
        <v>4</v>
      </c>
      <c r="I721" s="54">
        <f t="shared" si="174"/>
        <v>4</v>
      </c>
      <c r="J721" s="217"/>
      <c r="K721" s="2"/>
      <c r="L721" s="30" t="s">
        <v>880</v>
      </c>
      <c r="M721" s="2"/>
      <c r="S721" s="13"/>
      <c r="V721" s="1" t="str">
        <f t="shared" si="168"/>
        <v>2.7\0.4:4</v>
      </c>
      <c r="Z721" s="206" t="s">
        <v>1062</v>
      </c>
      <c r="AG721" s="3" t="s">
        <v>588</v>
      </c>
      <c r="AH721" s="3">
        <v>41</v>
      </c>
      <c r="AI721" s="3">
        <v>42</v>
      </c>
      <c r="AJ721" s="200"/>
      <c r="AM721" s="3"/>
    </row>
    <row r="722" spans="1:39" x14ac:dyDescent="0.3">
      <c r="A722" s="5" t="str">
        <f t="shared" si="172"/>
        <v>BCV130</v>
      </c>
      <c r="B722" s="1" t="s">
        <v>1377</v>
      </c>
      <c r="C722" s="2" t="str">
        <f t="shared" si="165"/>
        <v>DIO1</v>
      </c>
      <c r="D722" s="2">
        <v>130</v>
      </c>
      <c r="E722" s="3">
        <f t="shared" si="166"/>
        <v>2</v>
      </c>
      <c r="F722" s="3">
        <f t="shared" si="167"/>
        <v>7</v>
      </c>
      <c r="G722" s="3">
        <v>0</v>
      </c>
      <c r="H722" s="55">
        <f t="shared" si="173"/>
        <v>4</v>
      </c>
      <c r="I722" s="54">
        <f t="shared" si="174"/>
        <v>5</v>
      </c>
      <c r="J722" s="217"/>
      <c r="K722" s="2"/>
      <c r="L722" s="30" t="s">
        <v>880</v>
      </c>
      <c r="M722" s="2"/>
      <c r="R722" s="2"/>
      <c r="S722" s="13"/>
      <c r="V722" s="1" t="str">
        <f t="shared" si="168"/>
        <v>2.7\0.4:5</v>
      </c>
      <c r="Z722" s="206" t="s">
        <v>1062</v>
      </c>
      <c r="AG722" s="3" t="s">
        <v>588</v>
      </c>
      <c r="AH722" s="3">
        <v>43</v>
      </c>
      <c r="AI722" s="3">
        <v>44</v>
      </c>
      <c r="AJ722" s="200"/>
      <c r="AM722" s="3"/>
    </row>
    <row r="723" spans="1:39" x14ac:dyDescent="0.3">
      <c r="A723" s="5" t="str">
        <f t="shared" si="172"/>
        <v>BCV130</v>
      </c>
      <c r="B723" s="1" t="s">
        <v>1377</v>
      </c>
      <c r="C723" s="2" t="str">
        <f t="shared" si="165"/>
        <v>DIO1</v>
      </c>
      <c r="D723" s="2">
        <v>130</v>
      </c>
      <c r="E723" s="3">
        <f t="shared" si="166"/>
        <v>2</v>
      </c>
      <c r="F723" s="3">
        <f t="shared" si="167"/>
        <v>7</v>
      </c>
      <c r="G723" s="3">
        <v>0</v>
      </c>
      <c r="H723" s="55">
        <f t="shared" si="173"/>
        <v>4</v>
      </c>
      <c r="I723" s="54">
        <f t="shared" si="174"/>
        <v>6</v>
      </c>
      <c r="J723" s="217"/>
      <c r="K723" s="2"/>
      <c r="L723" s="30" t="s">
        <v>880</v>
      </c>
      <c r="M723" s="2"/>
      <c r="R723" s="2"/>
      <c r="S723" s="13"/>
      <c r="V723" s="1" t="str">
        <f t="shared" si="168"/>
        <v>2.7\0.4:6</v>
      </c>
      <c r="Z723" s="206" t="s">
        <v>1062</v>
      </c>
      <c r="AG723" s="3" t="s">
        <v>588</v>
      </c>
      <c r="AH723" s="3">
        <v>45</v>
      </c>
      <c r="AI723" s="3">
        <v>46</v>
      </c>
      <c r="AJ723" s="200"/>
      <c r="AM723" s="3"/>
    </row>
    <row r="724" spans="1:39" ht="13.5" thickBot="1" x14ac:dyDescent="0.35">
      <c r="A724" s="5" t="str">
        <f t="shared" si="172"/>
        <v>BCV130</v>
      </c>
      <c r="B724" s="1" t="s">
        <v>1377</v>
      </c>
      <c r="C724" s="2" t="str">
        <f t="shared" si="165"/>
        <v>DIO1</v>
      </c>
      <c r="D724" s="2">
        <v>130</v>
      </c>
      <c r="E724" s="3">
        <f t="shared" si="166"/>
        <v>2</v>
      </c>
      <c r="F724" s="3">
        <f t="shared" si="167"/>
        <v>7</v>
      </c>
      <c r="G724" s="3">
        <v>0</v>
      </c>
      <c r="H724" s="55">
        <f t="shared" si="173"/>
        <v>4</v>
      </c>
      <c r="I724" s="59">
        <f t="shared" si="174"/>
        <v>7</v>
      </c>
      <c r="J724" s="216"/>
      <c r="K724" s="2"/>
      <c r="L724" s="30" t="s">
        <v>880</v>
      </c>
      <c r="M724" s="2"/>
      <c r="R724" s="2"/>
      <c r="S724" s="13"/>
      <c r="V724" s="1" t="str">
        <f t="shared" si="168"/>
        <v>2.7\0.4:7</v>
      </c>
      <c r="Z724" s="206" t="s">
        <v>1062</v>
      </c>
      <c r="AG724" s="3" t="s">
        <v>588</v>
      </c>
      <c r="AH724" s="3">
        <v>47</v>
      </c>
      <c r="AI724" s="3">
        <v>48</v>
      </c>
      <c r="AJ724" s="200"/>
      <c r="AM724" s="3"/>
    </row>
    <row r="725" spans="1:39" x14ac:dyDescent="0.3">
      <c r="A725" s="76" t="s">
        <v>17</v>
      </c>
      <c r="B725" s="1" t="s">
        <v>1377</v>
      </c>
      <c r="C725" s="2" t="str">
        <f t="shared" si="165"/>
        <v>DIO1</v>
      </c>
      <c r="D725" s="2">
        <v>130</v>
      </c>
      <c r="E725" s="3">
        <f t="shared" si="166"/>
        <v>2</v>
      </c>
      <c r="F725" s="3">
        <f t="shared" si="167"/>
        <v>7</v>
      </c>
      <c r="G725" s="3">
        <v>0</v>
      </c>
      <c r="H725" s="62">
        <v>5</v>
      </c>
      <c r="I725" s="56">
        <v>0</v>
      </c>
      <c r="J725" s="238" t="s">
        <v>549</v>
      </c>
      <c r="K725" s="2" t="s">
        <v>1386</v>
      </c>
      <c r="L725" s="39" t="s">
        <v>1378</v>
      </c>
      <c r="M725" s="2">
        <v>4</v>
      </c>
      <c r="N725" s="1" t="s">
        <v>1385</v>
      </c>
      <c r="O725" s="1" t="s">
        <v>1384</v>
      </c>
      <c r="P725" s="1" t="s">
        <v>1224</v>
      </c>
      <c r="Q725" s="1" t="s">
        <v>1383</v>
      </c>
      <c r="S725" s="13"/>
      <c r="T725" s="1" t="s">
        <v>17</v>
      </c>
      <c r="V725" s="1" t="str">
        <f t="shared" si="168"/>
        <v>2.7\0.5:0</v>
      </c>
      <c r="W725" s="1" t="s">
        <v>1379</v>
      </c>
      <c r="X725" s="18">
        <v>0</v>
      </c>
      <c r="Z725" s="206" t="s">
        <v>1062</v>
      </c>
      <c r="AG725" s="3" t="s">
        <v>732</v>
      </c>
      <c r="AH725" s="3">
        <v>37</v>
      </c>
      <c r="AI725" s="3">
        <v>38</v>
      </c>
      <c r="AJ725" s="200"/>
      <c r="AM725" s="3"/>
    </row>
    <row r="726" spans="1:39" x14ac:dyDescent="0.3">
      <c r="A726" s="5" t="str">
        <f t="shared" ref="A726:A732" si="175">A725</f>
        <v>BCV130</v>
      </c>
      <c r="B726" s="1" t="s">
        <v>1377</v>
      </c>
      <c r="C726" s="2" t="str">
        <f t="shared" si="165"/>
        <v>DIO1</v>
      </c>
      <c r="D726" s="2">
        <v>130</v>
      </c>
      <c r="E726" s="3">
        <f t="shared" si="166"/>
        <v>2</v>
      </c>
      <c r="F726" s="3">
        <f t="shared" si="167"/>
        <v>7</v>
      </c>
      <c r="G726" s="3">
        <v>0</v>
      </c>
      <c r="H726" s="55">
        <f t="shared" ref="H726:H732" si="176">+H725</f>
        <v>5</v>
      </c>
      <c r="I726" s="54">
        <f t="shared" ref="I726:I732" si="177">+I725+1</f>
        <v>1</v>
      </c>
      <c r="J726" s="237"/>
      <c r="K726" s="2"/>
      <c r="L726" s="39" t="s">
        <v>1378</v>
      </c>
      <c r="M726" s="2">
        <v>4</v>
      </c>
      <c r="N726" s="1" t="s">
        <v>1382</v>
      </c>
      <c r="O726" s="1" t="s">
        <v>1381</v>
      </c>
      <c r="P726" s="1" t="s">
        <v>1224</v>
      </c>
      <c r="Q726" s="1" t="s">
        <v>1380</v>
      </c>
      <c r="S726" s="13"/>
      <c r="T726" s="1" t="s">
        <v>17</v>
      </c>
      <c r="V726" s="1" t="str">
        <f t="shared" si="168"/>
        <v>2.7\0.5:1</v>
      </c>
      <c r="W726" s="1" t="s">
        <v>1379</v>
      </c>
      <c r="X726" s="18">
        <v>0</v>
      </c>
      <c r="Z726" s="206" t="s">
        <v>1062</v>
      </c>
      <c r="AG726" s="3" t="s">
        <v>732</v>
      </c>
      <c r="AH726" s="3">
        <v>39</v>
      </c>
      <c r="AI726" s="3">
        <v>40</v>
      </c>
      <c r="AJ726" s="200"/>
      <c r="AM726" s="3"/>
    </row>
    <row r="727" spans="1:39" x14ac:dyDescent="0.3">
      <c r="A727" s="5" t="str">
        <f t="shared" si="175"/>
        <v>BCV130</v>
      </c>
      <c r="B727" s="1" t="s">
        <v>1377</v>
      </c>
      <c r="C727" s="2" t="str">
        <f t="shared" si="165"/>
        <v>DIO1</v>
      </c>
      <c r="D727" s="2">
        <v>130</v>
      </c>
      <c r="E727" s="3">
        <f t="shared" si="166"/>
        <v>2</v>
      </c>
      <c r="F727" s="3">
        <f t="shared" si="167"/>
        <v>7</v>
      </c>
      <c r="G727" s="3">
        <v>0</v>
      </c>
      <c r="H727" s="55">
        <f t="shared" si="176"/>
        <v>5</v>
      </c>
      <c r="I727" s="54">
        <f t="shared" si="177"/>
        <v>2</v>
      </c>
      <c r="J727" s="237"/>
      <c r="K727" s="2"/>
      <c r="L727" s="39" t="s">
        <v>1378</v>
      </c>
      <c r="M727" s="2"/>
      <c r="N727" s="40"/>
      <c r="V727" s="1" t="str">
        <f t="shared" si="168"/>
        <v>2.7\0.5:2</v>
      </c>
      <c r="Z727" s="206" t="s">
        <v>1062</v>
      </c>
      <c r="AG727" s="3" t="s">
        <v>732</v>
      </c>
      <c r="AH727" s="3">
        <v>41</v>
      </c>
      <c r="AI727" s="3">
        <v>42</v>
      </c>
      <c r="AJ727" s="200"/>
      <c r="AM727" s="3"/>
    </row>
    <row r="728" spans="1:39" x14ac:dyDescent="0.3">
      <c r="A728" s="5" t="str">
        <f t="shared" si="175"/>
        <v>BCV130</v>
      </c>
      <c r="B728" s="1" t="s">
        <v>1377</v>
      </c>
      <c r="C728" s="2" t="str">
        <f t="shared" si="165"/>
        <v>DIO1</v>
      </c>
      <c r="D728" s="2">
        <v>130</v>
      </c>
      <c r="E728" s="3">
        <f t="shared" si="166"/>
        <v>2</v>
      </c>
      <c r="F728" s="3">
        <f t="shared" si="167"/>
        <v>7</v>
      </c>
      <c r="G728" s="3">
        <v>0</v>
      </c>
      <c r="H728" s="55">
        <f t="shared" si="176"/>
        <v>5</v>
      </c>
      <c r="I728" s="54">
        <f t="shared" si="177"/>
        <v>3</v>
      </c>
      <c r="J728" s="237"/>
      <c r="K728" s="2"/>
      <c r="L728" s="39" t="s">
        <v>1378</v>
      </c>
      <c r="M728" s="2"/>
      <c r="N728" s="40"/>
      <c r="V728" s="1" t="str">
        <f t="shared" si="168"/>
        <v>2.7\0.5:3</v>
      </c>
      <c r="Z728" s="206" t="s">
        <v>1062</v>
      </c>
      <c r="AG728" s="3" t="s">
        <v>732</v>
      </c>
      <c r="AH728" s="3">
        <v>43</v>
      </c>
      <c r="AI728" s="3">
        <v>44</v>
      </c>
      <c r="AJ728" s="200"/>
      <c r="AM728" s="3"/>
    </row>
    <row r="729" spans="1:39" x14ac:dyDescent="0.3">
      <c r="A729" s="5" t="str">
        <f t="shared" si="175"/>
        <v>BCV130</v>
      </c>
      <c r="B729" s="1" t="s">
        <v>1377</v>
      </c>
      <c r="C729" s="2" t="str">
        <f t="shared" si="165"/>
        <v>DIO1</v>
      </c>
      <c r="D729" s="2">
        <v>130</v>
      </c>
      <c r="E729" s="3">
        <f t="shared" si="166"/>
        <v>2</v>
      </c>
      <c r="F729" s="3">
        <f t="shared" si="167"/>
        <v>7</v>
      </c>
      <c r="G729" s="3">
        <v>0</v>
      </c>
      <c r="H729" s="55">
        <f t="shared" si="176"/>
        <v>5</v>
      </c>
      <c r="I729" s="54">
        <f t="shared" si="177"/>
        <v>4</v>
      </c>
      <c r="J729" s="237"/>
      <c r="K729" s="2"/>
      <c r="L729" s="39" t="s">
        <v>1378</v>
      </c>
      <c r="M729" s="2"/>
      <c r="N729" s="40"/>
      <c r="V729" s="1" t="str">
        <f t="shared" si="168"/>
        <v>2.7\0.5:4</v>
      </c>
      <c r="Z729" s="206" t="s">
        <v>1062</v>
      </c>
      <c r="AG729" s="3" t="s">
        <v>732</v>
      </c>
      <c r="AH729" s="3">
        <v>45</v>
      </c>
      <c r="AI729" s="3">
        <v>46</v>
      </c>
      <c r="AJ729" s="200"/>
      <c r="AM729" s="3"/>
    </row>
    <row r="730" spans="1:39" x14ac:dyDescent="0.3">
      <c r="A730" s="5" t="str">
        <f t="shared" si="175"/>
        <v>BCV130</v>
      </c>
      <c r="B730" s="1" t="s">
        <v>1377</v>
      </c>
      <c r="C730" s="2" t="str">
        <f t="shared" ref="C730:C756" si="178">+C729</f>
        <v>DIO1</v>
      </c>
      <c r="D730" s="2">
        <v>130</v>
      </c>
      <c r="E730" s="3">
        <f t="shared" ref="E730:E756" si="179">+E729</f>
        <v>2</v>
      </c>
      <c r="F730" s="3">
        <f t="shared" ref="F730:F756" si="180">+F729</f>
        <v>7</v>
      </c>
      <c r="G730" s="3">
        <v>0</v>
      </c>
      <c r="H730" s="55">
        <f t="shared" si="176"/>
        <v>5</v>
      </c>
      <c r="I730" s="54">
        <f t="shared" si="177"/>
        <v>5</v>
      </c>
      <c r="J730" s="237"/>
      <c r="K730" s="2"/>
      <c r="L730" s="39" t="s">
        <v>1378</v>
      </c>
      <c r="M730" s="2"/>
      <c r="N730" s="40"/>
      <c r="V730" s="1" t="str">
        <f t="shared" si="168"/>
        <v>2.7\0.5:5</v>
      </c>
      <c r="Z730" s="206" t="s">
        <v>1062</v>
      </c>
      <c r="AG730" s="3" t="s">
        <v>732</v>
      </c>
      <c r="AH730" s="3">
        <v>47</v>
      </c>
      <c r="AI730" s="3">
        <v>48</v>
      </c>
      <c r="AJ730" s="200"/>
      <c r="AM730" s="3"/>
    </row>
    <row r="731" spans="1:39" x14ac:dyDescent="0.3">
      <c r="A731" s="5" t="str">
        <f t="shared" si="175"/>
        <v>BCV130</v>
      </c>
      <c r="B731" s="1" t="s">
        <v>1377</v>
      </c>
      <c r="C731" s="2" t="str">
        <f t="shared" si="178"/>
        <v>DIO1</v>
      </c>
      <c r="D731" s="2">
        <v>130</v>
      </c>
      <c r="E731" s="3">
        <f t="shared" si="179"/>
        <v>2</v>
      </c>
      <c r="F731" s="3">
        <f t="shared" si="180"/>
        <v>7</v>
      </c>
      <c r="G731" s="3">
        <v>0</v>
      </c>
      <c r="H731" s="55">
        <f t="shared" si="176"/>
        <v>5</v>
      </c>
      <c r="I731" s="54">
        <f t="shared" si="177"/>
        <v>6</v>
      </c>
      <c r="J731" s="237"/>
      <c r="K731" s="2"/>
      <c r="L731" s="39" t="s">
        <v>1378</v>
      </c>
      <c r="M731" s="2"/>
      <c r="N731" s="40"/>
      <c r="V731" s="1" t="str">
        <f t="shared" si="168"/>
        <v>2.7\0.5:6</v>
      </c>
      <c r="Z731" s="201" t="s">
        <v>1062</v>
      </c>
      <c r="AG731" s="3" t="s">
        <v>732</v>
      </c>
      <c r="AH731" s="3">
        <v>49</v>
      </c>
      <c r="AI731" s="3">
        <v>50</v>
      </c>
      <c r="AJ731" s="200"/>
      <c r="AM731" s="3"/>
    </row>
    <row r="732" spans="1:39" ht="13.5" thickBot="1" x14ac:dyDescent="0.35">
      <c r="A732" s="5" t="str">
        <f t="shared" si="175"/>
        <v>BCV130</v>
      </c>
      <c r="B732" s="1" t="s">
        <v>1377</v>
      </c>
      <c r="C732" s="2" t="str">
        <f t="shared" si="178"/>
        <v>DIO1</v>
      </c>
      <c r="D732" s="2">
        <v>130</v>
      </c>
      <c r="E732" s="3">
        <f t="shared" si="179"/>
        <v>2</v>
      </c>
      <c r="F732" s="3">
        <f t="shared" si="180"/>
        <v>7</v>
      </c>
      <c r="G732" s="3">
        <v>0</v>
      </c>
      <c r="H732" s="55">
        <f t="shared" si="176"/>
        <v>5</v>
      </c>
      <c r="I732" s="59">
        <f t="shared" si="177"/>
        <v>7</v>
      </c>
      <c r="J732" s="236"/>
      <c r="K732" s="27"/>
      <c r="L732" s="39" t="s">
        <v>1378</v>
      </c>
      <c r="M732" s="2"/>
      <c r="N732" s="40"/>
      <c r="V732" s="1" t="str">
        <f t="shared" si="168"/>
        <v>2.7\0.5:7</v>
      </c>
      <c r="Z732" s="201" t="s">
        <v>1062</v>
      </c>
      <c r="AG732" s="3" t="s">
        <v>732</v>
      </c>
      <c r="AH732" s="3">
        <v>51</v>
      </c>
      <c r="AI732" s="3">
        <v>52</v>
      </c>
      <c r="AJ732" s="200"/>
      <c r="AM732" s="3"/>
    </row>
    <row r="733" spans="1:39" x14ac:dyDescent="0.3">
      <c r="A733" s="76" t="s">
        <v>17</v>
      </c>
      <c r="B733" s="1" t="s">
        <v>1377</v>
      </c>
      <c r="C733" s="2" t="str">
        <f t="shared" si="178"/>
        <v>DIO1</v>
      </c>
      <c r="D733" s="2">
        <v>130</v>
      </c>
      <c r="E733" s="3">
        <f t="shared" si="179"/>
        <v>2</v>
      </c>
      <c r="F733" s="3">
        <f t="shared" si="180"/>
        <v>7</v>
      </c>
      <c r="G733" s="3">
        <v>0</v>
      </c>
      <c r="H733" s="62">
        <v>6</v>
      </c>
      <c r="I733" s="56"/>
      <c r="J733" s="209"/>
      <c r="K733" s="41" t="s">
        <v>300</v>
      </c>
      <c r="M733" s="2">
        <v>0</v>
      </c>
      <c r="N733" s="2"/>
      <c r="V733" s="1" t="str">
        <f t="shared" ref="V733:V756" si="181">+CONCATENATE(E733,".",F733,"\",G733,".",H733,":",I733)</f>
        <v>2.7\0.6:</v>
      </c>
      <c r="AB733" s="7"/>
      <c r="AJ733" s="200"/>
      <c r="AM733" s="3"/>
    </row>
    <row r="734" spans="1:39" x14ac:dyDescent="0.3">
      <c r="A734" s="5" t="str">
        <f>A733</f>
        <v>BCV130</v>
      </c>
      <c r="B734" s="1" t="s">
        <v>1377</v>
      </c>
      <c r="C734" s="2" t="str">
        <f t="shared" si="178"/>
        <v>DIO1</v>
      </c>
      <c r="D734" s="2">
        <v>130</v>
      </c>
      <c r="E734" s="3">
        <f t="shared" si="179"/>
        <v>2</v>
      </c>
      <c r="F734" s="3">
        <f t="shared" si="180"/>
        <v>7</v>
      </c>
      <c r="G734" s="3">
        <v>0</v>
      </c>
      <c r="H734" s="55">
        <f>+H733</f>
        <v>6</v>
      </c>
      <c r="I734" s="54"/>
      <c r="J734" s="208"/>
      <c r="K734" s="2"/>
      <c r="M734" s="2">
        <v>0</v>
      </c>
      <c r="N734" s="2"/>
      <c r="V734" s="1" t="str">
        <f t="shared" si="181"/>
        <v>2.7\0.6:</v>
      </c>
      <c r="AB734" s="7"/>
      <c r="AJ734" s="200"/>
      <c r="AM734" s="3"/>
    </row>
    <row r="735" spans="1:39" x14ac:dyDescent="0.3">
      <c r="A735" s="5" t="str">
        <f>A734</f>
        <v>BCV130</v>
      </c>
      <c r="B735" s="1" t="s">
        <v>1377</v>
      </c>
      <c r="C735" s="2" t="str">
        <f t="shared" si="178"/>
        <v>DIO1</v>
      </c>
      <c r="D735" s="2">
        <v>130</v>
      </c>
      <c r="E735" s="3">
        <f t="shared" si="179"/>
        <v>2</v>
      </c>
      <c r="F735" s="3">
        <f t="shared" si="180"/>
        <v>7</v>
      </c>
      <c r="G735" s="3">
        <v>0</v>
      </c>
      <c r="H735" s="55">
        <f>+H734</f>
        <v>6</v>
      </c>
      <c r="I735" s="54"/>
      <c r="J735" s="208"/>
      <c r="K735" s="2"/>
      <c r="M735" s="2">
        <v>0</v>
      </c>
      <c r="N735" s="2"/>
      <c r="V735" s="1" t="str">
        <f t="shared" si="181"/>
        <v>2.7\0.6:</v>
      </c>
      <c r="AB735" s="7"/>
      <c r="AJ735" s="200"/>
      <c r="AM735" s="3"/>
    </row>
    <row r="736" spans="1:39" ht="13.5" thickBot="1" x14ac:dyDescent="0.35">
      <c r="A736" s="5" t="str">
        <f>A735</f>
        <v>BCV130</v>
      </c>
      <c r="B736" s="1" t="s">
        <v>1377</v>
      </c>
      <c r="C736" s="2" t="str">
        <f t="shared" si="178"/>
        <v>DIO1</v>
      </c>
      <c r="D736" s="2">
        <v>130</v>
      </c>
      <c r="E736" s="3">
        <f t="shared" si="179"/>
        <v>2</v>
      </c>
      <c r="F736" s="3">
        <f t="shared" si="180"/>
        <v>7</v>
      </c>
      <c r="G736" s="3">
        <v>0</v>
      </c>
      <c r="H736" s="55">
        <f>+H735</f>
        <v>6</v>
      </c>
      <c r="I736" s="59"/>
      <c r="J736" s="207"/>
      <c r="K736" s="2"/>
      <c r="M736" s="2">
        <v>0</v>
      </c>
      <c r="N736" s="2"/>
      <c r="V736" s="1" t="str">
        <f t="shared" si="181"/>
        <v>2.7\0.6:</v>
      </c>
      <c r="AB736" s="7"/>
      <c r="AJ736" s="200"/>
      <c r="AM736" s="3"/>
    </row>
    <row r="737" spans="1:39" x14ac:dyDescent="0.3">
      <c r="A737" s="76" t="s">
        <v>17</v>
      </c>
      <c r="B737" s="1" t="s">
        <v>1377</v>
      </c>
      <c r="C737" s="2" t="str">
        <f t="shared" si="178"/>
        <v>DIO1</v>
      </c>
      <c r="D737" s="2">
        <v>130</v>
      </c>
      <c r="E737" s="3">
        <f t="shared" si="179"/>
        <v>2</v>
      </c>
      <c r="F737" s="3">
        <f t="shared" si="180"/>
        <v>7</v>
      </c>
      <c r="G737" s="3">
        <v>0</v>
      </c>
      <c r="H737" s="62">
        <v>7</v>
      </c>
      <c r="I737" s="56"/>
      <c r="J737" s="209"/>
      <c r="K737" s="41" t="s">
        <v>300</v>
      </c>
      <c r="M737" s="2">
        <v>0</v>
      </c>
      <c r="N737" s="2"/>
      <c r="V737" s="1" t="str">
        <f t="shared" si="181"/>
        <v>2.7\0.7:</v>
      </c>
      <c r="AB737" s="7"/>
      <c r="AJ737" s="200"/>
      <c r="AM737" s="3"/>
    </row>
    <row r="738" spans="1:39" x14ac:dyDescent="0.3">
      <c r="A738" s="5" t="str">
        <f>A737</f>
        <v>BCV130</v>
      </c>
      <c r="B738" s="1" t="s">
        <v>1377</v>
      </c>
      <c r="C738" s="2" t="str">
        <f t="shared" si="178"/>
        <v>DIO1</v>
      </c>
      <c r="D738" s="2">
        <v>130</v>
      </c>
      <c r="E738" s="3">
        <f t="shared" si="179"/>
        <v>2</v>
      </c>
      <c r="F738" s="3">
        <f t="shared" si="180"/>
        <v>7</v>
      </c>
      <c r="G738" s="3">
        <v>0</v>
      </c>
      <c r="H738" s="55">
        <f>+H737</f>
        <v>7</v>
      </c>
      <c r="I738" s="54"/>
      <c r="J738" s="208"/>
      <c r="K738" s="2"/>
      <c r="M738" s="2">
        <v>0</v>
      </c>
      <c r="N738" s="2"/>
      <c r="V738" s="1" t="str">
        <f t="shared" si="181"/>
        <v>2.7\0.7:</v>
      </c>
      <c r="AB738" s="7"/>
      <c r="AJ738" s="200"/>
      <c r="AM738" s="3"/>
    </row>
    <row r="739" spans="1:39" x14ac:dyDescent="0.3">
      <c r="A739" s="5" t="str">
        <f>A738</f>
        <v>BCV130</v>
      </c>
      <c r="B739" s="1" t="s">
        <v>1377</v>
      </c>
      <c r="C739" s="2" t="str">
        <f t="shared" si="178"/>
        <v>DIO1</v>
      </c>
      <c r="D739" s="2">
        <v>130</v>
      </c>
      <c r="E739" s="3">
        <f t="shared" si="179"/>
        <v>2</v>
      </c>
      <c r="F739" s="3">
        <f t="shared" si="180"/>
        <v>7</v>
      </c>
      <c r="G739" s="3">
        <v>0</v>
      </c>
      <c r="H739" s="55">
        <f>+H738</f>
        <v>7</v>
      </c>
      <c r="I739" s="54"/>
      <c r="J739" s="208"/>
      <c r="K739" s="2"/>
      <c r="M739" s="2">
        <v>0</v>
      </c>
      <c r="N739" s="2"/>
      <c r="V739" s="1" t="str">
        <f t="shared" si="181"/>
        <v>2.7\0.7:</v>
      </c>
      <c r="AB739" s="7"/>
      <c r="AJ739" s="200"/>
      <c r="AM739" s="3"/>
    </row>
    <row r="740" spans="1:39" ht="13.5" thickBot="1" x14ac:dyDescent="0.35">
      <c r="A740" s="5" t="str">
        <f>A739</f>
        <v>BCV130</v>
      </c>
      <c r="B740" s="1" t="s">
        <v>1377</v>
      </c>
      <c r="C740" s="2" t="str">
        <f t="shared" si="178"/>
        <v>DIO1</v>
      </c>
      <c r="D740" s="2">
        <v>130</v>
      </c>
      <c r="E740" s="3">
        <f t="shared" si="179"/>
        <v>2</v>
      </c>
      <c r="F740" s="3">
        <f t="shared" si="180"/>
        <v>7</v>
      </c>
      <c r="G740" s="3">
        <v>0</v>
      </c>
      <c r="H740" s="55">
        <f>+H739</f>
        <v>7</v>
      </c>
      <c r="I740" s="59"/>
      <c r="J740" s="207"/>
      <c r="K740" s="2"/>
      <c r="M740" s="2">
        <v>0</v>
      </c>
      <c r="N740" s="2"/>
      <c r="V740" s="1" t="str">
        <f t="shared" si="181"/>
        <v>2.7\0.7:</v>
      </c>
      <c r="AB740" s="7"/>
      <c r="AJ740" s="200"/>
      <c r="AM740" s="3"/>
    </row>
    <row r="741" spans="1:39" x14ac:dyDescent="0.3">
      <c r="A741" s="76" t="s">
        <v>17</v>
      </c>
      <c r="B741" s="1" t="s">
        <v>1377</v>
      </c>
      <c r="C741" s="2" t="str">
        <f t="shared" si="178"/>
        <v>DIO1</v>
      </c>
      <c r="D741" s="2">
        <v>130</v>
      </c>
      <c r="E741" s="3">
        <f t="shared" si="179"/>
        <v>2</v>
      </c>
      <c r="F741" s="3">
        <f t="shared" si="180"/>
        <v>7</v>
      </c>
      <c r="G741" s="3">
        <v>0</v>
      </c>
      <c r="H741" s="57">
        <v>8</v>
      </c>
      <c r="I741" s="56"/>
      <c r="J741" s="209"/>
      <c r="K741" s="41" t="s">
        <v>300</v>
      </c>
      <c r="M741" s="2">
        <v>0</v>
      </c>
      <c r="N741" s="2"/>
      <c r="V741" s="1" t="str">
        <f t="shared" si="181"/>
        <v>2.7\0.8:</v>
      </c>
      <c r="AB741" s="7"/>
      <c r="AJ741" s="200"/>
      <c r="AM741" s="3"/>
    </row>
    <row r="742" spans="1:39" x14ac:dyDescent="0.3">
      <c r="A742" s="5" t="str">
        <f>A741</f>
        <v>BCV130</v>
      </c>
      <c r="B742" s="1" t="s">
        <v>1377</v>
      </c>
      <c r="C742" s="2" t="str">
        <f t="shared" si="178"/>
        <v>DIO1</v>
      </c>
      <c r="D742" s="2">
        <v>130</v>
      </c>
      <c r="E742" s="3">
        <f t="shared" si="179"/>
        <v>2</v>
      </c>
      <c r="F742" s="3">
        <f t="shared" si="180"/>
        <v>7</v>
      </c>
      <c r="G742" s="3">
        <v>0</v>
      </c>
      <c r="H742" s="55">
        <f>+H741</f>
        <v>8</v>
      </c>
      <c r="I742" s="54"/>
      <c r="J742" s="208"/>
      <c r="K742" s="2"/>
      <c r="M742" s="2">
        <v>0</v>
      </c>
      <c r="N742" s="2"/>
      <c r="V742" s="1" t="str">
        <f t="shared" si="181"/>
        <v>2.7\0.8:</v>
      </c>
      <c r="AB742" s="7"/>
      <c r="AJ742" s="200"/>
      <c r="AM742" s="3"/>
    </row>
    <row r="743" spans="1:39" x14ac:dyDescent="0.3">
      <c r="A743" s="5" t="str">
        <f>A742</f>
        <v>BCV130</v>
      </c>
      <c r="B743" s="1" t="s">
        <v>1377</v>
      </c>
      <c r="C743" s="2" t="str">
        <f t="shared" si="178"/>
        <v>DIO1</v>
      </c>
      <c r="D743" s="2">
        <v>130</v>
      </c>
      <c r="E743" s="3">
        <f t="shared" si="179"/>
        <v>2</v>
      </c>
      <c r="F743" s="3">
        <f t="shared" si="180"/>
        <v>7</v>
      </c>
      <c r="G743" s="3">
        <v>0</v>
      </c>
      <c r="H743" s="55">
        <f>+H742</f>
        <v>8</v>
      </c>
      <c r="I743" s="54"/>
      <c r="J743" s="208"/>
      <c r="K743" s="2"/>
      <c r="M743" s="2">
        <v>0</v>
      </c>
      <c r="N743" s="2"/>
      <c r="V743" s="1" t="str">
        <f t="shared" si="181"/>
        <v>2.7\0.8:</v>
      </c>
      <c r="AB743" s="7"/>
      <c r="AH743" s="205"/>
      <c r="AI743" s="205"/>
      <c r="AJ743" s="200"/>
      <c r="AM743" s="3"/>
    </row>
    <row r="744" spans="1:39" ht="13.5" thickBot="1" x14ac:dyDescent="0.35">
      <c r="A744" s="5" t="str">
        <f>A743</f>
        <v>BCV130</v>
      </c>
      <c r="B744" s="1" t="s">
        <v>1377</v>
      </c>
      <c r="C744" s="2" t="str">
        <f t="shared" si="178"/>
        <v>DIO1</v>
      </c>
      <c r="D744" s="2">
        <v>130</v>
      </c>
      <c r="E744" s="3">
        <f t="shared" si="179"/>
        <v>2</v>
      </c>
      <c r="F744" s="3">
        <f t="shared" si="180"/>
        <v>7</v>
      </c>
      <c r="G744" s="3">
        <v>0</v>
      </c>
      <c r="H744" s="55">
        <f>+H743</f>
        <v>8</v>
      </c>
      <c r="I744" s="59"/>
      <c r="J744" s="207"/>
      <c r="K744" s="2"/>
      <c r="M744" s="2">
        <v>0</v>
      </c>
      <c r="N744" s="2"/>
      <c r="V744" s="1" t="str">
        <f t="shared" si="181"/>
        <v>2.7\0.8:</v>
      </c>
      <c r="AB744" s="7"/>
      <c r="AH744" s="205"/>
      <c r="AI744" s="205"/>
      <c r="AJ744" s="200"/>
      <c r="AM744" s="3"/>
    </row>
    <row r="745" spans="1:39" x14ac:dyDescent="0.3">
      <c r="A745" s="76" t="s">
        <v>17</v>
      </c>
      <c r="B745" s="1" t="s">
        <v>1377</v>
      </c>
      <c r="C745" s="2" t="str">
        <f t="shared" si="178"/>
        <v>DIO1</v>
      </c>
      <c r="D745" s="2">
        <v>130</v>
      </c>
      <c r="E745" s="3">
        <f t="shared" si="179"/>
        <v>2</v>
      </c>
      <c r="F745" s="3">
        <f t="shared" si="180"/>
        <v>7</v>
      </c>
      <c r="G745" s="3">
        <v>0</v>
      </c>
      <c r="H745" s="62">
        <v>9</v>
      </c>
      <c r="I745" s="56"/>
      <c r="J745" s="209"/>
      <c r="K745" s="41" t="s">
        <v>300</v>
      </c>
      <c r="M745" s="2">
        <v>0</v>
      </c>
      <c r="N745" s="2"/>
      <c r="V745" s="1" t="str">
        <f t="shared" si="181"/>
        <v>2.7\0.9:</v>
      </c>
      <c r="AB745" s="7"/>
      <c r="AH745" s="205"/>
      <c r="AI745" s="205"/>
      <c r="AJ745" s="200"/>
      <c r="AM745" s="3"/>
    </row>
    <row r="746" spans="1:39" x14ac:dyDescent="0.3">
      <c r="A746" s="5" t="str">
        <f>A745</f>
        <v>BCV130</v>
      </c>
      <c r="B746" s="1" t="s">
        <v>1377</v>
      </c>
      <c r="C746" s="2" t="str">
        <f t="shared" si="178"/>
        <v>DIO1</v>
      </c>
      <c r="D746" s="2">
        <v>130</v>
      </c>
      <c r="E746" s="3">
        <f t="shared" si="179"/>
        <v>2</v>
      </c>
      <c r="F746" s="3">
        <f t="shared" si="180"/>
        <v>7</v>
      </c>
      <c r="G746" s="3">
        <v>0</v>
      </c>
      <c r="H746" s="55">
        <f>+H745</f>
        <v>9</v>
      </c>
      <c r="I746" s="54"/>
      <c r="J746" s="208"/>
      <c r="K746" s="2"/>
      <c r="M746" s="2">
        <v>0</v>
      </c>
      <c r="N746" s="2"/>
      <c r="V746" s="1" t="str">
        <f t="shared" si="181"/>
        <v>2.7\0.9:</v>
      </c>
      <c r="AB746" s="7"/>
      <c r="AH746" s="205"/>
      <c r="AI746" s="205"/>
      <c r="AJ746" s="200"/>
      <c r="AM746" s="3"/>
    </row>
    <row r="747" spans="1:39" x14ac:dyDescent="0.3">
      <c r="A747" s="5" t="str">
        <f>A746</f>
        <v>BCV130</v>
      </c>
      <c r="B747" s="1" t="s">
        <v>1377</v>
      </c>
      <c r="C747" s="2" t="str">
        <f t="shared" si="178"/>
        <v>DIO1</v>
      </c>
      <c r="D747" s="2">
        <v>130</v>
      </c>
      <c r="E747" s="3">
        <f t="shared" si="179"/>
        <v>2</v>
      </c>
      <c r="F747" s="3">
        <f t="shared" si="180"/>
        <v>7</v>
      </c>
      <c r="G747" s="3">
        <v>0</v>
      </c>
      <c r="H747" s="55">
        <f>+H746</f>
        <v>9</v>
      </c>
      <c r="I747" s="54"/>
      <c r="J747" s="208"/>
      <c r="K747" s="2"/>
      <c r="M747" s="2">
        <v>0</v>
      </c>
      <c r="N747" s="2"/>
      <c r="V747" s="1" t="str">
        <f t="shared" si="181"/>
        <v>2.7\0.9:</v>
      </c>
      <c r="AB747" s="7"/>
      <c r="AH747" s="205"/>
      <c r="AI747" s="205"/>
      <c r="AJ747" s="200"/>
      <c r="AM747" s="3"/>
    </row>
    <row r="748" spans="1:39" ht="13.5" thickBot="1" x14ac:dyDescent="0.35">
      <c r="A748" s="5" t="str">
        <f>A747</f>
        <v>BCV130</v>
      </c>
      <c r="B748" s="1" t="s">
        <v>1377</v>
      </c>
      <c r="C748" s="2" t="str">
        <f t="shared" si="178"/>
        <v>DIO1</v>
      </c>
      <c r="D748" s="2">
        <v>130</v>
      </c>
      <c r="E748" s="3">
        <f t="shared" si="179"/>
        <v>2</v>
      </c>
      <c r="F748" s="3">
        <f t="shared" si="180"/>
        <v>7</v>
      </c>
      <c r="G748" s="3">
        <v>0</v>
      </c>
      <c r="H748" s="55">
        <f>+H747</f>
        <v>9</v>
      </c>
      <c r="I748" s="59"/>
      <c r="J748" s="207"/>
      <c r="K748" s="2"/>
      <c r="M748" s="2">
        <v>0</v>
      </c>
      <c r="N748" s="2"/>
      <c r="V748" s="1" t="str">
        <f t="shared" si="181"/>
        <v>2.7\0.9:</v>
      </c>
      <c r="AB748" s="7"/>
      <c r="AH748" s="205"/>
      <c r="AI748" s="205"/>
      <c r="AJ748" s="200"/>
      <c r="AM748" s="3"/>
    </row>
    <row r="749" spans="1:39" x14ac:dyDescent="0.3">
      <c r="A749" s="76" t="s">
        <v>17</v>
      </c>
      <c r="B749" s="1" t="s">
        <v>1377</v>
      </c>
      <c r="C749" s="2" t="str">
        <f t="shared" si="178"/>
        <v>DIO1</v>
      </c>
      <c r="D749" s="2">
        <v>130</v>
      </c>
      <c r="E749" s="3">
        <f t="shared" si="179"/>
        <v>2</v>
      </c>
      <c r="F749" s="3">
        <f t="shared" si="180"/>
        <v>7</v>
      </c>
      <c r="G749" s="3">
        <v>0</v>
      </c>
      <c r="H749" s="57">
        <v>10</v>
      </c>
      <c r="I749" s="56"/>
      <c r="J749" s="209"/>
      <c r="K749" s="41" t="s">
        <v>300</v>
      </c>
      <c r="M749" s="2">
        <v>0</v>
      </c>
      <c r="N749" s="2"/>
      <c r="V749" s="1" t="str">
        <f t="shared" si="181"/>
        <v>2.7\0.10:</v>
      </c>
      <c r="AB749" s="7"/>
      <c r="AH749" s="205"/>
      <c r="AI749" s="205"/>
      <c r="AJ749" s="200"/>
      <c r="AM749" s="3"/>
    </row>
    <row r="750" spans="1:39" x14ac:dyDescent="0.3">
      <c r="A750" s="5" t="str">
        <f>A749</f>
        <v>BCV130</v>
      </c>
      <c r="B750" s="1" t="s">
        <v>1377</v>
      </c>
      <c r="C750" s="2" t="str">
        <f t="shared" si="178"/>
        <v>DIO1</v>
      </c>
      <c r="D750" s="2">
        <v>130</v>
      </c>
      <c r="E750" s="3">
        <f t="shared" si="179"/>
        <v>2</v>
      </c>
      <c r="F750" s="3">
        <f t="shared" si="180"/>
        <v>7</v>
      </c>
      <c r="G750" s="3">
        <v>0</v>
      </c>
      <c r="H750" s="55">
        <f>+H749</f>
        <v>10</v>
      </c>
      <c r="I750" s="54"/>
      <c r="J750" s="208"/>
      <c r="K750" s="2"/>
      <c r="M750" s="2">
        <v>0</v>
      </c>
      <c r="N750" s="2"/>
      <c r="V750" s="1" t="str">
        <f t="shared" si="181"/>
        <v>2.7\0.10:</v>
      </c>
      <c r="AB750" s="7"/>
      <c r="AH750" s="205"/>
      <c r="AI750" s="205"/>
      <c r="AJ750" s="200"/>
      <c r="AM750" s="3"/>
    </row>
    <row r="751" spans="1:39" x14ac:dyDescent="0.3">
      <c r="A751" s="5" t="str">
        <f>A750</f>
        <v>BCV130</v>
      </c>
      <c r="B751" s="1" t="s">
        <v>1377</v>
      </c>
      <c r="C751" s="2" t="str">
        <f t="shared" si="178"/>
        <v>DIO1</v>
      </c>
      <c r="D751" s="2">
        <v>130</v>
      </c>
      <c r="E751" s="3">
        <f t="shared" si="179"/>
        <v>2</v>
      </c>
      <c r="F751" s="3">
        <f t="shared" si="180"/>
        <v>7</v>
      </c>
      <c r="G751" s="3">
        <v>0</v>
      </c>
      <c r="H751" s="55">
        <f>+H750</f>
        <v>10</v>
      </c>
      <c r="I751" s="54"/>
      <c r="J751" s="208"/>
      <c r="K751" s="2"/>
      <c r="M751" s="2">
        <v>0</v>
      </c>
      <c r="N751" s="2"/>
      <c r="V751" s="1" t="str">
        <f t="shared" si="181"/>
        <v>2.7\0.10:</v>
      </c>
      <c r="AB751" s="7"/>
      <c r="AH751" s="205"/>
      <c r="AI751" s="205"/>
      <c r="AJ751" s="200"/>
      <c r="AM751" s="3"/>
    </row>
    <row r="752" spans="1:39" ht="13.5" thickBot="1" x14ac:dyDescent="0.35">
      <c r="A752" s="5" t="str">
        <f>A751</f>
        <v>BCV130</v>
      </c>
      <c r="B752" s="1" t="s">
        <v>1377</v>
      </c>
      <c r="C752" s="2" t="str">
        <f t="shared" si="178"/>
        <v>DIO1</v>
      </c>
      <c r="D752" s="2">
        <v>130</v>
      </c>
      <c r="E752" s="3">
        <f t="shared" si="179"/>
        <v>2</v>
      </c>
      <c r="F752" s="3">
        <f t="shared" si="180"/>
        <v>7</v>
      </c>
      <c r="G752" s="3">
        <v>0</v>
      </c>
      <c r="H752" s="55">
        <f>+H751</f>
        <v>10</v>
      </c>
      <c r="I752" s="59"/>
      <c r="J752" s="207"/>
      <c r="K752" s="2"/>
      <c r="M752" s="2">
        <v>0</v>
      </c>
      <c r="N752" s="2"/>
      <c r="V752" s="1" t="str">
        <f t="shared" si="181"/>
        <v>2.7\0.10:</v>
      </c>
      <c r="AB752" s="7"/>
      <c r="AH752" s="205"/>
      <c r="AI752" s="205"/>
      <c r="AJ752" s="200"/>
      <c r="AM752" s="3"/>
    </row>
    <row r="753" spans="1:39" x14ac:dyDescent="0.3">
      <c r="A753" s="76" t="s">
        <v>17</v>
      </c>
      <c r="B753" s="1" t="s">
        <v>1377</v>
      </c>
      <c r="C753" s="2" t="str">
        <f t="shared" si="178"/>
        <v>DIO1</v>
      </c>
      <c r="D753" s="2">
        <v>130</v>
      </c>
      <c r="E753" s="3">
        <f t="shared" si="179"/>
        <v>2</v>
      </c>
      <c r="F753" s="3">
        <f t="shared" si="180"/>
        <v>7</v>
      </c>
      <c r="G753" s="3">
        <v>0</v>
      </c>
      <c r="H753" s="57">
        <v>11</v>
      </c>
      <c r="I753" s="56"/>
      <c r="J753" s="209"/>
      <c r="K753" s="41" t="s">
        <v>300</v>
      </c>
      <c r="M753" s="2">
        <v>0</v>
      </c>
      <c r="N753" s="2"/>
      <c r="V753" s="1" t="str">
        <f t="shared" si="181"/>
        <v>2.7\0.11:</v>
      </c>
      <c r="AB753" s="7"/>
      <c r="AH753" s="205"/>
      <c r="AI753" s="205"/>
      <c r="AJ753" s="200"/>
      <c r="AM753" s="3"/>
    </row>
    <row r="754" spans="1:39" x14ac:dyDescent="0.3">
      <c r="A754" s="5" t="str">
        <f>A753</f>
        <v>BCV130</v>
      </c>
      <c r="B754" s="1" t="s">
        <v>1377</v>
      </c>
      <c r="C754" s="2" t="str">
        <f t="shared" si="178"/>
        <v>DIO1</v>
      </c>
      <c r="D754" s="2">
        <v>130</v>
      </c>
      <c r="E754" s="3">
        <f t="shared" si="179"/>
        <v>2</v>
      </c>
      <c r="F754" s="3">
        <f t="shared" si="180"/>
        <v>7</v>
      </c>
      <c r="G754" s="3">
        <v>0</v>
      </c>
      <c r="H754" s="55">
        <f>+H753</f>
        <v>11</v>
      </c>
      <c r="I754" s="54"/>
      <c r="J754" s="208"/>
      <c r="K754" s="2"/>
      <c r="M754" s="2">
        <v>0</v>
      </c>
      <c r="N754" s="2"/>
      <c r="V754" s="1" t="str">
        <f t="shared" si="181"/>
        <v>2.7\0.11:</v>
      </c>
      <c r="AB754" s="7"/>
      <c r="AH754" s="205"/>
      <c r="AI754" s="205"/>
      <c r="AJ754" s="200"/>
      <c r="AM754" s="3"/>
    </row>
    <row r="755" spans="1:39" x14ac:dyDescent="0.3">
      <c r="A755" s="5" t="str">
        <f>A754</f>
        <v>BCV130</v>
      </c>
      <c r="B755" s="1" t="s">
        <v>1377</v>
      </c>
      <c r="C755" s="2" t="str">
        <f t="shared" si="178"/>
        <v>DIO1</v>
      </c>
      <c r="D755" s="2">
        <v>130</v>
      </c>
      <c r="E755" s="3">
        <f t="shared" si="179"/>
        <v>2</v>
      </c>
      <c r="F755" s="3">
        <f t="shared" si="180"/>
        <v>7</v>
      </c>
      <c r="G755" s="3">
        <v>0</v>
      </c>
      <c r="H755" s="55">
        <f>+H754</f>
        <v>11</v>
      </c>
      <c r="I755" s="54"/>
      <c r="J755" s="208"/>
      <c r="K755" s="2"/>
      <c r="M755" s="2">
        <v>0</v>
      </c>
      <c r="N755" s="2"/>
      <c r="V755" s="1" t="str">
        <f t="shared" si="181"/>
        <v>2.7\0.11:</v>
      </c>
      <c r="AB755" s="7"/>
      <c r="AH755" s="205"/>
      <c r="AI755" s="205"/>
      <c r="AJ755" s="200"/>
      <c r="AM755" s="3"/>
    </row>
    <row r="756" spans="1:39" ht="13.5" thickBot="1" x14ac:dyDescent="0.35">
      <c r="A756" s="5" t="str">
        <f>A755</f>
        <v>BCV130</v>
      </c>
      <c r="B756" s="1" t="s">
        <v>1377</v>
      </c>
      <c r="C756" s="2" t="str">
        <f t="shared" si="178"/>
        <v>DIO1</v>
      </c>
      <c r="D756" s="2">
        <v>130</v>
      </c>
      <c r="E756" s="3">
        <f t="shared" si="179"/>
        <v>2</v>
      </c>
      <c r="F756" s="3">
        <f t="shared" si="180"/>
        <v>7</v>
      </c>
      <c r="G756" s="3">
        <v>0</v>
      </c>
      <c r="H756" s="55">
        <f>+H755</f>
        <v>11</v>
      </c>
      <c r="I756" s="59"/>
      <c r="J756" s="207"/>
      <c r="K756" s="2"/>
      <c r="M756" s="2">
        <v>0</v>
      </c>
      <c r="N756" s="2"/>
      <c r="V756" s="1" t="str">
        <f t="shared" si="181"/>
        <v>2.7\0.11:</v>
      </c>
      <c r="AB756" s="7"/>
      <c r="AH756" s="205"/>
      <c r="AI756" s="205"/>
      <c r="AJ756" s="200"/>
      <c r="AM756" s="3"/>
    </row>
    <row r="757" spans="1:39" s="2" customFormat="1" ht="12.5" x14ac:dyDescent="0.25">
      <c r="S757" s="1"/>
      <c r="T757" s="1"/>
      <c r="U757" s="1"/>
      <c r="W757" s="1"/>
      <c r="X757" s="18"/>
      <c r="Y757" s="1"/>
      <c r="Z757" s="201"/>
      <c r="AA757" s="20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9" ht="14.5" x14ac:dyDescent="0.35">
      <c r="O758" s="41"/>
      <c r="P758" s="41"/>
      <c r="Q758" s="41" t="s">
        <v>1376</v>
      </c>
      <c r="R758" s="41"/>
      <c r="S758" s="41" t="s">
        <v>176</v>
      </c>
      <c r="T758" s="41" t="s">
        <v>17</v>
      </c>
      <c r="W758" s="1" t="s">
        <v>303</v>
      </c>
      <c r="X758" s="18">
        <v>0</v>
      </c>
      <c r="AB758" s="7"/>
      <c r="AG758" s="202" t="s">
        <v>539</v>
      </c>
      <c r="AH758" s="202">
        <v>1</v>
      </c>
      <c r="AI758" s="202">
        <v>2</v>
      </c>
      <c r="AJ758" s="202">
        <v>3</v>
      </c>
      <c r="AK758" s="202">
        <v>4</v>
      </c>
      <c r="AM758" s="3"/>
    </row>
    <row r="759" spans="1:39" ht="14.5" x14ac:dyDescent="0.35">
      <c r="O759" s="41"/>
      <c r="P759" s="41"/>
      <c r="Q759" s="41" t="s">
        <v>302</v>
      </c>
      <c r="R759" s="41"/>
      <c r="S759" s="41"/>
      <c r="T759" s="41"/>
      <c r="AB759" s="7"/>
      <c r="AG759" s="202" t="s">
        <v>539</v>
      </c>
      <c r="AH759" s="202">
        <v>5</v>
      </c>
      <c r="AI759" s="202">
        <v>6</v>
      </c>
      <c r="AJ759" s="202">
        <v>7</v>
      </c>
      <c r="AK759" s="202">
        <v>8</v>
      </c>
      <c r="AM759" s="3"/>
    </row>
    <row r="760" spans="1:39" s="2" customFormat="1" ht="15" thickBot="1" x14ac:dyDescent="0.4">
      <c r="Q760" s="2" t="s">
        <v>302</v>
      </c>
      <c r="S760" s="1"/>
      <c r="T760" s="1"/>
      <c r="U760" s="1"/>
      <c r="W760" s="1"/>
      <c r="X760" s="18"/>
      <c r="Y760" s="1"/>
      <c r="Z760" s="201"/>
      <c r="AA760" s="201"/>
      <c r="AB760" s="1"/>
      <c r="AC760" s="1"/>
      <c r="AD760" s="1"/>
      <c r="AE760" s="1"/>
      <c r="AF760" s="1"/>
      <c r="AG760" s="202" t="s">
        <v>539</v>
      </c>
      <c r="AH760" s="202">
        <v>9</v>
      </c>
      <c r="AI760" s="202">
        <v>10</v>
      </c>
      <c r="AJ760" s="202">
        <v>11</v>
      </c>
      <c r="AK760" s="202">
        <v>12</v>
      </c>
      <c r="AL760" s="1"/>
    </row>
    <row r="761" spans="1:39" s="2" customFormat="1" ht="15" thickBot="1" x14ac:dyDescent="0.4">
      <c r="I761" s="74"/>
      <c r="J761" s="73"/>
      <c r="K761" s="2" t="s">
        <v>117</v>
      </c>
      <c r="L761" s="40" t="s">
        <v>1032</v>
      </c>
      <c r="M761" s="40">
        <v>1</v>
      </c>
      <c r="N761" s="40" t="s">
        <v>1375</v>
      </c>
      <c r="O761" s="2" t="s">
        <v>1374</v>
      </c>
      <c r="P761" s="40" t="s">
        <v>1224</v>
      </c>
      <c r="Q761" s="2" t="s">
        <v>1373</v>
      </c>
      <c r="R761" s="2" t="s">
        <v>18</v>
      </c>
      <c r="S761" s="1" t="s">
        <v>510</v>
      </c>
      <c r="T761" s="1" t="s">
        <v>17</v>
      </c>
      <c r="U761" s="1"/>
      <c r="W761" s="1" t="s">
        <v>1353</v>
      </c>
      <c r="X761" s="18">
        <v>0</v>
      </c>
      <c r="Y761" s="1"/>
      <c r="Z761" s="201"/>
      <c r="AA761" s="201"/>
      <c r="AB761" s="1"/>
      <c r="AC761" s="1"/>
      <c r="AD761" s="1"/>
      <c r="AE761" s="1"/>
      <c r="AF761" s="1"/>
      <c r="AG761" s="202" t="s">
        <v>539</v>
      </c>
      <c r="AH761" s="202">
        <v>13</v>
      </c>
      <c r="AI761" s="202">
        <v>14</v>
      </c>
      <c r="AJ761" s="202">
        <v>15</v>
      </c>
      <c r="AK761" s="202">
        <v>16</v>
      </c>
      <c r="AL761" s="1"/>
    </row>
    <row r="762" spans="1:39" s="2" customFormat="1" ht="15" thickBot="1" x14ac:dyDescent="0.4">
      <c r="I762" s="74"/>
      <c r="J762" s="73"/>
      <c r="K762" s="2" t="s">
        <v>117</v>
      </c>
      <c r="L762" s="40" t="s">
        <v>1032</v>
      </c>
      <c r="M762" s="40">
        <v>1</v>
      </c>
      <c r="N762" s="40" t="s">
        <v>1372</v>
      </c>
      <c r="O762" s="2" t="s">
        <v>1371</v>
      </c>
      <c r="P762" s="40" t="s">
        <v>1224</v>
      </c>
      <c r="Q762" s="2" t="s">
        <v>1370</v>
      </c>
      <c r="R762" s="2" t="s">
        <v>18</v>
      </c>
      <c r="S762" s="1" t="s">
        <v>1045</v>
      </c>
      <c r="T762" s="1" t="s">
        <v>17</v>
      </c>
      <c r="U762" s="1"/>
      <c r="W762" s="1" t="s">
        <v>1353</v>
      </c>
      <c r="X762" s="18">
        <v>0</v>
      </c>
      <c r="Y762" s="1"/>
      <c r="Z762" s="201"/>
      <c r="AA762" s="201"/>
      <c r="AB762" s="1"/>
      <c r="AC762" s="1"/>
      <c r="AD762" s="1"/>
      <c r="AE762" s="1"/>
      <c r="AF762" s="1"/>
      <c r="AG762" s="202" t="s">
        <v>539</v>
      </c>
      <c r="AH762" s="202">
        <v>17</v>
      </c>
      <c r="AI762" s="202">
        <v>18</v>
      </c>
      <c r="AJ762" s="202">
        <v>19</v>
      </c>
      <c r="AK762" s="202">
        <v>20</v>
      </c>
      <c r="AL762" s="1"/>
    </row>
    <row r="763" spans="1:39" s="2" customFormat="1" ht="15" thickBot="1" x14ac:dyDescent="0.4">
      <c r="I763" s="74"/>
      <c r="J763" s="73"/>
      <c r="K763" s="2" t="s">
        <v>117</v>
      </c>
      <c r="L763" s="40" t="s">
        <v>1032</v>
      </c>
      <c r="M763" s="40">
        <v>1</v>
      </c>
      <c r="N763" s="40" t="s">
        <v>1369</v>
      </c>
      <c r="O763" s="2" t="s">
        <v>1368</v>
      </c>
      <c r="P763" s="40" t="s">
        <v>1224</v>
      </c>
      <c r="Q763" s="2" t="s">
        <v>1367</v>
      </c>
      <c r="R763" s="2" t="s">
        <v>18</v>
      </c>
      <c r="S763" s="1" t="s">
        <v>1041</v>
      </c>
      <c r="T763" s="1" t="s">
        <v>17</v>
      </c>
      <c r="U763" s="1"/>
      <c r="W763" s="1" t="s">
        <v>1353</v>
      </c>
      <c r="X763" s="18">
        <v>0</v>
      </c>
      <c r="Y763" s="1"/>
      <c r="Z763" s="201"/>
      <c r="AA763" s="201"/>
      <c r="AB763" s="1"/>
      <c r="AC763" s="1"/>
      <c r="AD763" s="1"/>
      <c r="AE763" s="1"/>
      <c r="AF763" s="1"/>
      <c r="AG763" s="202" t="s">
        <v>539</v>
      </c>
      <c r="AH763" s="202">
        <v>21</v>
      </c>
      <c r="AI763" s="202">
        <v>22</v>
      </c>
      <c r="AJ763" s="202">
        <v>23</v>
      </c>
      <c r="AK763" s="202">
        <v>24</v>
      </c>
      <c r="AL763" s="1"/>
    </row>
    <row r="764" spans="1:39" s="2" customFormat="1" ht="15" thickBot="1" x14ac:dyDescent="0.4">
      <c r="I764" s="74"/>
      <c r="J764" s="73"/>
      <c r="K764" s="2" t="s">
        <v>117</v>
      </c>
      <c r="L764" s="40" t="s">
        <v>1032</v>
      </c>
      <c r="M764" s="40">
        <v>1</v>
      </c>
      <c r="N764" s="40" t="s">
        <v>1366</v>
      </c>
      <c r="O764" s="2" t="s">
        <v>1365</v>
      </c>
      <c r="P764" s="40" t="s">
        <v>1224</v>
      </c>
      <c r="Q764" s="2" t="s">
        <v>1364</v>
      </c>
      <c r="R764" s="2" t="s">
        <v>18</v>
      </c>
      <c r="S764" s="1" t="s">
        <v>1037</v>
      </c>
      <c r="T764" s="1" t="s">
        <v>17</v>
      </c>
      <c r="U764" s="1"/>
      <c r="W764" s="1" t="s">
        <v>1353</v>
      </c>
      <c r="X764" s="18">
        <v>0</v>
      </c>
      <c r="Y764" s="1"/>
      <c r="Z764" s="201"/>
      <c r="AA764" s="201"/>
      <c r="AB764" s="1"/>
      <c r="AC764" s="1"/>
      <c r="AD764" s="1"/>
      <c r="AE764" s="1"/>
      <c r="AF764" s="1"/>
      <c r="AG764" s="202" t="s">
        <v>539</v>
      </c>
      <c r="AH764" s="202">
        <v>25</v>
      </c>
      <c r="AI764" s="202">
        <v>26</v>
      </c>
      <c r="AJ764" s="202">
        <v>27</v>
      </c>
      <c r="AK764" s="202">
        <v>28</v>
      </c>
      <c r="AL764" s="1"/>
    </row>
    <row r="765" spans="1:39" s="2" customFormat="1" ht="15" thickBot="1" x14ac:dyDescent="0.4">
      <c r="I765" s="74"/>
      <c r="J765" s="73"/>
      <c r="K765" s="2" t="s">
        <v>117</v>
      </c>
      <c r="L765" s="40" t="s">
        <v>1032</v>
      </c>
      <c r="M765" s="40">
        <v>1</v>
      </c>
      <c r="N765" s="40" t="s">
        <v>1363</v>
      </c>
      <c r="O765" s="2" t="s">
        <v>1362</v>
      </c>
      <c r="P765" s="40" t="s">
        <v>1224</v>
      </c>
      <c r="Q765" s="2" t="s">
        <v>1361</v>
      </c>
      <c r="R765" s="2" t="s">
        <v>18</v>
      </c>
      <c r="S765" s="1" t="s">
        <v>1033</v>
      </c>
      <c r="T765" s="1" t="s">
        <v>17</v>
      </c>
      <c r="U765" s="1"/>
      <c r="W765" s="1" t="s">
        <v>1353</v>
      </c>
      <c r="X765" s="18">
        <v>0</v>
      </c>
      <c r="Y765" s="1"/>
      <c r="Z765" s="201"/>
      <c r="AA765" s="201"/>
      <c r="AB765" s="1"/>
      <c r="AC765" s="1"/>
      <c r="AD765" s="1"/>
      <c r="AE765" s="1"/>
      <c r="AF765" s="1"/>
      <c r="AG765" s="202" t="s">
        <v>539</v>
      </c>
      <c r="AH765" s="202">
        <v>29</v>
      </c>
      <c r="AI765" s="202">
        <v>30</v>
      </c>
      <c r="AJ765" s="202">
        <v>31</v>
      </c>
      <c r="AK765" s="202">
        <v>32</v>
      </c>
      <c r="AL765" s="1"/>
    </row>
    <row r="766" spans="1:39" s="2" customFormat="1" ht="15" thickBot="1" x14ac:dyDescent="0.4">
      <c r="I766" s="74"/>
      <c r="J766" s="73"/>
      <c r="K766" s="2" t="s">
        <v>117</v>
      </c>
      <c r="L766" s="40" t="s">
        <v>1032</v>
      </c>
      <c r="M766" s="40">
        <v>1</v>
      </c>
      <c r="N766" s="40" t="s">
        <v>1360</v>
      </c>
      <c r="O766" s="2" t="s">
        <v>1359</v>
      </c>
      <c r="P766" s="40" t="s">
        <v>1224</v>
      </c>
      <c r="Q766" s="2" t="s">
        <v>1358</v>
      </c>
      <c r="R766" s="2" t="s">
        <v>18</v>
      </c>
      <c r="S766" s="1" t="s">
        <v>1357</v>
      </c>
      <c r="T766" s="1" t="s">
        <v>17</v>
      </c>
      <c r="U766" s="1"/>
      <c r="W766" s="1" t="s">
        <v>1353</v>
      </c>
      <c r="X766" s="18">
        <v>0</v>
      </c>
      <c r="Y766" s="1"/>
      <c r="Z766" s="201"/>
      <c r="AA766" s="201"/>
      <c r="AB766" s="1"/>
      <c r="AC766" s="1"/>
      <c r="AD766" s="1"/>
      <c r="AE766" s="1"/>
      <c r="AF766" s="1"/>
      <c r="AG766" s="202" t="s">
        <v>539</v>
      </c>
      <c r="AH766" s="202">
        <v>33</v>
      </c>
      <c r="AI766" s="202">
        <v>34</v>
      </c>
      <c r="AJ766" s="202">
        <v>35</v>
      </c>
      <c r="AK766" s="202">
        <v>36</v>
      </c>
      <c r="AL766" s="1"/>
    </row>
    <row r="767" spans="1:39" s="2" customFormat="1" ht="15" thickBot="1" x14ac:dyDescent="0.4">
      <c r="I767" s="74"/>
      <c r="J767" s="73"/>
      <c r="K767" s="2" t="s">
        <v>117</v>
      </c>
      <c r="L767" s="40" t="s">
        <v>1032</v>
      </c>
      <c r="M767" s="40">
        <v>1</v>
      </c>
      <c r="N767" s="40" t="s">
        <v>1356</v>
      </c>
      <c r="O767" s="2" t="s">
        <v>1035</v>
      </c>
      <c r="P767" s="40" t="s">
        <v>1224</v>
      </c>
      <c r="Q767" s="2" t="s">
        <v>1028</v>
      </c>
      <c r="R767" s="2" t="s">
        <v>18</v>
      </c>
      <c r="S767" s="1" t="s">
        <v>1027</v>
      </c>
      <c r="T767" s="1" t="s">
        <v>17</v>
      </c>
      <c r="U767" s="1"/>
      <c r="W767" s="1" t="s">
        <v>1353</v>
      </c>
      <c r="X767" s="18">
        <v>0</v>
      </c>
      <c r="Y767" s="1"/>
      <c r="Z767" s="201"/>
      <c r="AA767" s="201"/>
      <c r="AB767" s="1"/>
      <c r="AC767" s="1"/>
      <c r="AD767" s="1"/>
      <c r="AE767" s="1"/>
      <c r="AF767" s="1"/>
      <c r="AG767" s="202" t="s">
        <v>539</v>
      </c>
      <c r="AH767" s="202">
        <v>37</v>
      </c>
      <c r="AI767" s="202">
        <v>38</v>
      </c>
      <c r="AJ767" s="202">
        <v>39</v>
      </c>
      <c r="AK767" s="202">
        <v>40</v>
      </c>
      <c r="AL767" s="1"/>
    </row>
    <row r="768" spans="1:39" s="2" customFormat="1" ht="15" thickBot="1" x14ac:dyDescent="0.4">
      <c r="I768" s="74"/>
      <c r="J768" s="73"/>
      <c r="K768" s="2" t="s">
        <v>117</v>
      </c>
      <c r="L768" s="40" t="s">
        <v>1032</v>
      </c>
      <c r="M768" s="40">
        <v>1</v>
      </c>
      <c r="N768" s="40" t="s">
        <v>1355</v>
      </c>
      <c r="O768" s="2" t="s">
        <v>1035</v>
      </c>
      <c r="P768" s="40" t="s">
        <v>1224</v>
      </c>
      <c r="Q768" s="2" t="s">
        <v>1028</v>
      </c>
      <c r="R768" s="2" t="s">
        <v>18</v>
      </c>
      <c r="S768" s="1" t="s">
        <v>1354</v>
      </c>
      <c r="T768" s="1" t="s">
        <v>17</v>
      </c>
      <c r="U768" s="1"/>
      <c r="W768" s="1" t="s">
        <v>1353</v>
      </c>
      <c r="X768" s="18">
        <v>0</v>
      </c>
      <c r="Y768" s="1"/>
      <c r="Z768" s="201"/>
      <c r="AA768" s="201"/>
      <c r="AB768" s="1"/>
      <c r="AC768" s="1"/>
      <c r="AD768" s="1"/>
      <c r="AE768" s="1"/>
      <c r="AF768" s="1"/>
      <c r="AG768" s="202" t="s">
        <v>539</v>
      </c>
      <c r="AH768" s="202">
        <v>41</v>
      </c>
      <c r="AI768" s="202">
        <v>42</v>
      </c>
      <c r="AJ768" s="202">
        <v>43</v>
      </c>
      <c r="AK768" s="202">
        <v>44</v>
      </c>
      <c r="AL768" s="1"/>
    </row>
    <row r="769" spans="1:51" s="2" customFormat="1" ht="14.5" x14ac:dyDescent="0.35">
      <c r="S769" s="1"/>
      <c r="T769" s="1"/>
      <c r="U769" s="1"/>
      <c r="W769" s="1"/>
      <c r="X769" s="18"/>
      <c r="Y769" s="1"/>
      <c r="Z769" s="201"/>
      <c r="AA769" s="201"/>
      <c r="AB769" s="1"/>
      <c r="AC769" s="1"/>
      <c r="AD769" s="1"/>
      <c r="AE769" s="1"/>
      <c r="AF769" s="1"/>
      <c r="AG769" s="202" t="s">
        <v>539</v>
      </c>
      <c r="AH769" s="202">
        <v>45</v>
      </c>
      <c r="AI769" s="202">
        <v>46</v>
      </c>
      <c r="AJ769" s="202">
        <v>47</v>
      </c>
      <c r="AK769" s="202">
        <v>48</v>
      </c>
      <c r="AL769" s="1"/>
    </row>
    <row r="770" spans="1:51" s="2" customFormat="1" ht="12.5" x14ac:dyDescent="0.25">
      <c r="S770" s="1"/>
      <c r="T770" s="1"/>
      <c r="U770" s="1"/>
      <c r="W770" s="1"/>
      <c r="X770" s="18"/>
      <c r="Y770" s="1"/>
      <c r="Z770" s="201"/>
      <c r="AA770" s="20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51" s="2" customFormat="1" ht="12.5" x14ac:dyDescent="0.25">
      <c r="S771" s="1"/>
      <c r="T771" s="1"/>
      <c r="U771" s="1"/>
      <c r="W771" s="1"/>
      <c r="X771" s="18"/>
      <c r="Y771" s="1"/>
      <c r="Z771" s="201"/>
      <c r="AA771" s="20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51" x14ac:dyDescent="0.3">
      <c r="O772" s="41"/>
      <c r="P772" s="41"/>
      <c r="Q772" s="41"/>
      <c r="R772" s="41"/>
      <c r="S772" s="41"/>
      <c r="T772" s="41"/>
      <c r="AB772" s="7"/>
      <c r="AM772" s="3"/>
    </row>
    <row r="773" spans="1:51" s="6" customFormat="1" ht="15.5" x14ac:dyDescent="0.35">
      <c r="A773" s="228"/>
      <c r="B773" s="53" t="s">
        <v>1352</v>
      </c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226"/>
      <c r="T773" s="226"/>
      <c r="U773" s="226"/>
      <c r="V773" s="71"/>
      <c r="W773" s="226"/>
      <c r="X773" s="227"/>
      <c r="Y773" s="226"/>
      <c r="Z773" s="225"/>
      <c r="AA773" s="225"/>
      <c r="AB773" s="1"/>
      <c r="AC773" s="7"/>
      <c r="AD773" s="7"/>
      <c r="AE773" s="7"/>
      <c r="AF773" s="7"/>
      <c r="AG773" s="8"/>
      <c r="AH773" s="8"/>
      <c r="AI773" s="8"/>
      <c r="AJ773" s="8"/>
      <c r="AK773" s="8"/>
      <c r="AL773" s="200"/>
      <c r="AM773" s="50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</row>
    <row r="774" spans="1:51" s="2" customFormat="1" thickBot="1" x14ac:dyDescent="0.3">
      <c r="S774" s="1"/>
      <c r="T774" s="1"/>
      <c r="U774" s="1"/>
      <c r="W774" s="1"/>
      <c r="X774" s="18"/>
      <c r="Y774" s="1"/>
      <c r="Z774" s="201"/>
      <c r="AA774" s="20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51" ht="13.5" thickBot="1" x14ac:dyDescent="0.35">
      <c r="A775" s="31" t="s">
        <v>1351</v>
      </c>
      <c r="B775" s="1" t="s">
        <v>1244</v>
      </c>
      <c r="C775" s="2" t="s">
        <v>459</v>
      </c>
      <c r="D775" s="2">
        <v>130</v>
      </c>
      <c r="E775" s="3">
        <v>2</v>
      </c>
      <c r="F775" s="3">
        <v>8</v>
      </c>
      <c r="G775" s="3">
        <v>0</v>
      </c>
      <c r="H775" s="62"/>
      <c r="I775" s="263"/>
      <c r="J775" s="264"/>
      <c r="K775" s="2"/>
      <c r="L775" s="6"/>
      <c r="M775" s="6"/>
      <c r="N775" s="6"/>
      <c r="O775" s="6"/>
      <c r="P775" s="6"/>
      <c r="Q775" s="6"/>
      <c r="R775" s="6"/>
      <c r="V775" s="6"/>
      <c r="Y775" s="7"/>
      <c r="Z775" s="206"/>
      <c r="AA775" s="206"/>
      <c r="AC775" s="7"/>
      <c r="AD775" s="7"/>
      <c r="AE775" s="7"/>
      <c r="AF775" s="7"/>
    </row>
    <row r="776" spans="1:51" ht="13.5" thickBot="1" x14ac:dyDescent="0.35">
      <c r="A776" s="76" t="s">
        <v>17</v>
      </c>
      <c r="B776" s="1" t="s">
        <v>1244</v>
      </c>
      <c r="C776" s="2" t="str">
        <f t="shared" ref="C776:C807" si="182">+C775</f>
        <v>DIO1</v>
      </c>
      <c r="D776" s="2">
        <v>130</v>
      </c>
      <c r="E776" s="3">
        <f t="shared" ref="E776:E807" si="183">+E775</f>
        <v>2</v>
      </c>
      <c r="F776" s="3">
        <f t="shared" ref="F776:F807" si="184">+F775</f>
        <v>8</v>
      </c>
      <c r="G776" s="3">
        <v>0</v>
      </c>
      <c r="H776" s="6"/>
      <c r="I776" s="263" t="s">
        <v>458</v>
      </c>
      <c r="J776" s="265"/>
      <c r="K776" s="1" t="s">
        <v>457</v>
      </c>
      <c r="L776" s="6"/>
      <c r="M776" s="6"/>
      <c r="N776" s="6"/>
      <c r="O776" s="6"/>
      <c r="P776" s="6"/>
      <c r="Q776" s="6"/>
      <c r="R776" s="6"/>
      <c r="V776" s="6"/>
      <c r="Y776" s="7"/>
      <c r="Z776" s="206"/>
      <c r="AA776" s="206"/>
      <c r="AC776" s="7"/>
      <c r="AD776" s="7"/>
      <c r="AE776" s="7"/>
      <c r="AF776" s="7"/>
    </row>
    <row r="777" spans="1:51" ht="13.5" thickBot="1" x14ac:dyDescent="0.35">
      <c r="A777" s="76" t="s">
        <v>17</v>
      </c>
      <c r="B777" s="1" t="s">
        <v>1244</v>
      </c>
      <c r="C777" s="2" t="str">
        <f t="shared" si="182"/>
        <v>DIO1</v>
      </c>
      <c r="D777" s="2">
        <v>130</v>
      </c>
      <c r="E777" s="3">
        <f t="shared" si="183"/>
        <v>2</v>
      </c>
      <c r="F777" s="3">
        <f t="shared" si="184"/>
        <v>8</v>
      </c>
      <c r="G777" s="3">
        <v>0</v>
      </c>
      <c r="H777" s="6"/>
      <c r="I777" s="263" t="s">
        <v>456</v>
      </c>
      <c r="J777" s="265"/>
      <c r="K777" s="2" t="s">
        <v>455</v>
      </c>
      <c r="L777" s="6"/>
      <c r="M777" s="70" t="s">
        <v>454</v>
      </c>
      <c r="N777" s="70"/>
      <c r="O777" s="70" t="s">
        <v>453</v>
      </c>
      <c r="P777" s="70"/>
      <c r="Q777" s="70" t="s">
        <v>452</v>
      </c>
      <c r="R777" s="6"/>
      <c r="V777" s="6"/>
      <c r="Y777" s="7"/>
      <c r="Z777" s="206"/>
      <c r="AA777" s="206"/>
      <c r="AC777" s="7"/>
      <c r="AD777" s="7"/>
      <c r="AE777" s="7"/>
      <c r="AF777" s="7"/>
    </row>
    <row r="778" spans="1:51" ht="13.5" thickBot="1" x14ac:dyDescent="0.35">
      <c r="A778" s="76" t="s">
        <v>17</v>
      </c>
      <c r="B778" s="1" t="s">
        <v>1244</v>
      </c>
      <c r="C778" s="2" t="str">
        <f t="shared" si="182"/>
        <v>DIO1</v>
      </c>
      <c r="D778" s="2">
        <v>130</v>
      </c>
      <c r="E778" s="3">
        <f t="shared" si="183"/>
        <v>2</v>
      </c>
      <c r="F778" s="3">
        <f t="shared" si="184"/>
        <v>8</v>
      </c>
      <c r="G778" s="3">
        <v>0</v>
      </c>
      <c r="H778" s="27">
        <v>0</v>
      </c>
      <c r="I778" s="263" t="s">
        <v>451</v>
      </c>
      <c r="J778" s="264"/>
      <c r="K778" s="1" t="s">
        <v>450</v>
      </c>
      <c r="L778" s="14" t="s">
        <v>1020</v>
      </c>
      <c r="M778" s="70">
        <f>+COUNTA(L779:L906)</f>
        <v>104</v>
      </c>
      <c r="N778" s="70"/>
      <c r="O778" s="70">
        <f>+COUNTBLANK(O779:O906)</f>
        <v>53</v>
      </c>
      <c r="P778" s="70"/>
      <c r="Q778" s="69">
        <f>+O778/M778</f>
        <v>0.50961538461538458</v>
      </c>
      <c r="Y778" s="7"/>
      <c r="Z778" s="206"/>
      <c r="AA778" s="206"/>
      <c r="AB778" s="4"/>
      <c r="AC778" s="7"/>
      <c r="AD778" s="7"/>
      <c r="AE778" s="7"/>
      <c r="AF778" s="7"/>
    </row>
    <row r="779" spans="1:51" x14ac:dyDescent="0.3">
      <c r="A779" s="76" t="s">
        <v>17</v>
      </c>
      <c r="B779" s="1" t="s">
        <v>1244</v>
      </c>
      <c r="C779" s="2" t="str">
        <f t="shared" si="182"/>
        <v>DIO1</v>
      </c>
      <c r="D779" s="2">
        <v>130</v>
      </c>
      <c r="E779" s="3">
        <f t="shared" si="183"/>
        <v>2</v>
      </c>
      <c r="F779" s="3">
        <f t="shared" si="184"/>
        <v>8</v>
      </c>
      <c r="G779" s="3">
        <v>0</v>
      </c>
      <c r="H779" s="62">
        <v>1</v>
      </c>
      <c r="I779" s="56">
        <v>0</v>
      </c>
      <c r="J779" s="222" t="s">
        <v>316</v>
      </c>
      <c r="K779" s="2" t="s">
        <v>315</v>
      </c>
      <c r="L779" s="1" t="s">
        <v>21</v>
      </c>
      <c r="M779" s="2">
        <v>4</v>
      </c>
      <c r="N779" s="1" t="s">
        <v>307</v>
      </c>
      <c r="O779" s="1" t="s">
        <v>72</v>
      </c>
      <c r="Q779" s="1" t="s">
        <v>1350</v>
      </c>
      <c r="R779" s="1" t="s">
        <v>24</v>
      </c>
      <c r="S779" s="13" t="s">
        <v>1219</v>
      </c>
      <c r="T779" s="1" t="s">
        <v>307</v>
      </c>
      <c r="V779" s="1" t="str">
        <f t="shared" ref="V779:V810" si="185">+CONCATENATE(E779,".",F779,"\",G779,".",H779,":",I779)</f>
        <v>2.8\0.1:0</v>
      </c>
      <c r="W779" s="1" t="s">
        <v>1344</v>
      </c>
      <c r="X779" s="18">
        <v>0</v>
      </c>
      <c r="Y779" s="7"/>
      <c r="Z779" s="206" t="s">
        <v>1198</v>
      </c>
      <c r="AA779" s="206"/>
      <c r="AC779" s="7"/>
      <c r="AD779" s="7"/>
      <c r="AE779" s="7"/>
      <c r="AG779" s="3" t="s">
        <v>768</v>
      </c>
      <c r="AH779" s="3"/>
      <c r="AI779" s="3">
        <v>1</v>
      </c>
      <c r="AJ779" s="200"/>
      <c r="AM779" s="3"/>
    </row>
    <row r="780" spans="1:51" x14ac:dyDescent="0.3">
      <c r="A780" s="5" t="str">
        <f t="shared" ref="A780:A811" si="186">A779</f>
        <v>BCV130</v>
      </c>
      <c r="B780" s="1" t="s">
        <v>1244</v>
      </c>
      <c r="C780" s="2" t="str">
        <f t="shared" si="182"/>
        <v>DIO1</v>
      </c>
      <c r="D780" s="2">
        <v>130</v>
      </c>
      <c r="E780" s="3">
        <f t="shared" si="183"/>
        <v>2</v>
      </c>
      <c r="F780" s="3">
        <f t="shared" si="184"/>
        <v>8</v>
      </c>
      <c r="G780" s="3">
        <v>0</v>
      </c>
      <c r="H780" s="60">
        <f>H779</f>
        <v>1</v>
      </c>
      <c r="I780" s="54">
        <f t="shared" ref="I780:I810" si="187">+I779+1</f>
        <v>1</v>
      </c>
      <c r="J780" s="61"/>
      <c r="L780" s="1" t="s">
        <v>21</v>
      </c>
      <c r="M780" s="2">
        <v>4</v>
      </c>
      <c r="N780" s="1" t="s">
        <v>307</v>
      </c>
      <c r="O780" s="1" t="s">
        <v>320</v>
      </c>
      <c r="Q780" s="1" t="s">
        <v>1218</v>
      </c>
      <c r="R780" s="1" t="s">
        <v>18</v>
      </c>
      <c r="S780" s="13" t="s">
        <v>1217</v>
      </c>
      <c r="T780" s="1" t="s">
        <v>307</v>
      </c>
      <c r="V780" s="1" t="str">
        <f t="shared" si="185"/>
        <v>2.8\0.1:1</v>
      </c>
      <c r="W780" s="1" t="s">
        <v>1344</v>
      </c>
      <c r="X780" s="18">
        <v>0</v>
      </c>
      <c r="Y780" s="7"/>
      <c r="Z780" s="206" t="s">
        <v>1198</v>
      </c>
      <c r="AA780" s="206"/>
      <c r="AC780" s="7"/>
      <c r="AD780" s="7"/>
      <c r="AE780" s="7"/>
      <c r="AG780" s="3" t="s">
        <v>768</v>
      </c>
      <c r="AH780" s="3"/>
      <c r="AI780" s="3">
        <v>2</v>
      </c>
      <c r="AJ780" s="200"/>
      <c r="AM780" s="3"/>
    </row>
    <row r="781" spans="1:51" x14ac:dyDescent="0.3">
      <c r="A781" s="5" t="str">
        <f t="shared" si="186"/>
        <v>BCV130</v>
      </c>
      <c r="B781" s="1" t="s">
        <v>1244</v>
      </c>
      <c r="C781" s="2" t="str">
        <f t="shared" si="182"/>
        <v>DIO1</v>
      </c>
      <c r="D781" s="2">
        <v>130</v>
      </c>
      <c r="E781" s="3">
        <f t="shared" si="183"/>
        <v>2</v>
      </c>
      <c r="F781" s="3">
        <f t="shared" si="184"/>
        <v>8</v>
      </c>
      <c r="G781" s="3">
        <v>0</v>
      </c>
      <c r="H781" s="60">
        <f>H779</f>
        <v>1</v>
      </c>
      <c r="I781" s="54">
        <f t="shared" si="187"/>
        <v>2</v>
      </c>
      <c r="J781" s="61"/>
      <c r="K781" s="30"/>
      <c r="L781" s="1" t="s">
        <v>21</v>
      </c>
      <c r="M781" s="2">
        <v>4</v>
      </c>
      <c r="N781" s="1" t="s">
        <v>307</v>
      </c>
      <c r="O781" s="1" t="s">
        <v>350</v>
      </c>
      <c r="Q781" s="1" t="s">
        <v>1216</v>
      </c>
      <c r="R781" s="1" t="s">
        <v>18</v>
      </c>
      <c r="S781" s="13" t="s">
        <v>1215</v>
      </c>
      <c r="T781" s="1" t="s">
        <v>307</v>
      </c>
      <c r="V781" s="1" t="str">
        <f t="shared" si="185"/>
        <v>2.8\0.1:2</v>
      </c>
      <c r="W781" s="1" t="s">
        <v>1344</v>
      </c>
      <c r="X781" s="18">
        <v>0</v>
      </c>
      <c r="Y781" s="7"/>
      <c r="Z781" s="206" t="s">
        <v>1198</v>
      </c>
      <c r="AA781" s="206"/>
      <c r="AC781" s="7"/>
      <c r="AD781" s="7"/>
      <c r="AE781" s="7"/>
      <c r="AG781" s="3" t="s">
        <v>768</v>
      </c>
      <c r="AH781" s="3"/>
      <c r="AI781" s="3">
        <v>3</v>
      </c>
      <c r="AJ781" s="200"/>
      <c r="AM781" s="3"/>
    </row>
    <row r="782" spans="1:51" x14ac:dyDescent="0.3">
      <c r="A782" s="5" t="str">
        <f t="shared" si="186"/>
        <v>BCV130</v>
      </c>
      <c r="B782" s="1" t="s">
        <v>1244</v>
      </c>
      <c r="C782" s="2" t="str">
        <f t="shared" si="182"/>
        <v>DIO1</v>
      </c>
      <c r="D782" s="2">
        <v>130</v>
      </c>
      <c r="E782" s="3">
        <f t="shared" si="183"/>
        <v>2</v>
      </c>
      <c r="F782" s="3">
        <f t="shared" si="184"/>
        <v>8</v>
      </c>
      <c r="G782" s="3">
        <v>0</v>
      </c>
      <c r="H782" s="60">
        <f t="shared" ref="H782:H793" si="188">H779</f>
        <v>1</v>
      </c>
      <c r="I782" s="54">
        <f t="shared" si="187"/>
        <v>3</v>
      </c>
      <c r="J782" s="61"/>
      <c r="K782" s="30"/>
      <c r="L782" s="1" t="s">
        <v>21</v>
      </c>
      <c r="M782" s="2">
        <v>4</v>
      </c>
      <c r="N782" s="1" t="s">
        <v>307</v>
      </c>
      <c r="O782" s="1" t="s">
        <v>348</v>
      </c>
      <c r="Q782" s="1" t="s">
        <v>1214</v>
      </c>
      <c r="R782" s="1" t="s">
        <v>18</v>
      </c>
      <c r="S782" s="13" t="s">
        <v>1213</v>
      </c>
      <c r="T782" s="1" t="s">
        <v>307</v>
      </c>
      <c r="V782" s="1" t="str">
        <f t="shared" si="185"/>
        <v>2.8\0.1:3</v>
      </c>
      <c r="W782" s="1" t="s">
        <v>1344</v>
      </c>
      <c r="X782" s="18">
        <v>0</v>
      </c>
      <c r="Y782" s="7"/>
      <c r="Z782" s="206" t="s">
        <v>1198</v>
      </c>
      <c r="AA782" s="206"/>
      <c r="AC782" s="7"/>
      <c r="AD782" s="7"/>
      <c r="AE782" s="7"/>
      <c r="AG782" s="3" t="s">
        <v>768</v>
      </c>
      <c r="AH782" s="3"/>
      <c r="AI782" s="3">
        <v>4</v>
      </c>
      <c r="AJ782" s="200"/>
      <c r="AM782" s="3"/>
    </row>
    <row r="783" spans="1:51" x14ac:dyDescent="0.3">
      <c r="A783" s="5" t="str">
        <f t="shared" si="186"/>
        <v>BCV130</v>
      </c>
      <c r="B783" s="1" t="s">
        <v>1244</v>
      </c>
      <c r="C783" s="2" t="str">
        <f t="shared" si="182"/>
        <v>DIO1</v>
      </c>
      <c r="D783" s="2">
        <v>130</v>
      </c>
      <c r="E783" s="3">
        <f t="shared" si="183"/>
        <v>2</v>
      </c>
      <c r="F783" s="3">
        <f t="shared" si="184"/>
        <v>8</v>
      </c>
      <c r="G783" s="3">
        <v>0</v>
      </c>
      <c r="H783" s="60">
        <f t="shared" si="188"/>
        <v>1</v>
      </c>
      <c r="I783" s="54">
        <f t="shared" si="187"/>
        <v>4</v>
      </c>
      <c r="J783" s="61"/>
      <c r="K783" s="30"/>
      <c r="L783" s="1" t="s">
        <v>21</v>
      </c>
      <c r="M783" s="2">
        <v>4</v>
      </c>
      <c r="N783" s="1" t="s">
        <v>307</v>
      </c>
      <c r="O783" s="1" t="s">
        <v>345</v>
      </c>
      <c r="Q783" s="1" t="s">
        <v>1212</v>
      </c>
      <c r="R783" s="1" t="s">
        <v>18</v>
      </c>
      <c r="S783" s="13" t="s">
        <v>1211</v>
      </c>
      <c r="T783" s="1" t="s">
        <v>307</v>
      </c>
      <c r="V783" s="1" t="str">
        <f t="shared" si="185"/>
        <v>2.8\0.1:4</v>
      </c>
      <c r="W783" s="1" t="s">
        <v>1344</v>
      </c>
      <c r="X783" s="18">
        <v>0</v>
      </c>
      <c r="Y783" s="7"/>
      <c r="Z783" s="206" t="s">
        <v>1198</v>
      </c>
      <c r="AA783" s="206"/>
      <c r="AC783" s="7"/>
      <c r="AD783" s="7"/>
      <c r="AE783" s="7"/>
      <c r="AG783" s="3" t="s">
        <v>768</v>
      </c>
      <c r="AH783" s="3"/>
      <c r="AI783" s="3">
        <v>5</v>
      </c>
      <c r="AJ783" s="200"/>
      <c r="AM783" s="3"/>
    </row>
    <row r="784" spans="1:51" x14ac:dyDescent="0.3">
      <c r="A784" s="5" t="str">
        <f t="shared" si="186"/>
        <v>BCV130</v>
      </c>
      <c r="B784" s="1" t="s">
        <v>1244</v>
      </c>
      <c r="C784" s="2" t="str">
        <f t="shared" si="182"/>
        <v>DIO1</v>
      </c>
      <c r="D784" s="2">
        <v>130</v>
      </c>
      <c r="E784" s="3">
        <f t="shared" si="183"/>
        <v>2</v>
      </c>
      <c r="F784" s="3">
        <f t="shared" si="184"/>
        <v>8</v>
      </c>
      <c r="G784" s="3">
        <v>0</v>
      </c>
      <c r="H784" s="60">
        <f t="shared" si="188"/>
        <v>1</v>
      </c>
      <c r="I784" s="54">
        <f t="shared" si="187"/>
        <v>5</v>
      </c>
      <c r="J784" s="61"/>
      <c r="K784" s="30"/>
      <c r="L784" s="1" t="s">
        <v>21</v>
      </c>
      <c r="M784" s="2">
        <v>4</v>
      </c>
      <c r="N784" s="1" t="s">
        <v>307</v>
      </c>
      <c r="O784" s="1" t="s">
        <v>342</v>
      </c>
      <c r="Q784" s="1" t="s">
        <v>1349</v>
      </c>
      <c r="R784" s="1" t="s">
        <v>18</v>
      </c>
      <c r="S784" s="13" t="s">
        <v>1008</v>
      </c>
      <c r="T784" s="1" t="s">
        <v>307</v>
      </c>
      <c r="V784" s="1" t="str">
        <f t="shared" si="185"/>
        <v>2.8\0.1:5</v>
      </c>
      <c r="W784" s="1" t="s">
        <v>1344</v>
      </c>
      <c r="X784" s="18">
        <v>0</v>
      </c>
      <c r="Y784" s="7"/>
      <c r="Z784" s="206" t="s">
        <v>1198</v>
      </c>
      <c r="AA784" s="206"/>
      <c r="AC784" s="7"/>
      <c r="AD784" s="7"/>
      <c r="AE784" s="7"/>
      <c r="AG784" s="3" t="s">
        <v>768</v>
      </c>
      <c r="AH784" s="3"/>
      <c r="AI784" s="3">
        <v>6</v>
      </c>
      <c r="AJ784" s="200"/>
      <c r="AM784" s="3"/>
    </row>
    <row r="785" spans="1:39" x14ac:dyDescent="0.3">
      <c r="A785" s="5" t="str">
        <f t="shared" si="186"/>
        <v>BCV130</v>
      </c>
      <c r="B785" s="1" t="s">
        <v>1244</v>
      </c>
      <c r="C785" s="2" t="str">
        <f t="shared" si="182"/>
        <v>DIO1</v>
      </c>
      <c r="D785" s="2">
        <v>130</v>
      </c>
      <c r="E785" s="3">
        <f t="shared" si="183"/>
        <v>2</v>
      </c>
      <c r="F785" s="3">
        <f t="shared" si="184"/>
        <v>8</v>
      </c>
      <c r="G785" s="3">
        <v>0</v>
      </c>
      <c r="H785" s="60">
        <f t="shared" si="188"/>
        <v>1</v>
      </c>
      <c r="I785" s="54">
        <f t="shared" si="187"/>
        <v>6</v>
      </c>
      <c r="J785" s="61"/>
      <c r="K785" s="30"/>
      <c r="L785" s="1" t="s">
        <v>21</v>
      </c>
      <c r="M785" s="2">
        <v>4</v>
      </c>
      <c r="N785" s="1" t="s">
        <v>307</v>
      </c>
      <c r="O785" s="220" t="s">
        <v>339</v>
      </c>
      <c r="P785" s="220"/>
      <c r="Q785" s="1" t="s">
        <v>1348</v>
      </c>
      <c r="R785" s="1" t="s">
        <v>18</v>
      </c>
      <c r="S785" s="13" t="s">
        <v>1207</v>
      </c>
      <c r="T785" s="1" t="s">
        <v>307</v>
      </c>
      <c r="V785" s="1" t="str">
        <f t="shared" si="185"/>
        <v>2.8\0.1:6</v>
      </c>
      <c r="W785" s="1" t="s">
        <v>1344</v>
      </c>
      <c r="X785" s="18">
        <v>0</v>
      </c>
      <c r="Y785" s="7"/>
      <c r="Z785" s="206" t="s">
        <v>1198</v>
      </c>
      <c r="AA785" s="206"/>
      <c r="AC785" s="7"/>
      <c r="AD785" s="7"/>
      <c r="AE785" s="7"/>
      <c r="AG785" s="3" t="s">
        <v>768</v>
      </c>
      <c r="AH785" s="3"/>
      <c r="AI785" s="3">
        <v>7</v>
      </c>
      <c r="AJ785" s="200"/>
      <c r="AM785" s="3"/>
    </row>
    <row r="786" spans="1:39" x14ac:dyDescent="0.3">
      <c r="A786" s="5" t="str">
        <f t="shared" si="186"/>
        <v>BCV130</v>
      </c>
      <c r="B786" s="1" t="s">
        <v>1244</v>
      </c>
      <c r="C786" s="2" t="str">
        <f t="shared" si="182"/>
        <v>DIO1</v>
      </c>
      <c r="D786" s="2">
        <v>130</v>
      </c>
      <c r="E786" s="3">
        <f t="shared" si="183"/>
        <v>2</v>
      </c>
      <c r="F786" s="3">
        <f t="shared" si="184"/>
        <v>8</v>
      </c>
      <c r="G786" s="3">
        <v>0</v>
      </c>
      <c r="H786" s="60">
        <f t="shared" si="188"/>
        <v>1</v>
      </c>
      <c r="I786" s="54">
        <f t="shared" si="187"/>
        <v>7</v>
      </c>
      <c r="J786" s="61"/>
      <c r="K786" s="30"/>
      <c r="L786" s="1" t="s">
        <v>21</v>
      </c>
      <c r="M786" s="2">
        <v>7</v>
      </c>
      <c r="N786" s="1" t="s">
        <v>307</v>
      </c>
      <c r="O786" s="220" t="s">
        <v>336</v>
      </c>
      <c r="P786" s="220"/>
      <c r="Q786" s="235" t="s">
        <v>1347</v>
      </c>
      <c r="R786" s="1" t="s">
        <v>18</v>
      </c>
      <c r="S786" s="13" t="s">
        <v>661</v>
      </c>
      <c r="T786" s="1" t="s">
        <v>307</v>
      </c>
      <c r="V786" s="1" t="str">
        <f t="shared" si="185"/>
        <v>2.8\0.1:7</v>
      </c>
      <c r="W786" s="1" t="s">
        <v>1344</v>
      </c>
      <c r="X786" s="18">
        <v>0</v>
      </c>
      <c r="Y786" s="7"/>
      <c r="Z786" s="206" t="s">
        <v>1198</v>
      </c>
      <c r="AA786" s="206"/>
      <c r="AC786" s="7"/>
      <c r="AD786" s="7"/>
      <c r="AE786" s="7"/>
      <c r="AG786" s="3" t="s">
        <v>768</v>
      </c>
      <c r="AH786" s="3"/>
      <c r="AI786" s="3">
        <v>8</v>
      </c>
      <c r="AJ786" s="200"/>
      <c r="AM786" s="3"/>
    </row>
    <row r="787" spans="1:39" x14ac:dyDescent="0.3">
      <c r="A787" s="5" t="str">
        <f t="shared" si="186"/>
        <v>BCV130</v>
      </c>
      <c r="B787" s="1" t="s">
        <v>1244</v>
      </c>
      <c r="C787" s="2" t="str">
        <f t="shared" si="182"/>
        <v>DIO1</v>
      </c>
      <c r="D787" s="2">
        <v>130</v>
      </c>
      <c r="E787" s="3">
        <f t="shared" si="183"/>
        <v>2</v>
      </c>
      <c r="F787" s="3">
        <f t="shared" si="184"/>
        <v>8</v>
      </c>
      <c r="G787" s="3">
        <v>0</v>
      </c>
      <c r="H787" s="60">
        <f t="shared" si="188"/>
        <v>1</v>
      </c>
      <c r="I787" s="54">
        <f t="shared" si="187"/>
        <v>8</v>
      </c>
      <c r="J787" s="61"/>
      <c r="K787" s="30"/>
      <c r="L787" s="1" t="s">
        <v>21</v>
      </c>
      <c r="M787" s="2">
        <v>7</v>
      </c>
      <c r="N787" s="1" t="s">
        <v>307</v>
      </c>
      <c r="O787" s="1" t="s">
        <v>334</v>
      </c>
      <c r="Q787" s="235" t="s">
        <v>1346</v>
      </c>
      <c r="R787" s="1" t="s">
        <v>18</v>
      </c>
      <c r="S787" s="13" t="s">
        <v>1003</v>
      </c>
      <c r="T787" s="1" t="s">
        <v>307</v>
      </c>
      <c r="V787" s="1" t="str">
        <f t="shared" si="185"/>
        <v>2.8\0.1:8</v>
      </c>
      <c r="W787" s="1" t="s">
        <v>1344</v>
      </c>
      <c r="X787" s="18">
        <v>0</v>
      </c>
      <c r="Y787" s="7"/>
      <c r="Z787" s="206" t="s">
        <v>1198</v>
      </c>
      <c r="AA787" s="206"/>
      <c r="AC787" s="7"/>
      <c r="AD787" s="7"/>
      <c r="AE787" s="7"/>
      <c r="AG787" s="3" t="s">
        <v>768</v>
      </c>
      <c r="AH787" s="3"/>
      <c r="AI787" s="3">
        <v>9</v>
      </c>
      <c r="AJ787" s="200"/>
      <c r="AM787" s="3"/>
    </row>
    <row r="788" spans="1:39" x14ac:dyDescent="0.3">
      <c r="A788" s="5" t="str">
        <f t="shared" si="186"/>
        <v>BCV130</v>
      </c>
      <c r="B788" s="1" t="s">
        <v>1244</v>
      </c>
      <c r="C788" s="2" t="str">
        <f t="shared" si="182"/>
        <v>DIO1</v>
      </c>
      <c r="D788" s="2">
        <v>130</v>
      </c>
      <c r="E788" s="3">
        <f t="shared" si="183"/>
        <v>2</v>
      </c>
      <c r="F788" s="3">
        <f t="shared" si="184"/>
        <v>8</v>
      </c>
      <c r="G788" s="3">
        <v>0</v>
      </c>
      <c r="H788" s="60">
        <f t="shared" si="188"/>
        <v>1</v>
      </c>
      <c r="I788" s="54">
        <f t="shared" si="187"/>
        <v>9</v>
      </c>
      <c r="J788" s="61"/>
      <c r="K788" s="30"/>
      <c r="L788" s="1" t="s">
        <v>21</v>
      </c>
      <c r="M788" s="2">
        <v>7</v>
      </c>
      <c r="N788" s="1" t="s">
        <v>307</v>
      </c>
      <c r="O788" s="1" t="s">
        <v>332</v>
      </c>
      <c r="Q788" s="6" t="s">
        <v>1345</v>
      </c>
      <c r="R788" s="1" t="s">
        <v>18</v>
      </c>
      <c r="S788" s="13" t="s">
        <v>1202</v>
      </c>
      <c r="T788" s="1" t="s">
        <v>307</v>
      </c>
      <c r="V788" s="1" t="str">
        <f t="shared" si="185"/>
        <v>2.8\0.1:9</v>
      </c>
      <c r="W788" s="1" t="s">
        <v>1344</v>
      </c>
      <c r="X788" s="18">
        <v>0</v>
      </c>
      <c r="Y788" s="7"/>
      <c r="Z788" s="206" t="s">
        <v>1198</v>
      </c>
      <c r="AA788" s="206"/>
      <c r="AC788" s="7"/>
      <c r="AD788" s="7"/>
      <c r="AE788" s="7"/>
      <c r="AG788" s="3" t="s">
        <v>768</v>
      </c>
      <c r="AH788" s="3"/>
      <c r="AI788" s="3">
        <v>10</v>
      </c>
      <c r="AJ788" s="200"/>
      <c r="AM788" s="3"/>
    </row>
    <row r="789" spans="1:39" x14ac:dyDescent="0.3">
      <c r="A789" s="5" t="str">
        <f t="shared" si="186"/>
        <v>BCV130</v>
      </c>
      <c r="B789" s="1" t="s">
        <v>1244</v>
      </c>
      <c r="C789" s="2" t="str">
        <f t="shared" si="182"/>
        <v>DIO1</v>
      </c>
      <c r="D789" s="2">
        <v>130</v>
      </c>
      <c r="E789" s="3">
        <f t="shared" si="183"/>
        <v>2</v>
      </c>
      <c r="F789" s="3">
        <f t="shared" si="184"/>
        <v>8</v>
      </c>
      <c r="G789" s="3">
        <v>0</v>
      </c>
      <c r="H789" s="60">
        <f t="shared" si="188"/>
        <v>1</v>
      </c>
      <c r="I789" s="54">
        <f t="shared" si="187"/>
        <v>10</v>
      </c>
      <c r="J789" s="61"/>
      <c r="K789" s="30"/>
      <c r="L789" s="1" t="s">
        <v>21</v>
      </c>
      <c r="M789" s="2">
        <v>4</v>
      </c>
      <c r="N789" s="1" t="s">
        <v>307</v>
      </c>
      <c r="O789" s="220" t="s">
        <v>330</v>
      </c>
      <c r="P789" s="220"/>
      <c r="Q789" s="1" t="s">
        <v>1002</v>
      </c>
      <c r="R789" s="1" t="s">
        <v>18</v>
      </c>
      <c r="S789" s="13" t="s">
        <v>1201</v>
      </c>
      <c r="T789" s="1" t="s">
        <v>307</v>
      </c>
      <c r="V789" s="1" t="str">
        <f t="shared" si="185"/>
        <v>2.8\0.1:10</v>
      </c>
      <c r="W789" s="1" t="s">
        <v>1344</v>
      </c>
      <c r="X789" s="18">
        <v>0</v>
      </c>
      <c r="Z789" s="206" t="s">
        <v>1198</v>
      </c>
      <c r="AC789" s="7"/>
      <c r="AD789" s="7"/>
      <c r="AE789" s="7"/>
      <c r="AG789" s="3" t="s">
        <v>768</v>
      </c>
      <c r="AH789" s="3"/>
      <c r="AI789" s="3">
        <v>11</v>
      </c>
      <c r="AJ789" s="200"/>
      <c r="AM789" s="3"/>
    </row>
    <row r="790" spans="1:39" x14ac:dyDescent="0.3">
      <c r="A790" s="5" t="str">
        <f t="shared" si="186"/>
        <v>BCV130</v>
      </c>
      <c r="B790" s="1" t="s">
        <v>1244</v>
      </c>
      <c r="C790" s="2" t="str">
        <f t="shared" si="182"/>
        <v>DIO1</v>
      </c>
      <c r="D790" s="2">
        <v>130</v>
      </c>
      <c r="E790" s="3">
        <f t="shared" si="183"/>
        <v>2</v>
      </c>
      <c r="F790" s="3">
        <f t="shared" si="184"/>
        <v>8</v>
      </c>
      <c r="G790" s="3">
        <v>0</v>
      </c>
      <c r="H790" s="60">
        <f t="shared" si="188"/>
        <v>1</v>
      </c>
      <c r="I790" s="54">
        <f t="shared" si="187"/>
        <v>11</v>
      </c>
      <c r="J790" s="61"/>
      <c r="K790" s="30"/>
      <c r="L790" s="1" t="s">
        <v>21</v>
      </c>
      <c r="M790" s="2">
        <v>4</v>
      </c>
      <c r="N790" s="1" t="s">
        <v>307</v>
      </c>
      <c r="O790" s="220" t="s">
        <v>328</v>
      </c>
      <c r="P790" s="220"/>
      <c r="Q790" s="1" t="s">
        <v>1002</v>
      </c>
      <c r="R790" s="1" t="s">
        <v>18</v>
      </c>
      <c r="S790" s="13" t="s">
        <v>1200</v>
      </c>
      <c r="T790" s="1" t="s">
        <v>307</v>
      </c>
      <c r="V790" s="1" t="str">
        <f t="shared" si="185"/>
        <v>2.8\0.1:11</v>
      </c>
      <c r="W790" s="1" t="s">
        <v>1344</v>
      </c>
      <c r="X790" s="18">
        <v>0</v>
      </c>
      <c r="Z790" s="206" t="s">
        <v>1198</v>
      </c>
      <c r="AC790" s="7"/>
      <c r="AD790" s="7"/>
      <c r="AE790" s="7"/>
      <c r="AG790" s="3" t="s">
        <v>768</v>
      </c>
      <c r="AH790" s="3"/>
      <c r="AI790" s="3">
        <v>12</v>
      </c>
      <c r="AJ790" s="200"/>
      <c r="AM790" s="3"/>
    </row>
    <row r="791" spans="1:39" x14ac:dyDescent="0.3">
      <c r="A791" s="5" t="str">
        <f t="shared" si="186"/>
        <v>BCV130</v>
      </c>
      <c r="B791" s="1" t="s">
        <v>1244</v>
      </c>
      <c r="C791" s="2" t="str">
        <f t="shared" si="182"/>
        <v>DIO1</v>
      </c>
      <c r="D791" s="2">
        <v>130</v>
      </c>
      <c r="E791" s="3">
        <f t="shared" si="183"/>
        <v>2</v>
      </c>
      <c r="F791" s="3">
        <f t="shared" si="184"/>
        <v>8</v>
      </c>
      <c r="G791" s="3">
        <v>0</v>
      </c>
      <c r="H791" s="60">
        <f t="shared" si="188"/>
        <v>1</v>
      </c>
      <c r="I791" s="54">
        <f t="shared" si="187"/>
        <v>12</v>
      </c>
      <c r="J791" s="61"/>
      <c r="K791" s="30"/>
      <c r="L791" s="1" t="s">
        <v>21</v>
      </c>
      <c r="M791" s="2"/>
      <c r="O791" s="12"/>
      <c r="P791" s="12"/>
      <c r="Q791" s="12" t="s">
        <v>302</v>
      </c>
      <c r="R791" s="12" t="s">
        <v>302</v>
      </c>
      <c r="V791" s="1" t="str">
        <f t="shared" si="185"/>
        <v>2.8\0.1:12</v>
      </c>
      <c r="Y791" s="7"/>
      <c r="Z791" s="206" t="s">
        <v>1062</v>
      </c>
      <c r="AA791" s="206"/>
      <c r="AC791" s="7"/>
      <c r="AD791" s="7"/>
      <c r="AE791" s="7"/>
      <c r="AG791" s="3" t="s">
        <v>768</v>
      </c>
      <c r="AH791" s="3"/>
      <c r="AI791" s="3">
        <v>13</v>
      </c>
      <c r="AJ791" s="200"/>
      <c r="AM791" s="3"/>
    </row>
    <row r="792" spans="1:39" x14ac:dyDescent="0.3">
      <c r="A792" s="5" t="str">
        <f t="shared" si="186"/>
        <v>BCV130</v>
      </c>
      <c r="B792" s="1" t="s">
        <v>1244</v>
      </c>
      <c r="C792" s="2" t="str">
        <f t="shared" si="182"/>
        <v>DIO1</v>
      </c>
      <c r="D792" s="2">
        <v>130</v>
      </c>
      <c r="E792" s="3">
        <f t="shared" si="183"/>
        <v>2</v>
      </c>
      <c r="F792" s="3">
        <f t="shared" si="184"/>
        <v>8</v>
      </c>
      <c r="G792" s="3">
        <v>0</v>
      </c>
      <c r="H792" s="60">
        <f t="shared" si="188"/>
        <v>1</v>
      </c>
      <c r="I792" s="54">
        <f t="shared" si="187"/>
        <v>13</v>
      </c>
      <c r="J792" s="61"/>
      <c r="K792" s="30"/>
      <c r="L792" s="1" t="s">
        <v>21</v>
      </c>
      <c r="M792" s="2"/>
      <c r="Q792" s="1" t="s">
        <v>302</v>
      </c>
      <c r="R792" s="1" t="s">
        <v>302</v>
      </c>
      <c r="V792" s="1" t="str">
        <f t="shared" si="185"/>
        <v>2.8\0.1:13</v>
      </c>
      <c r="Y792" s="7"/>
      <c r="Z792" s="206" t="s">
        <v>1062</v>
      </c>
      <c r="AA792" s="206"/>
      <c r="AC792" s="7"/>
      <c r="AD792" s="7"/>
      <c r="AE792" s="7"/>
      <c r="AG792" s="3" t="s">
        <v>768</v>
      </c>
      <c r="AH792" s="3"/>
      <c r="AI792" s="3">
        <v>14</v>
      </c>
      <c r="AJ792" s="200"/>
      <c r="AM792" s="3"/>
    </row>
    <row r="793" spans="1:39" x14ac:dyDescent="0.3">
      <c r="A793" s="5" t="str">
        <f t="shared" si="186"/>
        <v>BCV130</v>
      </c>
      <c r="B793" s="1" t="s">
        <v>1244</v>
      </c>
      <c r="C793" s="2" t="str">
        <f t="shared" si="182"/>
        <v>DIO1</v>
      </c>
      <c r="D793" s="2">
        <v>130</v>
      </c>
      <c r="E793" s="3">
        <f t="shared" si="183"/>
        <v>2</v>
      </c>
      <c r="F793" s="3">
        <f t="shared" si="184"/>
        <v>8</v>
      </c>
      <c r="G793" s="3">
        <v>0</v>
      </c>
      <c r="H793" s="60">
        <f t="shared" si="188"/>
        <v>1</v>
      </c>
      <c r="I793" s="54">
        <f t="shared" si="187"/>
        <v>14</v>
      </c>
      <c r="J793" s="61"/>
      <c r="K793" s="30"/>
      <c r="L793" s="1" t="s">
        <v>21</v>
      </c>
      <c r="M793" s="2"/>
      <c r="Q793" s="1" t="s">
        <v>302</v>
      </c>
      <c r="R793" s="1" t="s">
        <v>302</v>
      </c>
      <c r="V793" s="1" t="str">
        <f t="shared" si="185"/>
        <v>2.8\0.1:14</v>
      </c>
      <c r="Y793" s="7"/>
      <c r="Z793" s="206" t="s">
        <v>1062</v>
      </c>
      <c r="AA793" s="206"/>
      <c r="AC793" s="7"/>
      <c r="AD793" s="7"/>
      <c r="AE793" s="7"/>
      <c r="AG793" s="3" t="s">
        <v>768</v>
      </c>
      <c r="AH793" s="3"/>
      <c r="AI793" s="3">
        <v>15</v>
      </c>
      <c r="AJ793" s="200"/>
      <c r="AM793" s="3"/>
    </row>
    <row r="794" spans="1:39" x14ac:dyDescent="0.3">
      <c r="A794" s="5" t="str">
        <f t="shared" si="186"/>
        <v>BCV130</v>
      </c>
      <c r="B794" s="1" t="s">
        <v>1244</v>
      </c>
      <c r="C794" s="2" t="str">
        <f t="shared" si="182"/>
        <v>DIO1</v>
      </c>
      <c r="D794" s="2">
        <v>130</v>
      </c>
      <c r="E794" s="3">
        <f t="shared" si="183"/>
        <v>2</v>
      </c>
      <c r="F794" s="3">
        <f t="shared" si="184"/>
        <v>8</v>
      </c>
      <c r="G794" s="3">
        <v>0</v>
      </c>
      <c r="H794" s="60">
        <f t="shared" ref="H794:H810" si="189">H790</f>
        <v>1</v>
      </c>
      <c r="I794" s="54">
        <f t="shared" si="187"/>
        <v>15</v>
      </c>
      <c r="J794" s="61"/>
      <c r="K794" s="30"/>
      <c r="L794" s="1" t="s">
        <v>21</v>
      </c>
      <c r="M794" s="2"/>
      <c r="Q794" s="1" t="s">
        <v>302</v>
      </c>
      <c r="R794" s="1" t="s">
        <v>302</v>
      </c>
      <c r="V794" s="1" t="str">
        <f t="shared" si="185"/>
        <v>2.8\0.1:15</v>
      </c>
      <c r="W794" s="13"/>
      <c r="Y794" s="7"/>
      <c r="Z794" s="206" t="s">
        <v>1062</v>
      </c>
      <c r="AA794" s="206"/>
      <c r="AC794" s="7"/>
      <c r="AD794" s="7"/>
      <c r="AE794" s="7"/>
      <c r="AG794" s="3" t="s">
        <v>768</v>
      </c>
      <c r="AH794" s="3"/>
      <c r="AI794" s="3">
        <v>16</v>
      </c>
      <c r="AJ794" s="200"/>
      <c r="AM794" s="3"/>
    </row>
    <row r="795" spans="1:39" x14ac:dyDescent="0.3">
      <c r="A795" s="5" t="str">
        <f t="shared" si="186"/>
        <v>BCV130</v>
      </c>
      <c r="B795" s="1" t="s">
        <v>1244</v>
      </c>
      <c r="C795" s="2" t="str">
        <f t="shared" si="182"/>
        <v>DIO1</v>
      </c>
      <c r="D795" s="2">
        <v>130</v>
      </c>
      <c r="E795" s="3">
        <f t="shared" si="183"/>
        <v>2</v>
      </c>
      <c r="F795" s="3">
        <f t="shared" si="184"/>
        <v>8</v>
      </c>
      <c r="G795" s="3">
        <v>0</v>
      </c>
      <c r="H795" s="60">
        <f t="shared" si="189"/>
        <v>1</v>
      </c>
      <c r="I795" s="54">
        <f t="shared" si="187"/>
        <v>16</v>
      </c>
      <c r="J795" s="61"/>
      <c r="K795" s="2"/>
      <c r="L795" s="1" t="s">
        <v>21</v>
      </c>
      <c r="M795" s="2">
        <v>4</v>
      </c>
      <c r="N795" s="1" t="s">
        <v>1235</v>
      </c>
      <c r="O795" s="1" t="s">
        <v>1234</v>
      </c>
      <c r="P795" s="1" t="s">
        <v>1224</v>
      </c>
      <c r="Q795" s="1" t="s">
        <v>1233</v>
      </c>
      <c r="R795" s="1" t="s">
        <v>18</v>
      </c>
      <c r="S795" s="13" t="s">
        <v>510</v>
      </c>
      <c r="T795" s="1" t="s">
        <v>17</v>
      </c>
      <c r="V795" s="1" t="str">
        <f t="shared" si="185"/>
        <v>2.8\0.1:16</v>
      </c>
      <c r="W795" s="13" t="s">
        <v>1222</v>
      </c>
      <c r="X795" s="18">
        <v>0</v>
      </c>
      <c r="Y795" s="7"/>
      <c r="Z795" s="206" t="s">
        <v>1198</v>
      </c>
      <c r="AA795" s="206"/>
      <c r="AC795" s="7"/>
      <c r="AD795" s="7"/>
      <c r="AE795" s="7"/>
      <c r="AG795" s="3" t="s">
        <v>768</v>
      </c>
      <c r="AH795" s="3">
        <v>17</v>
      </c>
      <c r="AI795" s="3">
        <v>18</v>
      </c>
      <c r="AJ795" s="200"/>
      <c r="AM795" s="3"/>
    </row>
    <row r="796" spans="1:39" x14ac:dyDescent="0.3">
      <c r="A796" s="5" t="str">
        <f t="shared" si="186"/>
        <v>BCV130</v>
      </c>
      <c r="B796" s="1" t="s">
        <v>1244</v>
      </c>
      <c r="C796" s="2" t="str">
        <f t="shared" si="182"/>
        <v>DIO1</v>
      </c>
      <c r="D796" s="2">
        <v>130</v>
      </c>
      <c r="E796" s="3">
        <f t="shared" si="183"/>
        <v>2</v>
      </c>
      <c r="F796" s="3">
        <f t="shared" si="184"/>
        <v>8</v>
      </c>
      <c r="G796" s="3">
        <v>0</v>
      </c>
      <c r="H796" s="60">
        <f t="shared" si="189"/>
        <v>1</v>
      </c>
      <c r="I796" s="54">
        <f t="shared" si="187"/>
        <v>17</v>
      </c>
      <c r="J796" s="61"/>
      <c r="K796" s="30"/>
      <c r="L796" s="1" t="s">
        <v>21</v>
      </c>
      <c r="M796" s="2">
        <v>4</v>
      </c>
      <c r="N796" s="1" t="s">
        <v>1232</v>
      </c>
      <c r="O796" s="1" t="s">
        <v>1231</v>
      </c>
      <c r="P796" s="1" t="s">
        <v>1224</v>
      </c>
      <c r="Q796" s="41" t="s">
        <v>1230</v>
      </c>
      <c r="R796" s="1" t="s">
        <v>18</v>
      </c>
      <c r="S796" s="13" t="s">
        <v>1045</v>
      </c>
      <c r="T796" s="1" t="s">
        <v>17</v>
      </c>
      <c r="V796" s="1" t="str">
        <f t="shared" si="185"/>
        <v>2.8\0.1:17</v>
      </c>
      <c r="W796" s="13" t="s">
        <v>1222</v>
      </c>
      <c r="X796" s="18">
        <v>0</v>
      </c>
      <c r="Y796" s="7"/>
      <c r="Z796" s="206" t="s">
        <v>1198</v>
      </c>
      <c r="AA796" s="206"/>
      <c r="AC796" s="7"/>
      <c r="AD796" s="7"/>
      <c r="AE796" s="7"/>
      <c r="AG796" s="3" t="s">
        <v>768</v>
      </c>
      <c r="AH796" s="3">
        <v>19</v>
      </c>
      <c r="AI796" s="3">
        <v>20</v>
      </c>
      <c r="AJ796" s="200"/>
      <c r="AM796" s="3"/>
    </row>
    <row r="797" spans="1:39" x14ac:dyDescent="0.3">
      <c r="A797" s="5" t="str">
        <f t="shared" si="186"/>
        <v>BCV130</v>
      </c>
      <c r="B797" s="1" t="s">
        <v>1244</v>
      </c>
      <c r="C797" s="2" t="str">
        <f t="shared" si="182"/>
        <v>DIO1</v>
      </c>
      <c r="D797" s="2">
        <v>130</v>
      </c>
      <c r="E797" s="3">
        <f t="shared" si="183"/>
        <v>2</v>
      </c>
      <c r="F797" s="3">
        <f t="shared" si="184"/>
        <v>8</v>
      </c>
      <c r="G797" s="3">
        <v>0</v>
      </c>
      <c r="H797" s="60">
        <f t="shared" si="189"/>
        <v>1</v>
      </c>
      <c r="I797" s="54">
        <f t="shared" si="187"/>
        <v>18</v>
      </c>
      <c r="J797" s="61"/>
      <c r="K797" s="30"/>
      <c r="L797" s="1" t="s">
        <v>21</v>
      </c>
      <c r="M797" s="2">
        <v>4</v>
      </c>
      <c r="N797" s="1" t="s">
        <v>1229</v>
      </c>
      <c r="O797" s="1" t="s">
        <v>1228</v>
      </c>
      <c r="P797" s="1" t="s">
        <v>1224</v>
      </c>
      <c r="Q797" s="41" t="s">
        <v>1227</v>
      </c>
      <c r="R797" s="1" t="s">
        <v>18</v>
      </c>
      <c r="S797" s="13" t="s">
        <v>1041</v>
      </c>
      <c r="T797" s="1" t="s">
        <v>17</v>
      </c>
      <c r="V797" s="1" t="str">
        <f t="shared" si="185"/>
        <v>2.8\0.1:18</v>
      </c>
      <c r="W797" s="13" t="s">
        <v>1222</v>
      </c>
      <c r="X797" s="18">
        <v>0</v>
      </c>
      <c r="Y797" s="7"/>
      <c r="Z797" s="206" t="s">
        <v>1198</v>
      </c>
      <c r="AA797" s="206"/>
      <c r="AC797" s="7"/>
      <c r="AD797" s="7"/>
      <c r="AE797" s="7"/>
      <c r="AG797" s="3" t="s">
        <v>768</v>
      </c>
      <c r="AH797" s="3">
        <v>21</v>
      </c>
      <c r="AI797" s="3">
        <v>22</v>
      </c>
      <c r="AJ797" s="200"/>
      <c r="AM797" s="3"/>
    </row>
    <row r="798" spans="1:39" x14ac:dyDescent="0.3">
      <c r="A798" s="5" t="str">
        <f t="shared" si="186"/>
        <v>BCV130</v>
      </c>
      <c r="B798" s="1" t="s">
        <v>1244</v>
      </c>
      <c r="C798" s="2" t="str">
        <f t="shared" si="182"/>
        <v>DIO1</v>
      </c>
      <c r="D798" s="2">
        <v>130</v>
      </c>
      <c r="E798" s="3">
        <f t="shared" si="183"/>
        <v>2</v>
      </c>
      <c r="F798" s="3">
        <f t="shared" si="184"/>
        <v>8</v>
      </c>
      <c r="G798" s="3">
        <v>0</v>
      </c>
      <c r="H798" s="60">
        <f t="shared" si="189"/>
        <v>1</v>
      </c>
      <c r="I798" s="54">
        <f t="shared" si="187"/>
        <v>19</v>
      </c>
      <c r="J798" s="61"/>
      <c r="K798" s="30"/>
      <c r="L798" s="1" t="s">
        <v>21</v>
      </c>
      <c r="M798" s="2">
        <v>4</v>
      </c>
      <c r="N798" s="1" t="s">
        <v>1226</v>
      </c>
      <c r="O798" s="220" t="s">
        <v>1225</v>
      </c>
      <c r="P798" s="220" t="s">
        <v>1224</v>
      </c>
      <c r="Q798" s="221" t="s">
        <v>1223</v>
      </c>
      <c r="R798" s="220" t="s">
        <v>18</v>
      </c>
      <c r="S798" s="13" t="s">
        <v>1037</v>
      </c>
      <c r="T798" s="1" t="s">
        <v>17</v>
      </c>
      <c r="V798" s="1" t="str">
        <f t="shared" si="185"/>
        <v>2.8\0.1:19</v>
      </c>
      <c r="W798" s="13" t="s">
        <v>1222</v>
      </c>
      <c r="X798" s="18">
        <v>0</v>
      </c>
      <c r="Y798" s="7"/>
      <c r="Z798" s="206" t="s">
        <v>1198</v>
      </c>
      <c r="AA798" s="206"/>
      <c r="AC798" s="7"/>
      <c r="AD798" s="7"/>
      <c r="AE798" s="7"/>
      <c r="AG798" s="3" t="s">
        <v>768</v>
      </c>
      <c r="AH798" s="3">
        <v>23</v>
      </c>
      <c r="AI798" s="3">
        <v>24</v>
      </c>
      <c r="AJ798" s="200"/>
      <c r="AM798" s="3"/>
    </row>
    <row r="799" spans="1:39" x14ac:dyDescent="0.3">
      <c r="A799" s="5" t="str">
        <f t="shared" si="186"/>
        <v>BCV130</v>
      </c>
      <c r="B799" s="1" t="s">
        <v>1244</v>
      </c>
      <c r="C799" s="2" t="str">
        <f t="shared" si="182"/>
        <v>DIO1</v>
      </c>
      <c r="D799" s="2">
        <v>130</v>
      </c>
      <c r="E799" s="3">
        <f t="shared" si="183"/>
        <v>2</v>
      </c>
      <c r="F799" s="3">
        <f t="shared" si="184"/>
        <v>8</v>
      </c>
      <c r="G799" s="3">
        <v>0</v>
      </c>
      <c r="H799" s="60">
        <f t="shared" si="189"/>
        <v>1</v>
      </c>
      <c r="I799" s="54">
        <f t="shared" si="187"/>
        <v>20</v>
      </c>
      <c r="J799" s="61"/>
      <c r="K799" s="30"/>
      <c r="L799" s="1" t="s">
        <v>21</v>
      </c>
      <c r="M799" s="2"/>
      <c r="Q799" s="1" t="s">
        <v>302</v>
      </c>
      <c r="R799" s="1" t="s">
        <v>302</v>
      </c>
      <c r="S799" s="13"/>
      <c r="V799" s="1" t="str">
        <f t="shared" si="185"/>
        <v>2.8\0.1:20</v>
      </c>
      <c r="Y799" s="7"/>
      <c r="Z799" s="206" t="s">
        <v>1062</v>
      </c>
      <c r="AA799" s="206"/>
      <c r="AC799" s="7"/>
      <c r="AD799" s="7"/>
      <c r="AE799" s="7"/>
      <c r="AG799" s="3" t="s">
        <v>768</v>
      </c>
      <c r="AH799" s="3">
        <v>25</v>
      </c>
      <c r="AI799" s="3">
        <v>26</v>
      </c>
      <c r="AJ799" s="200"/>
      <c r="AM799" s="3"/>
    </row>
    <row r="800" spans="1:39" x14ac:dyDescent="0.3">
      <c r="A800" s="5" t="str">
        <f t="shared" si="186"/>
        <v>BCV130</v>
      </c>
      <c r="B800" s="1" t="s">
        <v>1244</v>
      </c>
      <c r="C800" s="2" t="str">
        <f t="shared" si="182"/>
        <v>DIO1</v>
      </c>
      <c r="D800" s="2">
        <v>130</v>
      </c>
      <c r="E800" s="3">
        <f t="shared" si="183"/>
        <v>2</v>
      </c>
      <c r="F800" s="3">
        <f t="shared" si="184"/>
        <v>8</v>
      </c>
      <c r="G800" s="3">
        <v>0</v>
      </c>
      <c r="H800" s="60">
        <f t="shared" si="189"/>
        <v>1</v>
      </c>
      <c r="I800" s="54">
        <f t="shared" si="187"/>
        <v>21</v>
      </c>
      <c r="J800" s="61"/>
      <c r="K800" s="30"/>
      <c r="L800" s="1" t="s">
        <v>21</v>
      </c>
      <c r="M800" s="2">
        <v>4</v>
      </c>
      <c r="N800" s="1" t="s">
        <v>1237</v>
      </c>
      <c r="O800" s="1" t="s">
        <v>962</v>
      </c>
      <c r="P800" s="1" t="s">
        <v>1236</v>
      </c>
      <c r="Q800" s="1" t="s">
        <v>963</v>
      </c>
      <c r="R800" s="1" t="s">
        <v>46</v>
      </c>
      <c r="S800" s="13" t="s">
        <v>962</v>
      </c>
      <c r="T800" s="1" t="s">
        <v>101</v>
      </c>
      <c r="V800" s="1" t="str">
        <f t="shared" si="185"/>
        <v>2.8\0.1:21</v>
      </c>
      <c r="W800" s="1" t="s">
        <v>36</v>
      </c>
      <c r="X800" s="18">
        <v>1</v>
      </c>
      <c r="Y800" s="7"/>
      <c r="Z800" s="206" t="s">
        <v>1062</v>
      </c>
      <c r="AA800" s="206"/>
      <c r="AC800" s="7"/>
      <c r="AD800" s="7"/>
      <c r="AE800" s="7"/>
      <c r="AG800" s="3" t="s">
        <v>768</v>
      </c>
      <c r="AH800" s="3">
        <v>27</v>
      </c>
      <c r="AI800" s="3">
        <v>28</v>
      </c>
      <c r="AJ800" s="200"/>
      <c r="AM800" s="3"/>
    </row>
    <row r="801" spans="1:39" x14ac:dyDescent="0.3">
      <c r="A801" s="5" t="str">
        <f t="shared" si="186"/>
        <v>BCV130</v>
      </c>
      <c r="B801" s="1" t="s">
        <v>1244</v>
      </c>
      <c r="C801" s="2" t="str">
        <f t="shared" si="182"/>
        <v>DIO1</v>
      </c>
      <c r="D801" s="2">
        <v>130</v>
      </c>
      <c r="E801" s="3">
        <f t="shared" si="183"/>
        <v>2</v>
      </c>
      <c r="F801" s="3">
        <f t="shared" si="184"/>
        <v>8</v>
      </c>
      <c r="G801" s="3">
        <v>0</v>
      </c>
      <c r="H801" s="60">
        <f t="shared" si="189"/>
        <v>1</v>
      </c>
      <c r="I801" s="54">
        <f t="shared" si="187"/>
        <v>22</v>
      </c>
      <c r="J801" s="61"/>
      <c r="K801" s="30"/>
      <c r="L801" s="1" t="s">
        <v>21</v>
      </c>
      <c r="M801" s="2">
        <v>4</v>
      </c>
      <c r="N801" s="1" t="s">
        <v>1237</v>
      </c>
      <c r="O801" s="1" t="s">
        <v>959</v>
      </c>
      <c r="P801" s="1" t="s">
        <v>1236</v>
      </c>
      <c r="Q801" s="1" t="s">
        <v>960</v>
      </c>
      <c r="R801" s="1" t="s">
        <v>46</v>
      </c>
      <c r="S801" s="13" t="s">
        <v>959</v>
      </c>
      <c r="T801" s="1" t="s">
        <v>101</v>
      </c>
      <c r="V801" s="1" t="str">
        <f t="shared" si="185"/>
        <v>2.8\0.1:22</v>
      </c>
      <c r="W801" s="1" t="s">
        <v>36</v>
      </c>
      <c r="X801" s="3">
        <v>1</v>
      </c>
      <c r="Z801" s="206" t="s">
        <v>1062</v>
      </c>
      <c r="AG801" s="3" t="s">
        <v>768</v>
      </c>
      <c r="AH801" s="3">
        <v>29</v>
      </c>
      <c r="AI801" s="3">
        <v>30</v>
      </c>
      <c r="AJ801" s="200"/>
      <c r="AM801" s="3"/>
    </row>
    <row r="802" spans="1:39" x14ac:dyDescent="0.3">
      <c r="A802" s="5" t="str">
        <f t="shared" si="186"/>
        <v>BCV130</v>
      </c>
      <c r="B802" s="1" t="s">
        <v>1244</v>
      </c>
      <c r="C802" s="2" t="str">
        <f t="shared" si="182"/>
        <v>DIO1</v>
      </c>
      <c r="D802" s="2">
        <v>130</v>
      </c>
      <c r="E802" s="3">
        <f t="shared" si="183"/>
        <v>2</v>
      </c>
      <c r="F802" s="3">
        <f t="shared" si="184"/>
        <v>8</v>
      </c>
      <c r="G802" s="3">
        <v>0</v>
      </c>
      <c r="H802" s="60">
        <f t="shared" si="189"/>
        <v>1</v>
      </c>
      <c r="I802" s="54">
        <f t="shared" si="187"/>
        <v>23</v>
      </c>
      <c r="J802" s="61"/>
      <c r="K802" s="30"/>
      <c r="L802" s="1" t="s">
        <v>21</v>
      </c>
      <c r="M802" s="2">
        <v>5</v>
      </c>
      <c r="N802" s="1" t="s">
        <v>1237</v>
      </c>
      <c r="O802" s="1" t="s">
        <v>26</v>
      </c>
      <c r="P802" s="1" t="s">
        <v>1236</v>
      </c>
      <c r="Q802" s="1" t="s">
        <v>1145</v>
      </c>
      <c r="R802" s="1" t="s">
        <v>24</v>
      </c>
      <c r="S802" s="13" t="s">
        <v>26</v>
      </c>
      <c r="T802" s="1" t="s">
        <v>101</v>
      </c>
      <c r="V802" s="1" t="str">
        <f t="shared" si="185"/>
        <v>2.8\0.1:23</v>
      </c>
      <c r="W802" s="1" t="s">
        <v>36</v>
      </c>
      <c r="X802" s="3">
        <v>1</v>
      </c>
      <c r="Z802" s="206" t="s">
        <v>1062</v>
      </c>
      <c r="AG802" s="3" t="s">
        <v>768</v>
      </c>
      <c r="AH802" s="3">
        <v>31</v>
      </c>
      <c r="AI802" s="3">
        <v>32</v>
      </c>
      <c r="AJ802" s="200"/>
      <c r="AM802" s="3"/>
    </row>
    <row r="803" spans="1:39" x14ac:dyDescent="0.3">
      <c r="A803" s="5" t="str">
        <f t="shared" si="186"/>
        <v>BCV130</v>
      </c>
      <c r="B803" s="1" t="s">
        <v>1244</v>
      </c>
      <c r="C803" s="2" t="str">
        <f t="shared" si="182"/>
        <v>DIO1</v>
      </c>
      <c r="D803" s="2">
        <v>130</v>
      </c>
      <c r="E803" s="3">
        <f t="shared" si="183"/>
        <v>2</v>
      </c>
      <c r="F803" s="3">
        <f t="shared" si="184"/>
        <v>8</v>
      </c>
      <c r="G803" s="3">
        <v>0</v>
      </c>
      <c r="H803" s="60">
        <f t="shared" si="189"/>
        <v>1</v>
      </c>
      <c r="I803" s="54">
        <f t="shared" si="187"/>
        <v>24</v>
      </c>
      <c r="J803" s="61"/>
      <c r="K803" s="30"/>
      <c r="L803" s="1" t="s">
        <v>21</v>
      </c>
      <c r="M803" s="24">
        <v>4</v>
      </c>
      <c r="N803" s="1" t="s">
        <v>1343</v>
      </c>
      <c r="O803" s="13" t="s">
        <v>736</v>
      </c>
      <c r="P803" s="13" t="s">
        <v>1252</v>
      </c>
      <c r="Q803" s="13" t="s">
        <v>1342</v>
      </c>
      <c r="R803" s="13" t="s">
        <v>46</v>
      </c>
      <c r="S803" s="13"/>
      <c r="T803" s="13" t="s">
        <v>1341</v>
      </c>
      <c r="V803" s="1" t="str">
        <f t="shared" si="185"/>
        <v>2.8\0.1:24</v>
      </c>
      <c r="W803" s="13" t="s">
        <v>1222</v>
      </c>
      <c r="X803" s="18">
        <v>0</v>
      </c>
      <c r="Z803" s="206" t="s">
        <v>1062</v>
      </c>
      <c r="AG803" s="3" t="s">
        <v>768</v>
      </c>
      <c r="AH803" s="3">
        <v>33</v>
      </c>
      <c r="AI803" s="3">
        <v>34</v>
      </c>
      <c r="AJ803" s="200"/>
      <c r="AM803" s="3"/>
    </row>
    <row r="804" spans="1:39" x14ac:dyDescent="0.3">
      <c r="A804" s="5" t="str">
        <f t="shared" si="186"/>
        <v>BCV130</v>
      </c>
      <c r="B804" s="1" t="s">
        <v>1244</v>
      </c>
      <c r="C804" s="2" t="str">
        <f t="shared" si="182"/>
        <v>DIO1</v>
      </c>
      <c r="D804" s="2">
        <v>130</v>
      </c>
      <c r="E804" s="3">
        <f t="shared" si="183"/>
        <v>2</v>
      </c>
      <c r="F804" s="3">
        <f t="shared" si="184"/>
        <v>8</v>
      </c>
      <c r="G804" s="3">
        <v>0</v>
      </c>
      <c r="H804" s="60">
        <f t="shared" si="189"/>
        <v>1</v>
      </c>
      <c r="I804" s="54">
        <f t="shared" si="187"/>
        <v>25</v>
      </c>
      <c r="J804" s="61"/>
      <c r="K804" s="30"/>
      <c r="L804" s="1" t="s">
        <v>21</v>
      </c>
      <c r="M804" s="234"/>
      <c r="N804" s="234"/>
      <c r="O804" s="66"/>
      <c r="P804" s="66"/>
      <c r="Q804" s="66"/>
      <c r="R804" s="66"/>
      <c r="S804" s="13"/>
      <c r="T804" s="13"/>
      <c r="V804" s="1" t="str">
        <f t="shared" si="185"/>
        <v>2.8\0.1:25</v>
      </c>
      <c r="W804" s="13"/>
      <c r="Z804" s="206" t="s">
        <v>1062</v>
      </c>
      <c r="AG804" s="3" t="s">
        <v>768</v>
      </c>
      <c r="AH804" s="3">
        <v>35</v>
      </c>
      <c r="AI804" s="3">
        <v>36</v>
      </c>
      <c r="AJ804" s="200"/>
      <c r="AM804" s="3"/>
    </row>
    <row r="805" spans="1:39" x14ac:dyDescent="0.3">
      <c r="A805" s="5" t="str">
        <f t="shared" si="186"/>
        <v>BCV130</v>
      </c>
      <c r="B805" s="1" t="s">
        <v>1244</v>
      </c>
      <c r="C805" s="2" t="str">
        <f t="shared" si="182"/>
        <v>DIO1</v>
      </c>
      <c r="D805" s="2">
        <v>130</v>
      </c>
      <c r="E805" s="3">
        <f t="shared" si="183"/>
        <v>2</v>
      </c>
      <c r="F805" s="3">
        <f t="shared" si="184"/>
        <v>8</v>
      </c>
      <c r="G805" s="3">
        <v>0</v>
      </c>
      <c r="H805" s="60">
        <f t="shared" si="189"/>
        <v>1</v>
      </c>
      <c r="I805" s="54">
        <f t="shared" si="187"/>
        <v>26</v>
      </c>
      <c r="J805" s="61"/>
      <c r="K805" s="30"/>
      <c r="L805" s="1" t="s">
        <v>21</v>
      </c>
      <c r="M805" s="234"/>
      <c r="N805" s="234"/>
      <c r="O805" s="66"/>
      <c r="P805" s="66"/>
      <c r="Q805" s="66"/>
      <c r="R805" s="66"/>
      <c r="S805" s="13"/>
      <c r="T805" s="13"/>
      <c r="V805" s="1" t="str">
        <f t="shared" si="185"/>
        <v>2.8\0.1:26</v>
      </c>
      <c r="W805" s="13"/>
      <c r="Z805" s="206" t="s">
        <v>1062</v>
      </c>
      <c r="AG805" s="3" t="s">
        <v>768</v>
      </c>
      <c r="AH805" s="3">
        <v>37</v>
      </c>
      <c r="AI805" s="3">
        <v>38</v>
      </c>
      <c r="AJ805" s="200"/>
      <c r="AM805" s="3"/>
    </row>
    <row r="806" spans="1:39" x14ac:dyDescent="0.3">
      <c r="A806" s="5" t="str">
        <f t="shared" si="186"/>
        <v>BCV130</v>
      </c>
      <c r="B806" s="1" t="s">
        <v>1244</v>
      </c>
      <c r="C806" s="2" t="str">
        <f t="shared" si="182"/>
        <v>DIO1</v>
      </c>
      <c r="D806" s="2">
        <v>130</v>
      </c>
      <c r="E806" s="3">
        <f t="shared" si="183"/>
        <v>2</v>
      </c>
      <c r="F806" s="3">
        <f t="shared" si="184"/>
        <v>8</v>
      </c>
      <c r="G806" s="3">
        <v>0</v>
      </c>
      <c r="H806" s="60">
        <f t="shared" si="189"/>
        <v>1</v>
      </c>
      <c r="I806" s="54">
        <f t="shared" si="187"/>
        <v>27</v>
      </c>
      <c r="J806" s="61"/>
      <c r="K806" s="30"/>
      <c r="L806" s="1" t="s">
        <v>21</v>
      </c>
      <c r="M806" s="234"/>
      <c r="N806" s="234"/>
      <c r="O806" s="66"/>
      <c r="P806" s="66"/>
      <c r="Q806" s="66"/>
      <c r="R806" s="66"/>
      <c r="S806" s="13"/>
      <c r="T806" s="13"/>
      <c r="V806" s="1" t="str">
        <f t="shared" si="185"/>
        <v>2.8\0.1:27</v>
      </c>
      <c r="W806" s="13"/>
      <c r="Z806" s="206" t="s">
        <v>1062</v>
      </c>
      <c r="AG806" s="3" t="s">
        <v>768</v>
      </c>
      <c r="AH806" s="3">
        <v>39</v>
      </c>
      <c r="AI806" s="3">
        <v>40</v>
      </c>
      <c r="AJ806" s="200"/>
      <c r="AM806" s="3"/>
    </row>
    <row r="807" spans="1:39" x14ac:dyDescent="0.3">
      <c r="A807" s="5" t="str">
        <f t="shared" si="186"/>
        <v>BCV130</v>
      </c>
      <c r="B807" s="1" t="s">
        <v>1244</v>
      </c>
      <c r="C807" s="2" t="str">
        <f t="shared" si="182"/>
        <v>DIO1</v>
      </c>
      <c r="D807" s="2">
        <v>130</v>
      </c>
      <c r="E807" s="3">
        <f t="shared" si="183"/>
        <v>2</v>
      </c>
      <c r="F807" s="3">
        <f t="shared" si="184"/>
        <v>8</v>
      </c>
      <c r="G807" s="3">
        <v>0</v>
      </c>
      <c r="H807" s="60">
        <f t="shared" si="189"/>
        <v>1</v>
      </c>
      <c r="I807" s="54">
        <f t="shared" si="187"/>
        <v>28</v>
      </c>
      <c r="J807" s="61"/>
      <c r="K807" s="30"/>
      <c r="L807" s="1" t="s">
        <v>21</v>
      </c>
      <c r="M807" s="234"/>
      <c r="N807" s="234"/>
      <c r="O807" s="66"/>
      <c r="P807" s="66"/>
      <c r="Q807" s="66"/>
      <c r="R807" s="66"/>
      <c r="S807" s="13"/>
      <c r="T807" s="13"/>
      <c r="V807" s="1" t="str">
        <f t="shared" si="185"/>
        <v>2.8\0.1:28</v>
      </c>
      <c r="W807" s="13"/>
      <c r="Z807" s="206" t="s">
        <v>1062</v>
      </c>
      <c r="AG807" s="3" t="s">
        <v>768</v>
      </c>
      <c r="AH807" s="3">
        <v>41</v>
      </c>
      <c r="AI807" s="3">
        <v>42</v>
      </c>
      <c r="AJ807" s="200"/>
      <c r="AM807" s="3"/>
    </row>
    <row r="808" spans="1:39" x14ac:dyDescent="0.3">
      <c r="A808" s="5" t="str">
        <f t="shared" si="186"/>
        <v>BCV130</v>
      </c>
      <c r="B808" s="1" t="s">
        <v>1244</v>
      </c>
      <c r="C808" s="2" t="str">
        <f t="shared" ref="C808:C842" si="190">+C807</f>
        <v>DIO1</v>
      </c>
      <c r="D808" s="2">
        <v>130</v>
      </c>
      <c r="E808" s="3">
        <f t="shared" ref="E808:E842" si="191">+E807</f>
        <v>2</v>
      </c>
      <c r="F808" s="3">
        <f t="shared" ref="F808:F842" si="192">+F807</f>
        <v>8</v>
      </c>
      <c r="G808" s="3">
        <v>0</v>
      </c>
      <c r="H808" s="60">
        <f t="shared" si="189"/>
        <v>1</v>
      </c>
      <c r="I808" s="54">
        <f t="shared" si="187"/>
        <v>29</v>
      </c>
      <c r="J808" s="61"/>
      <c r="K808" s="30"/>
      <c r="L808" s="1" t="s">
        <v>21</v>
      </c>
      <c r="M808" s="2">
        <v>7</v>
      </c>
      <c r="N808" s="1" t="s">
        <v>1336</v>
      </c>
      <c r="O808" s="1" t="s">
        <v>448</v>
      </c>
      <c r="P808" s="1" t="s">
        <v>1340</v>
      </c>
      <c r="Q808" s="1" t="s">
        <v>18</v>
      </c>
      <c r="S808" s="1" t="s">
        <v>1336</v>
      </c>
      <c r="T808" s="13"/>
      <c r="V808" s="1" t="str">
        <f t="shared" si="185"/>
        <v>2.8\0.1:29</v>
      </c>
      <c r="W808" s="1" t="s">
        <v>1222</v>
      </c>
      <c r="Z808" s="206" t="s">
        <v>1062</v>
      </c>
      <c r="AG808" s="3" t="s">
        <v>768</v>
      </c>
      <c r="AH808" s="3">
        <v>43</v>
      </c>
      <c r="AI808" s="3">
        <v>44</v>
      </c>
      <c r="AJ808" s="200"/>
      <c r="AM808" s="3"/>
    </row>
    <row r="809" spans="1:39" x14ac:dyDescent="0.3">
      <c r="A809" s="5" t="str">
        <f t="shared" si="186"/>
        <v>BCV130</v>
      </c>
      <c r="B809" s="1" t="s">
        <v>1244</v>
      </c>
      <c r="C809" s="2" t="str">
        <f t="shared" si="190"/>
        <v>DIO1</v>
      </c>
      <c r="D809" s="2">
        <v>130</v>
      </c>
      <c r="E809" s="3">
        <f t="shared" si="191"/>
        <v>2</v>
      </c>
      <c r="F809" s="3">
        <f t="shared" si="192"/>
        <v>8</v>
      </c>
      <c r="G809" s="3">
        <v>0</v>
      </c>
      <c r="H809" s="60">
        <f t="shared" si="189"/>
        <v>1</v>
      </c>
      <c r="I809" s="54">
        <f t="shared" si="187"/>
        <v>30</v>
      </c>
      <c r="J809" s="61"/>
      <c r="K809" s="30"/>
      <c r="L809" s="1" t="s">
        <v>21</v>
      </c>
      <c r="M809" s="2">
        <v>7</v>
      </c>
      <c r="N809" s="1" t="s">
        <v>1336</v>
      </c>
      <c r="O809" s="1" t="s">
        <v>435</v>
      </c>
      <c r="P809" s="1" t="s">
        <v>1338</v>
      </c>
      <c r="Q809" s="1" t="s">
        <v>1339</v>
      </c>
      <c r="S809" s="1" t="s">
        <v>1336</v>
      </c>
      <c r="T809" s="13"/>
      <c r="V809" s="1" t="str">
        <f t="shared" si="185"/>
        <v>2.8\0.1:30</v>
      </c>
      <c r="W809" s="1" t="s">
        <v>1222</v>
      </c>
      <c r="Z809" s="206" t="s">
        <v>1062</v>
      </c>
      <c r="AG809" s="3" t="s">
        <v>768</v>
      </c>
      <c r="AH809" s="3">
        <v>45</v>
      </c>
      <c r="AI809" s="3">
        <v>46</v>
      </c>
      <c r="AJ809" s="200"/>
      <c r="AM809" s="3"/>
    </row>
    <row r="810" spans="1:39" ht="13.5" thickBot="1" x14ac:dyDescent="0.35">
      <c r="A810" s="5" t="str">
        <f t="shared" si="186"/>
        <v>BCV130</v>
      </c>
      <c r="B810" s="1" t="s">
        <v>1244</v>
      </c>
      <c r="C810" s="2" t="str">
        <f t="shared" si="190"/>
        <v>DIO1</v>
      </c>
      <c r="D810" s="2">
        <v>130</v>
      </c>
      <c r="E810" s="3">
        <f t="shared" si="191"/>
        <v>2</v>
      </c>
      <c r="F810" s="3">
        <f t="shared" si="192"/>
        <v>8</v>
      </c>
      <c r="G810" s="3">
        <v>0</v>
      </c>
      <c r="H810" s="60">
        <f t="shared" si="189"/>
        <v>1</v>
      </c>
      <c r="I810" s="59">
        <f t="shared" si="187"/>
        <v>31</v>
      </c>
      <c r="J810" s="58"/>
      <c r="K810" s="30"/>
      <c r="L810" s="1" t="s">
        <v>21</v>
      </c>
      <c r="M810" s="2">
        <v>7</v>
      </c>
      <c r="N810" s="1" t="s">
        <v>1336</v>
      </c>
      <c r="O810" s="1" t="s">
        <v>422</v>
      </c>
      <c r="P810" s="1" t="s">
        <v>1338</v>
      </c>
      <c r="Q810" s="1" t="s">
        <v>1337</v>
      </c>
      <c r="S810" s="1" t="s">
        <v>1336</v>
      </c>
      <c r="V810" s="1" t="str">
        <f t="shared" si="185"/>
        <v>2.8\0.1:31</v>
      </c>
      <c r="W810" s="1" t="s">
        <v>1222</v>
      </c>
      <c r="Y810" s="1" t="s">
        <v>1335</v>
      </c>
      <c r="Z810" s="206" t="s">
        <v>1062</v>
      </c>
      <c r="AG810" s="3" t="s">
        <v>768</v>
      </c>
      <c r="AH810" s="3">
        <v>47</v>
      </c>
      <c r="AI810" s="3">
        <v>48</v>
      </c>
      <c r="AJ810" s="200"/>
      <c r="AM810" s="3"/>
    </row>
    <row r="811" spans="1:39" x14ac:dyDescent="0.3">
      <c r="A811" s="5" t="str">
        <f t="shared" si="186"/>
        <v>BCV130</v>
      </c>
      <c r="B811" s="1" t="s">
        <v>1244</v>
      </c>
      <c r="C811" s="2" t="str">
        <f t="shared" si="190"/>
        <v>DIO1</v>
      </c>
      <c r="D811" s="2">
        <v>130</v>
      </c>
      <c r="E811" s="3">
        <f t="shared" si="191"/>
        <v>2</v>
      </c>
      <c r="F811" s="3">
        <f t="shared" si="192"/>
        <v>8</v>
      </c>
      <c r="G811" s="3">
        <v>0</v>
      </c>
      <c r="H811" s="57">
        <f>+H795+1</f>
        <v>2</v>
      </c>
      <c r="I811" s="56">
        <v>0</v>
      </c>
      <c r="J811" s="222" t="s">
        <v>316</v>
      </c>
      <c r="K811" s="2" t="s">
        <v>315</v>
      </c>
      <c r="L811" s="1" t="s">
        <v>21</v>
      </c>
      <c r="M811" s="2">
        <v>4</v>
      </c>
      <c r="N811" s="1" t="s">
        <v>122</v>
      </c>
      <c r="O811" s="1" t="s">
        <v>26</v>
      </c>
      <c r="P811" s="1" t="s">
        <v>1248</v>
      </c>
      <c r="Q811" s="1" t="s">
        <v>1292</v>
      </c>
      <c r="R811" s="1" t="s">
        <v>24</v>
      </c>
      <c r="S811" s="13" t="s">
        <v>26</v>
      </c>
      <c r="T811" s="1" t="s">
        <v>122</v>
      </c>
      <c r="V811" s="1" t="str">
        <f t="shared" ref="V811:V842" si="193">+CONCATENATE(E811,".",F811,"\",G811,".",H811,":",I811)</f>
        <v>2.8\0.2:0</v>
      </c>
      <c r="W811" s="13" t="s">
        <v>1238</v>
      </c>
      <c r="X811" s="18">
        <v>0</v>
      </c>
      <c r="Y811" s="1" t="s">
        <v>1297</v>
      </c>
      <c r="Z811" s="206" t="s">
        <v>1062</v>
      </c>
      <c r="AA811" s="206"/>
      <c r="AC811" s="7"/>
      <c r="AD811" s="7"/>
      <c r="AE811" s="7"/>
      <c r="AG811" s="3" t="s">
        <v>732</v>
      </c>
      <c r="AH811" s="3">
        <v>1</v>
      </c>
      <c r="AI811" s="3">
        <v>2</v>
      </c>
      <c r="AJ811" s="200"/>
      <c r="AM811" s="3"/>
    </row>
    <row r="812" spans="1:39" x14ac:dyDescent="0.3">
      <c r="A812" s="5" t="str">
        <f t="shared" ref="A812:A843" si="194">A811</f>
        <v>BCV130</v>
      </c>
      <c r="B812" s="1" t="s">
        <v>1244</v>
      </c>
      <c r="C812" s="2" t="str">
        <f t="shared" si="190"/>
        <v>DIO1</v>
      </c>
      <c r="D812" s="2">
        <v>130</v>
      </c>
      <c r="E812" s="3">
        <f t="shared" si="191"/>
        <v>2</v>
      </c>
      <c r="F812" s="3">
        <f t="shared" si="192"/>
        <v>8</v>
      </c>
      <c r="G812" s="3">
        <v>0</v>
      </c>
      <c r="H812" s="60">
        <f>H811</f>
        <v>2</v>
      </c>
      <c r="I812" s="54">
        <f t="shared" ref="I812:I842" si="195">+I811+1</f>
        <v>1</v>
      </c>
      <c r="J812" s="61"/>
      <c r="L812" s="1" t="s">
        <v>21</v>
      </c>
      <c r="M812" s="2">
        <v>4</v>
      </c>
      <c r="N812" s="1" t="s">
        <v>122</v>
      </c>
      <c r="O812" s="1" t="s">
        <v>1333</v>
      </c>
      <c r="P812" s="1" t="s">
        <v>1248</v>
      </c>
      <c r="Q812" s="1" t="s">
        <v>1334</v>
      </c>
      <c r="R812" s="1" t="s">
        <v>18</v>
      </c>
      <c r="S812" s="13" t="s">
        <v>1333</v>
      </c>
      <c r="T812" s="1" t="s">
        <v>122</v>
      </c>
      <c r="V812" s="1" t="str">
        <f t="shared" si="193"/>
        <v>2.8\0.2:1</v>
      </c>
      <c r="W812" s="13" t="s">
        <v>1238</v>
      </c>
      <c r="X812" s="18">
        <v>0</v>
      </c>
      <c r="Y812" s="1" t="s">
        <v>1297</v>
      </c>
      <c r="Z812" s="206" t="s">
        <v>1062</v>
      </c>
      <c r="AA812" s="206"/>
      <c r="AC812" s="7"/>
      <c r="AD812" s="7"/>
      <c r="AE812" s="7"/>
      <c r="AG812" s="3" t="s">
        <v>732</v>
      </c>
      <c r="AH812" s="3">
        <v>3</v>
      </c>
      <c r="AI812" s="3">
        <v>4</v>
      </c>
      <c r="AJ812" s="200"/>
      <c r="AM812" s="3"/>
    </row>
    <row r="813" spans="1:39" x14ac:dyDescent="0.3">
      <c r="A813" s="5" t="str">
        <f t="shared" si="194"/>
        <v>BCV130</v>
      </c>
      <c r="B813" s="1" t="s">
        <v>1244</v>
      </c>
      <c r="C813" s="2" t="str">
        <f t="shared" si="190"/>
        <v>DIO1</v>
      </c>
      <c r="D813" s="2">
        <v>130</v>
      </c>
      <c r="E813" s="3">
        <f t="shared" si="191"/>
        <v>2</v>
      </c>
      <c r="F813" s="3">
        <f t="shared" si="192"/>
        <v>8</v>
      </c>
      <c r="G813" s="3">
        <v>0</v>
      </c>
      <c r="H813" s="60">
        <f>H811</f>
        <v>2</v>
      </c>
      <c r="I813" s="54">
        <f t="shared" si="195"/>
        <v>2</v>
      </c>
      <c r="J813" s="61"/>
      <c r="K813" s="30"/>
      <c r="L813" s="1" t="s">
        <v>21</v>
      </c>
      <c r="M813" s="2">
        <v>4</v>
      </c>
      <c r="N813" s="1" t="s">
        <v>122</v>
      </c>
      <c r="O813" s="1" t="s">
        <v>65</v>
      </c>
      <c r="P813" s="1" t="s">
        <v>1248</v>
      </c>
      <c r="Q813" s="1" t="s">
        <v>1290</v>
      </c>
      <c r="R813" s="1" t="s">
        <v>24</v>
      </c>
      <c r="S813" s="13" t="s">
        <v>65</v>
      </c>
      <c r="T813" s="1" t="s">
        <v>122</v>
      </c>
      <c r="V813" s="1" t="str">
        <f t="shared" si="193"/>
        <v>2.8\0.2:2</v>
      </c>
      <c r="W813" s="13" t="s">
        <v>1238</v>
      </c>
      <c r="X813" s="18">
        <v>0</v>
      </c>
      <c r="Y813" s="1" t="s">
        <v>1297</v>
      </c>
      <c r="Z813" s="206" t="s">
        <v>1062</v>
      </c>
      <c r="AA813" s="206"/>
      <c r="AC813" s="7"/>
      <c r="AD813" s="7"/>
      <c r="AE813" s="7"/>
      <c r="AG813" s="3" t="s">
        <v>732</v>
      </c>
      <c r="AH813" s="3">
        <v>5</v>
      </c>
      <c r="AI813" s="3">
        <v>6</v>
      </c>
      <c r="AJ813" s="200"/>
      <c r="AM813" s="3"/>
    </row>
    <row r="814" spans="1:39" x14ac:dyDescent="0.3">
      <c r="A814" s="5" t="str">
        <f t="shared" si="194"/>
        <v>BCV130</v>
      </c>
      <c r="B814" s="1" t="s">
        <v>1244</v>
      </c>
      <c r="C814" s="2" t="str">
        <f t="shared" si="190"/>
        <v>DIO1</v>
      </c>
      <c r="D814" s="2">
        <v>130</v>
      </c>
      <c r="E814" s="3">
        <f t="shared" si="191"/>
        <v>2</v>
      </c>
      <c r="F814" s="3">
        <f t="shared" si="192"/>
        <v>8</v>
      </c>
      <c r="G814" s="3">
        <v>0</v>
      </c>
      <c r="H814" s="60">
        <f t="shared" ref="H814:H825" si="196">H811</f>
        <v>2</v>
      </c>
      <c r="I814" s="54">
        <f t="shared" si="195"/>
        <v>3</v>
      </c>
      <c r="J814" s="61"/>
      <c r="K814" s="30"/>
      <c r="L814" s="1" t="s">
        <v>21</v>
      </c>
      <c r="M814" s="2">
        <v>4</v>
      </c>
      <c r="N814" s="1" t="s">
        <v>122</v>
      </c>
      <c r="O814" s="1" t="s">
        <v>79</v>
      </c>
      <c r="P814" s="1" t="s">
        <v>1248</v>
      </c>
      <c r="Q814" s="1" t="s">
        <v>1289</v>
      </c>
      <c r="R814" s="1" t="s">
        <v>24</v>
      </c>
      <c r="S814" s="13" t="s">
        <v>79</v>
      </c>
      <c r="T814" s="1" t="s">
        <v>122</v>
      </c>
      <c r="V814" s="1" t="str">
        <f t="shared" si="193"/>
        <v>2.8\0.2:3</v>
      </c>
      <c r="W814" s="13" t="s">
        <v>1238</v>
      </c>
      <c r="X814" s="18">
        <v>0</v>
      </c>
      <c r="Y814" s="1" t="s">
        <v>1297</v>
      </c>
      <c r="Z814" s="206" t="s">
        <v>1062</v>
      </c>
      <c r="AA814" s="206"/>
      <c r="AC814" s="7"/>
      <c r="AD814" s="7"/>
      <c r="AE814" s="7"/>
      <c r="AG814" s="3" t="s">
        <v>732</v>
      </c>
      <c r="AH814" s="3">
        <v>7</v>
      </c>
      <c r="AI814" s="3">
        <v>8</v>
      </c>
      <c r="AJ814" s="200"/>
      <c r="AM814" s="3"/>
    </row>
    <row r="815" spans="1:39" x14ac:dyDescent="0.3">
      <c r="A815" s="5" t="str">
        <f t="shared" si="194"/>
        <v>BCV130</v>
      </c>
      <c r="B815" s="1" t="s">
        <v>1244</v>
      </c>
      <c r="C815" s="2" t="str">
        <f t="shared" si="190"/>
        <v>DIO1</v>
      </c>
      <c r="D815" s="2">
        <v>130</v>
      </c>
      <c r="E815" s="3">
        <f t="shared" si="191"/>
        <v>2</v>
      </c>
      <c r="F815" s="3">
        <f t="shared" si="192"/>
        <v>8</v>
      </c>
      <c r="G815" s="3">
        <v>0</v>
      </c>
      <c r="H815" s="60">
        <f t="shared" si="196"/>
        <v>2</v>
      </c>
      <c r="I815" s="54">
        <f t="shared" si="195"/>
        <v>4</v>
      </c>
      <c r="J815" s="61"/>
      <c r="K815" s="30"/>
      <c r="L815" s="1" t="s">
        <v>21</v>
      </c>
      <c r="M815" s="2">
        <v>4</v>
      </c>
      <c r="N815" s="1" t="s">
        <v>122</v>
      </c>
      <c r="O815" s="1" t="s">
        <v>1331</v>
      </c>
      <c r="P815" s="1" t="s">
        <v>1248</v>
      </c>
      <c r="Q815" s="1" t="s">
        <v>1332</v>
      </c>
      <c r="R815" s="1" t="s">
        <v>18</v>
      </c>
      <c r="S815" s="13" t="s">
        <v>1331</v>
      </c>
      <c r="T815" s="1" t="s">
        <v>122</v>
      </c>
      <c r="V815" s="1" t="str">
        <f t="shared" si="193"/>
        <v>2.8\0.2:4</v>
      </c>
      <c r="W815" s="13" t="s">
        <v>1238</v>
      </c>
      <c r="X815" s="18">
        <v>0</v>
      </c>
      <c r="Y815" s="1" t="s">
        <v>1297</v>
      </c>
      <c r="Z815" s="206" t="s">
        <v>1062</v>
      </c>
      <c r="AA815" s="206"/>
      <c r="AC815" s="7"/>
      <c r="AD815" s="7"/>
      <c r="AE815" s="7"/>
      <c r="AG815" s="3" t="s">
        <v>732</v>
      </c>
      <c r="AH815" s="3">
        <v>9</v>
      </c>
      <c r="AI815" s="3">
        <v>10</v>
      </c>
      <c r="AJ815" s="200"/>
      <c r="AM815" s="3"/>
    </row>
    <row r="816" spans="1:39" x14ac:dyDescent="0.3">
      <c r="A816" s="5" t="str">
        <f t="shared" si="194"/>
        <v>BCV130</v>
      </c>
      <c r="B816" s="1" t="s">
        <v>1244</v>
      </c>
      <c r="C816" s="2" t="str">
        <f t="shared" si="190"/>
        <v>DIO1</v>
      </c>
      <c r="D816" s="2">
        <v>130</v>
      </c>
      <c r="E816" s="3">
        <f t="shared" si="191"/>
        <v>2</v>
      </c>
      <c r="F816" s="3">
        <f t="shared" si="192"/>
        <v>8</v>
      </c>
      <c r="G816" s="3">
        <v>0</v>
      </c>
      <c r="H816" s="60">
        <f t="shared" si="196"/>
        <v>2</v>
      </c>
      <c r="I816" s="54">
        <f t="shared" si="195"/>
        <v>5</v>
      </c>
      <c r="J816" s="61"/>
      <c r="K816" s="30"/>
      <c r="L816" s="1" t="s">
        <v>21</v>
      </c>
      <c r="M816" s="2">
        <v>4</v>
      </c>
      <c r="N816" s="1" t="s">
        <v>122</v>
      </c>
      <c r="O816" s="1" t="s">
        <v>72</v>
      </c>
      <c r="P816" s="1" t="s">
        <v>1248</v>
      </c>
      <c r="Q816" s="1" t="s">
        <v>1330</v>
      </c>
      <c r="R816" s="1" t="s">
        <v>24</v>
      </c>
      <c r="S816" s="13" t="s">
        <v>72</v>
      </c>
      <c r="T816" s="1" t="s">
        <v>122</v>
      </c>
      <c r="V816" s="1" t="str">
        <f t="shared" si="193"/>
        <v>2.8\0.2:5</v>
      </c>
      <c r="W816" s="13" t="s">
        <v>1238</v>
      </c>
      <c r="X816" s="18">
        <v>0</v>
      </c>
      <c r="Y816" s="1" t="s">
        <v>1297</v>
      </c>
      <c r="Z816" s="206" t="s">
        <v>1062</v>
      </c>
      <c r="AA816" s="206"/>
      <c r="AC816" s="7"/>
      <c r="AD816" s="7"/>
      <c r="AE816" s="7"/>
      <c r="AG816" s="3" t="s">
        <v>732</v>
      </c>
      <c r="AH816" s="3">
        <v>11</v>
      </c>
      <c r="AI816" s="3">
        <v>12</v>
      </c>
      <c r="AJ816" s="200"/>
      <c r="AM816" s="3"/>
    </row>
    <row r="817" spans="1:39" x14ac:dyDescent="0.3">
      <c r="A817" s="5" t="str">
        <f t="shared" si="194"/>
        <v>BCV130</v>
      </c>
      <c r="B817" s="1" t="s">
        <v>1244</v>
      </c>
      <c r="C817" s="2" t="str">
        <f t="shared" si="190"/>
        <v>DIO1</v>
      </c>
      <c r="D817" s="2">
        <v>130</v>
      </c>
      <c r="E817" s="3">
        <f t="shared" si="191"/>
        <v>2</v>
      </c>
      <c r="F817" s="3">
        <f t="shared" si="192"/>
        <v>8</v>
      </c>
      <c r="G817" s="3">
        <v>0</v>
      </c>
      <c r="H817" s="60">
        <f t="shared" si="196"/>
        <v>2</v>
      </c>
      <c r="I817" s="54">
        <f t="shared" si="195"/>
        <v>6</v>
      </c>
      <c r="J817" s="61"/>
      <c r="K817" s="30"/>
      <c r="L817" s="1" t="s">
        <v>21</v>
      </c>
      <c r="M817" s="2">
        <v>4</v>
      </c>
      <c r="N817" s="1" t="s">
        <v>122</v>
      </c>
      <c r="O817" s="220" t="s">
        <v>439</v>
      </c>
      <c r="P817" s="220" t="s">
        <v>1248</v>
      </c>
      <c r="Q817" s="1" t="s">
        <v>1329</v>
      </c>
      <c r="R817" s="1" t="s">
        <v>24</v>
      </c>
      <c r="S817" s="13" t="s">
        <v>439</v>
      </c>
      <c r="T817" s="1" t="s">
        <v>122</v>
      </c>
      <c r="V817" s="1" t="str">
        <f t="shared" si="193"/>
        <v>2.8\0.2:6</v>
      </c>
      <c r="W817" s="13" t="s">
        <v>1238</v>
      </c>
      <c r="X817" s="18">
        <v>0</v>
      </c>
      <c r="Y817" s="1" t="s">
        <v>1297</v>
      </c>
      <c r="Z817" s="206" t="s">
        <v>1062</v>
      </c>
      <c r="AA817" s="206"/>
      <c r="AC817" s="7"/>
      <c r="AD817" s="7"/>
      <c r="AE817" s="7"/>
      <c r="AG817" s="3" t="s">
        <v>732</v>
      </c>
      <c r="AH817" s="3">
        <v>13</v>
      </c>
      <c r="AI817" s="3">
        <v>14</v>
      </c>
      <c r="AJ817" s="200"/>
      <c r="AM817" s="3"/>
    </row>
    <row r="818" spans="1:39" x14ac:dyDescent="0.3">
      <c r="A818" s="5" t="str">
        <f t="shared" si="194"/>
        <v>BCV130</v>
      </c>
      <c r="B818" s="1" t="s">
        <v>1244</v>
      </c>
      <c r="C818" s="2" t="str">
        <f t="shared" si="190"/>
        <v>DIO1</v>
      </c>
      <c r="D818" s="2">
        <v>130</v>
      </c>
      <c r="E818" s="3">
        <f t="shared" si="191"/>
        <v>2</v>
      </c>
      <c r="F818" s="3">
        <f t="shared" si="192"/>
        <v>8</v>
      </c>
      <c r="G818" s="3">
        <v>0</v>
      </c>
      <c r="H818" s="60">
        <f t="shared" si="196"/>
        <v>2</v>
      </c>
      <c r="I818" s="54">
        <f t="shared" si="195"/>
        <v>7</v>
      </c>
      <c r="J818" s="61"/>
      <c r="K818" s="30"/>
      <c r="L818" s="1" t="s">
        <v>21</v>
      </c>
      <c r="M818" s="2">
        <v>4</v>
      </c>
      <c r="N818" s="1" t="s">
        <v>122</v>
      </c>
      <c r="O818" s="220" t="s">
        <v>367</v>
      </c>
      <c r="P818" s="220" t="s">
        <v>1248</v>
      </c>
      <c r="Q818" s="1" t="s">
        <v>1328</v>
      </c>
      <c r="R818" s="1" t="s">
        <v>24</v>
      </c>
      <c r="S818" s="13" t="s">
        <v>367</v>
      </c>
      <c r="T818" s="1" t="s">
        <v>122</v>
      </c>
      <c r="V818" s="1" t="str">
        <f t="shared" si="193"/>
        <v>2.8\0.2:7</v>
      </c>
      <c r="W818" s="13" t="s">
        <v>1238</v>
      </c>
      <c r="X818" s="18">
        <v>0</v>
      </c>
      <c r="Y818" s="1" t="s">
        <v>1297</v>
      </c>
      <c r="Z818" s="206" t="s">
        <v>1062</v>
      </c>
      <c r="AA818" s="206"/>
      <c r="AC818" s="7"/>
      <c r="AD818" s="7"/>
      <c r="AE818" s="7"/>
      <c r="AG818" s="3" t="s">
        <v>732</v>
      </c>
      <c r="AH818" s="3">
        <v>15</v>
      </c>
      <c r="AI818" s="3">
        <v>16</v>
      </c>
      <c r="AJ818" s="200"/>
      <c r="AM818" s="3"/>
    </row>
    <row r="819" spans="1:39" x14ac:dyDescent="0.3">
      <c r="A819" s="5" t="str">
        <f t="shared" si="194"/>
        <v>BCV130</v>
      </c>
      <c r="B819" s="1" t="s">
        <v>1244</v>
      </c>
      <c r="C819" s="2" t="str">
        <f t="shared" si="190"/>
        <v>DIO1</v>
      </c>
      <c r="D819" s="2">
        <v>130</v>
      </c>
      <c r="E819" s="3">
        <f t="shared" si="191"/>
        <v>2</v>
      </c>
      <c r="F819" s="3">
        <f t="shared" si="192"/>
        <v>8</v>
      </c>
      <c r="G819" s="3">
        <v>0</v>
      </c>
      <c r="H819" s="60">
        <f t="shared" si="196"/>
        <v>2</v>
      </c>
      <c r="I819" s="54">
        <f t="shared" si="195"/>
        <v>8</v>
      </c>
      <c r="J819" s="61"/>
      <c r="K819" s="30"/>
      <c r="L819" s="1" t="s">
        <v>21</v>
      </c>
      <c r="M819" s="2">
        <v>4</v>
      </c>
      <c r="N819" s="1" t="s">
        <v>122</v>
      </c>
      <c r="O819" s="1" t="s">
        <v>361</v>
      </c>
      <c r="P819" s="1" t="s">
        <v>1248</v>
      </c>
      <c r="Q819" s="1" t="s">
        <v>950</v>
      </c>
      <c r="R819" s="1" t="s">
        <v>24</v>
      </c>
      <c r="S819" s="13" t="s">
        <v>361</v>
      </c>
      <c r="T819" s="1" t="s">
        <v>122</v>
      </c>
      <c r="V819" s="1" t="str">
        <f t="shared" si="193"/>
        <v>2.8\0.2:8</v>
      </c>
      <c r="W819" s="13" t="s">
        <v>1238</v>
      </c>
      <c r="X819" s="18">
        <v>0</v>
      </c>
      <c r="Y819" s="1" t="s">
        <v>1297</v>
      </c>
      <c r="Z819" s="206" t="s">
        <v>1062</v>
      </c>
      <c r="AA819" s="206"/>
      <c r="AC819" s="7"/>
      <c r="AD819" s="7"/>
      <c r="AE819" s="7"/>
      <c r="AG819" s="3" t="s">
        <v>732</v>
      </c>
      <c r="AH819" s="3">
        <v>17</v>
      </c>
      <c r="AI819" s="3">
        <v>18</v>
      </c>
      <c r="AJ819" s="200"/>
      <c r="AM819" s="3"/>
    </row>
    <row r="820" spans="1:39" x14ac:dyDescent="0.3">
      <c r="A820" s="5" t="str">
        <f t="shared" si="194"/>
        <v>BCV130</v>
      </c>
      <c r="B820" s="1" t="s">
        <v>1244</v>
      </c>
      <c r="C820" s="2" t="str">
        <f t="shared" si="190"/>
        <v>DIO1</v>
      </c>
      <c r="D820" s="2">
        <v>130</v>
      </c>
      <c r="E820" s="3">
        <f t="shared" si="191"/>
        <v>2</v>
      </c>
      <c r="F820" s="3">
        <f t="shared" si="192"/>
        <v>8</v>
      </c>
      <c r="G820" s="3">
        <v>0</v>
      </c>
      <c r="H820" s="60">
        <f t="shared" si="196"/>
        <v>2</v>
      </c>
      <c r="I820" s="54">
        <f t="shared" si="195"/>
        <v>9</v>
      </c>
      <c r="J820" s="61"/>
      <c r="K820" s="30"/>
      <c r="L820" s="1" t="s">
        <v>21</v>
      </c>
      <c r="M820" s="2">
        <v>4</v>
      </c>
      <c r="N820" s="1" t="s">
        <v>122</v>
      </c>
      <c r="O820" s="1" t="s">
        <v>1326</v>
      </c>
      <c r="P820" s="1" t="s">
        <v>1248</v>
      </c>
      <c r="Q820" s="1" t="s">
        <v>1327</v>
      </c>
      <c r="R820" s="1" t="s">
        <v>18</v>
      </c>
      <c r="S820" s="13" t="s">
        <v>1326</v>
      </c>
      <c r="T820" s="1" t="s">
        <v>122</v>
      </c>
      <c r="V820" s="1" t="str">
        <f t="shared" si="193"/>
        <v>2.8\0.2:9</v>
      </c>
      <c r="W820" s="13" t="s">
        <v>1238</v>
      </c>
      <c r="X820" s="18">
        <v>0</v>
      </c>
      <c r="Y820" s="1" t="s">
        <v>1297</v>
      </c>
      <c r="Z820" s="206" t="s">
        <v>1062</v>
      </c>
      <c r="AA820" s="206"/>
      <c r="AC820" s="7"/>
      <c r="AD820" s="7"/>
      <c r="AE820" s="7"/>
      <c r="AG820" s="3" t="s">
        <v>732</v>
      </c>
      <c r="AH820" s="3">
        <v>19</v>
      </c>
      <c r="AI820" s="3">
        <v>20</v>
      </c>
      <c r="AJ820" s="200"/>
      <c r="AM820" s="3"/>
    </row>
    <row r="821" spans="1:39" x14ac:dyDescent="0.3">
      <c r="A821" s="5" t="str">
        <f t="shared" si="194"/>
        <v>BCV130</v>
      </c>
      <c r="B821" s="1" t="s">
        <v>1244</v>
      </c>
      <c r="C821" s="2" t="str">
        <f t="shared" si="190"/>
        <v>DIO1</v>
      </c>
      <c r="D821" s="2">
        <v>130</v>
      </c>
      <c r="E821" s="3">
        <f t="shared" si="191"/>
        <v>2</v>
      </c>
      <c r="F821" s="3">
        <f t="shared" si="192"/>
        <v>8</v>
      </c>
      <c r="G821" s="3">
        <v>0</v>
      </c>
      <c r="H821" s="60">
        <f t="shared" si="196"/>
        <v>2</v>
      </c>
      <c r="I821" s="54">
        <f t="shared" si="195"/>
        <v>10</v>
      </c>
      <c r="J821" s="61"/>
      <c r="K821" s="30"/>
      <c r="L821" s="1" t="s">
        <v>21</v>
      </c>
      <c r="M821" s="2">
        <v>4</v>
      </c>
      <c r="N821" s="1" t="s">
        <v>122</v>
      </c>
      <c r="O821" s="220" t="s">
        <v>672</v>
      </c>
      <c r="P821" s="220" t="s">
        <v>1248</v>
      </c>
      <c r="Q821" s="1" t="s">
        <v>1325</v>
      </c>
      <c r="R821" s="1" t="s">
        <v>46</v>
      </c>
      <c r="S821" s="13" t="s">
        <v>672</v>
      </c>
      <c r="T821" s="1" t="s">
        <v>122</v>
      </c>
      <c r="V821" s="1" t="str">
        <f t="shared" si="193"/>
        <v>2.8\0.2:10</v>
      </c>
      <c r="W821" s="13" t="s">
        <v>1238</v>
      </c>
      <c r="X821" s="18">
        <v>0</v>
      </c>
      <c r="Y821" s="1" t="s">
        <v>1297</v>
      </c>
      <c r="Z821" s="206" t="s">
        <v>1062</v>
      </c>
      <c r="AC821" s="7"/>
      <c r="AD821" s="7"/>
      <c r="AE821" s="7"/>
      <c r="AG821" s="3" t="s">
        <v>732</v>
      </c>
      <c r="AH821" s="3">
        <v>21</v>
      </c>
      <c r="AI821" s="3">
        <v>22</v>
      </c>
      <c r="AJ821" s="200"/>
      <c r="AM821" s="3"/>
    </row>
    <row r="822" spans="1:39" x14ac:dyDescent="0.3">
      <c r="A822" s="5" t="str">
        <f t="shared" si="194"/>
        <v>BCV130</v>
      </c>
      <c r="B822" s="1" t="s">
        <v>1244</v>
      </c>
      <c r="C822" s="2" t="str">
        <f t="shared" si="190"/>
        <v>DIO1</v>
      </c>
      <c r="D822" s="2">
        <v>130</v>
      </c>
      <c r="E822" s="3">
        <f t="shared" si="191"/>
        <v>2</v>
      </c>
      <c r="F822" s="3">
        <f t="shared" si="192"/>
        <v>8</v>
      </c>
      <c r="G822" s="3">
        <v>0</v>
      </c>
      <c r="H822" s="60">
        <f t="shared" si="196"/>
        <v>2</v>
      </c>
      <c r="I822" s="54">
        <f t="shared" si="195"/>
        <v>11</v>
      </c>
      <c r="J822" s="61"/>
      <c r="K822" s="30"/>
      <c r="L822" s="1" t="s">
        <v>21</v>
      </c>
      <c r="M822" s="2">
        <v>4</v>
      </c>
      <c r="N822" s="1" t="s">
        <v>122</v>
      </c>
      <c r="O822" s="220" t="s">
        <v>1323</v>
      </c>
      <c r="P822" s="220" t="s">
        <v>1248</v>
      </c>
      <c r="Q822" s="1" t="s">
        <v>1324</v>
      </c>
      <c r="R822" s="1" t="s">
        <v>46</v>
      </c>
      <c r="S822" s="13" t="s">
        <v>1323</v>
      </c>
      <c r="T822" s="1" t="s">
        <v>122</v>
      </c>
      <c r="V822" s="1" t="str">
        <f t="shared" si="193"/>
        <v>2.8\0.2:11</v>
      </c>
      <c r="W822" s="13" t="s">
        <v>1238</v>
      </c>
      <c r="X822" s="18">
        <v>0</v>
      </c>
      <c r="Y822" s="1" t="s">
        <v>1297</v>
      </c>
      <c r="Z822" s="206" t="s">
        <v>1062</v>
      </c>
      <c r="AC822" s="7"/>
      <c r="AD822" s="7"/>
      <c r="AE822" s="7"/>
      <c r="AG822" s="3" t="s">
        <v>732</v>
      </c>
      <c r="AH822" s="3">
        <v>23</v>
      </c>
      <c r="AI822" s="3">
        <v>24</v>
      </c>
      <c r="AJ822" s="200"/>
      <c r="AM822" s="3"/>
    </row>
    <row r="823" spans="1:39" x14ac:dyDescent="0.3">
      <c r="A823" s="5" t="str">
        <f t="shared" si="194"/>
        <v>BCV130</v>
      </c>
      <c r="B823" s="1" t="s">
        <v>1244</v>
      </c>
      <c r="C823" s="2" t="str">
        <f t="shared" si="190"/>
        <v>DIO1</v>
      </c>
      <c r="D823" s="2">
        <v>130</v>
      </c>
      <c r="E823" s="3">
        <f t="shared" si="191"/>
        <v>2</v>
      </c>
      <c r="F823" s="3">
        <f t="shared" si="192"/>
        <v>8</v>
      </c>
      <c r="G823" s="3">
        <v>0</v>
      </c>
      <c r="H823" s="60">
        <f t="shared" si="196"/>
        <v>2</v>
      </c>
      <c r="I823" s="54">
        <f t="shared" si="195"/>
        <v>12</v>
      </c>
      <c r="J823" s="61"/>
      <c r="K823" s="30"/>
      <c r="L823" s="1" t="s">
        <v>21</v>
      </c>
      <c r="M823" s="2">
        <v>4</v>
      </c>
      <c r="N823" s="1" t="s">
        <v>122</v>
      </c>
      <c r="O823" s="12" t="s">
        <v>1321</v>
      </c>
      <c r="P823" s="12" t="s">
        <v>1248</v>
      </c>
      <c r="Q823" s="12" t="s">
        <v>1322</v>
      </c>
      <c r="R823" s="12" t="s">
        <v>46</v>
      </c>
      <c r="S823" s="13" t="s">
        <v>1321</v>
      </c>
      <c r="T823" s="1" t="s">
        <v>122</v>
      </c>
      <c r="V823" s="1" t="str">
        <f t="shared" si="193"/>
        <v>2.8\0.2:12</v>
      </c>
      <c r="W823" s="13" t="s">
        <v>1238</v>
      </c>
      <c r="X823" s="18">
        <v>0</v>
      </c>
      <c r="Y823" s="1" t="s">
        <v>1297</v>
      </c>
      <c r="Z823" s="206" t="s">
        <v>1062</v>
      </c>
      <c r="AA823" s="206"/>
      <c r="AC823" s="7"/>
      <c r="AD823" s="7"/>
      <c r="AE823" s="7"/>
      <c r="AG823" s="3" t="s">
        <v>732</v>
      </c>
      <c r="AH823" s="3">
        <v>25</v>
      </c>
      <c r="AI823" s="3">
        <v>26</v>
      </c>
      <c r="AJ823" s="200"/>
      <c r="AM823" s="3"/>
    </row>
    <row r="824" spans="1:39" x14ac:dyDescent="0.3">
      <c r="A824" s="5" t="str">
        <f t="shared" si="194"/>
        <v>BCV130</v>
      </c>
      <c r="B824" s="1" t="s">
        <v>1244</v>
      </c>
      <c r="C824" s="2" t="str">
        <f t="shared" si="190"/>
        <v>DIO1</v>
      </c>
      <c r="D824" s="2">
        <v>130</v>
      </c>
      <c r="E824" s="3">
        <f t="shared" si="191"/>
        <v>2</v>
      </c>
      <c r="F824" s="3">
        <f t="shared" si="192"/>
        <v>8</v>
      </c>
      <c r="G824" s="3">
        <v>0</v>
      </c>
      <c r="H824" s="60">
        <f t="shared" si="196"/>
        <v>2</v>
      </c>
      <c r="I824" s="54">
        <f t="shared" si="195"/>
        <v>13</v>
      </c>
      <c r="J824" s="61"/>
      <c r="K824" s="30"/>
      <c r="L824" s="1" t="s">
        <v>21</v>
      </c>
      <c r="M824" s="2">
        <v>5</v>
      </c>
      <c r="N824" s="1" t="s">
        <v>122</v>
      </c>
      <c r="O824" s="1" t="s">
        <v>1319</v>
      </c>
      <c r="P824" s="1" t="s">
        <v>1248</v>
      </c>
      <c r="Q824" s="1" t="s">
        <v>1320</v>
      </c>
      <c r="R824" s="1" t="s">
        <v>46</v>
      </c>
      <c r="S824" s="13" t="s">
        <v>1319</v>
      </c>
      <c r="T824" s="1" t="s">
        <v>1291</v>
      </c>
      <c r="V824" s="1" t="str">
        <f t="shared" si="193"/>
        <v>2.8\0.2:13</v>
      </c>
      <c r="W824" s="1" t="s">
        <v>86</v>
      </c>
      <c r="X824" s="18">
        <v>0</v>
      </c>
      <c r="Y824" s="1" t="s">
        <v>1297</v>
      </c>
      <c r="Z824" s="206" t="s">
        <v>1062</v>
      </c>
      <c r="AA824" s="206"/>
      <c r="AC824" s="7"/>
      <c r="AD824" s="7"/>
      <c r="AE824" s="7"/>
      <c r="AG824" s="3" t="s">
        <v>732</v>
      </c>
      <c r="AH824" s="3">
        <v>27</v>
      </c>
      <c r="AI824" s="3">
        <v>28</v>
      </c>
      <c r="AJ824" s="200"/>
      <c r="AM824" s="3"/>
    </row>
    <row r="825" spans="1:39" x14ac:dyDescent="0.3">
      <c r="A825" s="5" t="str">
        <f t="shared" si="194"/>
        <v>BCV130</v>
      </c>
      <c r="B825" s="1" t="s">
        <v>1244</v>
      </c>
      <c r="C825" s="2" t="str">
        <f t="shared" si="190"/>
        <v>DIO1</v>
      </c>
      <c r="D825" s="2">
        <v>130</v>
      </c>
      <c r="E825" s="3">
        <f t="shared" si="191"/>
        <v>2</v>
      </c>
      <c r="F825" s="3">
        <f t="shared" si="192"/>
        <v>8</v>
      </c>
      <c r="G825" s="3">
        <v>0</v>
      </c>
      <c r="H825" s="60">
        <f t="shared" si="196"/>
        <v>2</v>
      </c>
      <c r="I825" s="54">
        <f t="shared" si="195"/>
        <v>14</v>
      </c>
      <c r="J825" s="61"/>
      <c r="K825" s="30"/>
      <c r="L825" s="1" t="s">
        <v>21</v>
      </c>
      <c r="M825" s="2">
        <v>5</v>
      </c>
      <c r="N825" s="1" t="s">
        <v>122</v>
      </c>
      <c r="O825" s="1" t="s">
        <v>1317</v>
      </c>
      <c r="P825" s="1" t="s">
        <v>1248</v>
      </c>
      <c r="Q825" s="1" t="s">
        <v>1318</v>
      </c>
      <c r="R825" s="1" t="s">
        <v>46</v>
      </c>
      <c r="S825" s="13" t="s">
        <v>1317</v>
      </c>
      <c r="T825" s="1" t="s">
        <v>1291</v>
      </c>
      <c r="V825" s="1" t="str">
        <f t="shared" si="193"/>
        <v>2.8\0.2:14</v>
      </c>
      <c r="W825" s="1" t="s">
        <v>86</v>
      </c>
      <c r="X825" s="18">
        <v>0</v>
      </c>
      <c r="Y825" s="1" t="s">
        <v>1297</v>
      </c>
      <c r="Z825" s="206" t="s">
        <v>1062</v>
      </c>
      <c r="AA825" s="206"/>
      <c r="AC825" s="7"/>
      <c r="AD825" s="7"/>
      <c r="AE825" s="7"/>
      <c r="AG825" s="3" t="s">
        <v>732</v>
      </c>
      <c r="AH825" s="3">
        <v>29</v>
      </c>
      <c r="AI825" s="3">
        <v>30</v>
      </c>
      <c r="AJ825" s="200"/>
      <c r="AM825" s="3"/>
    </row>
    <row r="826" spans="1:39" x14ac:dyDescent="0.3">
      <c r="A826" s="5" t="str">
        <f t="shared" si="194"/>
        <v>BCV130</v>
      </c>
      <c r="B826" s="1" t="s">
        <v>1244</v>
      </c>
      <c r="C826" s="2" t="str">
        <f t="shared" si="190"/>
        <v>DIO1</v>
      </c>
      <c r="D826" s="2">
        <v>130</v>
      </c>
      <c r="E826" s="3">
        <f t="shared" si="191"/>
        <v>2</v>
      </c>
      <c r="F826" s="3">
        <f t="shared" si="192"/>
        <v>8</v>
      </c>
      <c r="G826" s="3">
        <v>0</v>
      </c>
      <c r="H826" s="60">
        <f t="shared" ref="H826:H842" si="197">H822</f>
        <v>2</v>
      </c>
      <c r="I826" s="54">
        <f t="shared" si="195"/>
        <v>15</v>
      </c>
      <c r="J826" s="61"/>
      <c r="K826" s="30"/>
      <c r="L826" s="1" t="s">
        <v>21</v>
      </c>
      <c r="M826" s="2">
        <v>5</v>
      </c>
      <c r="N826" s="1" t="s">
        <v>122</v>
      </c>
      <c r="O826" s="1" t="s">
        <v>1315</v>
      </c>
      <c r="P826" s="1" t="s">
        <v>1248</v>
      </c>
      <c r="Q826" s="1" t="s">
        <v>1316</v>
      </c>
      <c r="R826" s="1" t="s">
        <v>46</v>
      </c>
      <c r="S826" s="13" t="s">
        <v>1315</v>
      </c>
      <c r="T826" s="1" t="s">
        <v>1291</v>
      </c>
      <c r="V826" s="1" t="str">
        <f t="shared" si="193"/>
        <v>2.8\0.2:15</v>
      </c>
      <c r="W826" s="1" t="s">
        <v>86</v>
      </c>
      <c r="X826" s="18">
        <v>0</v>
      </c>
      <c r="Y826" s="1" t="s">
        <v>1297</v>
      </c>
      <c r="Z826" s="206" t="s">
        <v>1062</v>
      </c>
      <c r="AA826" s="206"/>
      <c r="AC826" s="7"/>
      <c r="AD826" s="7"/>
      <c r="AE826" s="7"/>
      <c r="AG826" s="3" t="s">
        <v>732</v>
      </c>
      <c r="AH826" s="3">
        <v>31</v>
      </c>
      <c r="AI826" s="3">
        <v>32</v>
      </c>
      <c r="AJ826" s="200"/>
      <c r="AM826" s="3"/>
    </row>
    <row r="827" spans="1:39" x14ac:dyDescent="0.3">
      <c r="A827" s="5" t="str">
        <f t="shared" si="194"/>
        <v>BCV130</v>
      </c>
      <c r="B827" s="1" t="s">
        <v>1244</v>
      </c>
      <c r="C827" s="2" t="str">
        <f t="shared" si="190"/>
        <v>DIO1</v>
      </c>
      <c r="D827" s="2">
        <v>130</v>
      </c>
      <c r="E827" s="3">
        <f t="shared" si="191"/>
        <v>2</v>
      </c>
      <c r="F827" s="3">
        <f t="shared" si="192"/>
        <v>8</v>
      </c>
      <c r="G827" s="3">
        <v>0</v>
      </c>
      <c r="H827" s="60">
        <f t="shared" si="197"/>
        <v>2</v>
      </c>
      <c r="I827" s="54">
        <f t="shared" si="195"/>
        <v>16</v>
      </c>
      <c r="J827" s="61"/>
      <c r="K827" s="2"/>
      <c r="L827" s="1" t="s">
        <v>21</v>
      </c>
      <c r="M827" s="2">
        <v>4</v>
      </c>
      <c r="N827" s="1" t="s">
        <v>122</v>
      </c>
      <c r="O827" s="1" t="s">
        <v>1313</v>
      </c>
      <c r="P827" s="1" t="s">
        <v>1248</v>
      </c>
      <c r="Q827" s="1" t="s">
        <v>1314</v>
      </c>
      <c r="R827" s="1" t="s">
        <v>46</v>
      </c>
      <c r="S827" s="13" t="s">
        <v>1313</v>
      </c>
      <c r="T827" s="1" t="s">
        <v>122</v>
      </c>
      <c r="V827" s="1" t="str">
        <f t="shared" si="193"/>
        <v>2.8\0.2:16</v>
      </c>
      <c r="W827" s="13" t="s">
        <v>1238</v>
      </c>
      <c r="Y827" s="13" t="s">
        <v>1297</v>
      </c>
      <c r="Z827" s="206" t="s">
        <v>1062</v>
      </c>
      <c r="AA827" s="206"/>
      <c r="AC827" s="7"/>
      <c r="AD827" s="7"/>
      <c r="AE827" s="7"/>
      <c r="AG827" s="3" t="s">
        <v>668</v>
      </c>
      <c r="AH827" s="3">
        <v>1</v>
      </c>
      <c r="AI827" s="3">
        <v>2</v>
      </c>
      <c r="AJ827" s="200"/>
      <c r="AM827" s="3"/>
    </row>
    <row r="828" spans="1:39" x14ac:dyDescent="0.3">
      <c r="A828" s="5" t="str">
        <f t="shared" si="194"/>
        <v>BCV130</v>
      </c>
      <c r="B828" s="1" t="s">
        <v>1244</v>
      </c>
      <c r="C828" s="2" t="str">
        <f t="shared" si="190"/>
        <v>DIO1</v>
      </c>
      <c r="D828" s="2">
        <v>130</v>
      </c>
      <c r="E828" s="3">
        <f t="shared" si="191"/>
        <v>2</v>
      </c>
      <c r="F828" s="3">
        <f t="shared" si="192"/>
        <v>8</v>
      </c>
      <c r="G828" s="3">
        <v>0</v>
      </c>
      <c r="H828" s="60">
        <f t="shared" si="197"/>
        <v>2</v>
      </c>
      <c r="I828" s="54">
        <f t="shared" si="195"/>
        <v>17</v>
      </c>
      <c r="J828" s="61"/>
      <c r="K828" s="30"/>
      <c r="L828" s="1" t="s">
        <v>21</v>
      </c>
      <c r="M828" s="2">
        <v>4</v>
      </c>
      <c r="N828" s="1" t="s">
        <v>122</v>
      </c>
      <c r="O828" s="1" t="s">
        <v>1311</v>
      </c>
      <c r="P828" s="1" t="s">
        <v>1248</v>
      </c>
      <c r="Q828" s="41" t="s">
        <v>1312</v>
      </c>
      <c r="R828" s="1" t="s">
        <v>46</v>
      </c>
      <c r="S828" s="13" t="s">
        <v>1311</v>
      </c>
      <c r="T828" s="1" t="s">
        <v>122</v>
      </c>
      <c r="V828" s="1" t="str">
        <f t="shared" si="193"/>
        <v>2.8\0.2:17</v>
      </c>
      <c r="W828" s="13" t="s">
        <v>1238</v>
      </c>
      <c r="Y828" s="13" t="s">
        <v>1297</v>
      </c>
      <c r="Z828" s="206" t="s">
        <v>1062</v>
      </c>
      <c r="AA828" s="206"/>
      <c r="AC828" s="7"/>
      <c r="AD828" s="7"/>
      <c r="AE828" s="7"/>
      <c r="AG828" s="3" t="s">
        <v>668</v>
      </c>
      <c r="AH828" s="3">
        <v>3</v>
      </c>
      <c r="AI828" s="3">
        <v>4</v>
      </c>
      <c r="AJ828" s="200"/>
      <c r="AM828" s="3"/>
    </row>
    <row r="829" spans="1:39" x14ac:dyDescent="0.3">
      <c r="A829" s="5" t="str">
        <f t="shared" si="194"/>
        <v>BCV130</v>
      </c>
      <c r="B829" s="1" t="s">
        <v>1244</v>
      </c>
      <c r="C829" s="2" t="str">
        <f t="shared" si="190"/>
        <v>DIO1</v>
      </c>
      <c r="D829" s="2">
        <v>130</v>
      </c>
      <c r="E829" s="3">
        <f t="shared" si="191"/>
        <v>2</v>
      </c>
      <c r="F829" s="3">
        <f t="shared" si="192"/>
        <v>8</v>
      </c>
      <c r="G829" s="3">
        <v>0</v>
      </c>
      <c r="H829" s="60">
        <f t="shared" si="197"/>
        <v>2</v>
      </c>
      <c r="I829" s="54">
        <f t="shared" si="195"/>
        <v>18</v>
      </c>
      <c r="J829" s="61"/>
      <c r="K829" s="30"/>
      <c r="L829" s="1" t="s">
        <v>21</v>
      </c>
      <c r="M829" s="2">
        <v>4</v>
      </c>
      <c r="N829" s="1" t="s">
        <v>122</v>
      </c>
      <c r="O829" s="1" t="s">
        <v>1309</v>
      </c>
      <c r="P829" s="1" t="s">
        <v>1248</v>
      </c>
      <c r="Q829" s="41" t="s">
        <v>1310</v>
      </c>
      <c r="R829" s="1" t="s">
        <v>46</v>
      </c>
      <c r="S829" s="13" t="s">
        <v>1309</v>
      </c>
      <c r="T829" s="1" t="s">
        <v>122</v>
      </c>
      <c r="V829" s="1" t="str">
        <f t="shared" si="193"/>
        <v>2.8\0.2:18</v>
      </c>
      <c r="W829" s="13" t="s">
        <v>1238</v>
      </c>
      <c r="X829" s="18">
        <v>0</v>
      </c>
      <c r="Y829" s="13" t="s">
        <v>1297</v>
      </c>
      <c r="Z829" s="206" t="s">
        <v>1062</v>
      </c>
      <c r="AA829" s="206"/>
      <c r="AC829" s="7"/>
      <c r="AD829" s="7"/>
      <c r="AE829" s="7"/>
      <c r="AG829" s="3" t="s">
        <v>668</v>
      </c>
      <c r="AH829" s="3">
        <v>5</v>
      </c>
      <c r="AI829" s="3">
        <v>6</v>
      </c>
      <c r="AJ829" s="200"/>
      <c r="AM829" s="3"/>
    </row>
    <row r="830" spans="1:39" x14ac:dyDescent="0.3">
      <c r="A830" s="5" t="str">
        <f t="shared" si="194"/>
        <v>BCV130</v>
      </c>
      <c r="B830" s="1" t="s">
        <v>1244</v>
      </c>
      <c r="C830" s="2" t="str">
        <f t="shared" si="190"/>
        <v>DIO1</v>
      </c>
      <c r="D830" s="2">
        <v>130</v>
      </c>
      <c r="E830" s="3">
        <f t="shared" si="191"/>
        <v>2</v>
      </c>
      <c r="F830" s="3">
        <f t="shared" si="192"/>
        <v>8</v>
      </c>
      <c r="G830" s="3">
        <v>0</v>
      </c>
      <c r="H830" s="60">
        <f t="shared" si="197"/>
        <v>2</v>
      </c>
      <c r="I830" s="54">
        <f t="shared" si="195"/>
        <v>19</v>
      </c>
      <c r="J830" s="61"/>
      <c r="K830" s="30"/>
      <c r="L830" s="1" t="s">
        <v>21</v>
      </c>
      <c r="M830" s="2">
        <v>4</v>
      </c>
      <c r="N830" s="1" t="s">
        <v>377</v>
      </c>
      <c r="O830" s="220" t="s">
        <v>61</v>
      </c>
      <c r="P830" s="220" t="s">
        <v>1248</v>
      </c>
      <c r="Q830" s="221" t="s">
        <v>1032</v>
      </c>
      <c r="R830" s="220" t="s">
        <v>18</v>
      </c>
      <c r="S830" s="13" t="s">
        <v>61</v>
      </c>
      <c r="T830" s="1" t="s">
        <v>122</v>
      </c>
      <c r="V830" s="1" t="str">
        <f t="shared" si="193"/>
        <v>2.8\0.2:19</v>
      </c>
      <c r="W830" s="13" t="s">
        <v>1238</v>
      </c>
      <c r="X830" s="18">
        <v>0</v>
      </c>
      <c r="Y830" s="13" t="s">
        <v>1297</v>
      </c>
      <c r="Z830" s="206" t="s">
        <v>1062</v>
      </c>
      <c r="AA830" s="206"/>
      <c r="AC830" s="7"/>
      <c r="AD830" s="7"/>
      <c r="AE830" s="7"/>
      <c r="AG830" s="3" t="s">
        <v>668</v>
      </c>
      <c r="AH830" s="3">
        <v>7</v>
      </c>
      <c r="AI830" s="3">
        <v>8</v>
      </c>
      <c r="AJ830" s="200"/>
      <c r="AM830" s="3"/>
    </row>
    <row r="831" spans="1:39" x14ac:dyDescent="0.3">
      <c r="A831" s="5" t="str">
        <f t="shared" si="194"/>
        <v>BCV130</v>
      </c>
      <c r="B831" s="1" t="s">
        <v>1244</v>
      </c>
      <c r="C831" s="2" t="str">
        <f t="shared" si="190"/>
        <v>DIO1</v>
      </c>
      <c r="D831" s="2">
        <v>130</v>
      </c>
      <c r="E831" s="3">
        <f t="shared" si="191"/>
        <v>2</v>
      </c>
      <c r="F831" s="3">
        <f t="shared" si="192"/>
        <v>8</v>
      </c>
      <c r="G831" s="3">
        <v>0</v>
      </c>
      <c r="H831" s="60">
        <f t="shared" si="197"/>
        <v>2</v>
      </c>
      <c r="I831" s="54">
        <f t="shared" si="195"/>
        <v>20</v>
      </c>
      <c r="J831" s="61"/>
      <c r="K831" s="30"/>
      <c r="L831" s="1" t="s">
        <v>21</v>
      </c>
      <c r="M831" s="2">
        <v>4</v>
      </c>
      <c r="N831" s="1" t="s">
        <v>122</v>
      </c>
      <c r="O831" s="1" t="s">
        <v>736</v>
      </c>
      <c r="P831" s="1" t="s">
        <v>1248</v>
      </c>
      <c r="Q831" s="2" t="s">
        <v>1308</v>
      </c>
      <c r="R831" s="2" t="s">
        <v>46</v>
      </c>
      <c r="S831" s="13"/>
      <c r="T831" s="1" t="s">
        <v>122</v>
      </c>
      <c r="V831" s="1" t="str">
        <f t="shared" si="193"/>
        <v>2.8\0.2:20</v>
      </c>
      <c r="W831" s="13" t="s">
        <v>1238</v>
      </c>
      <c r="X831" s="18">
        <v>0</v>
      </c>
      <c r="Y831" s="13" t="s">
        <v>1297</v>
      </c>
      <c r="Z831" s="206" t="s">
        <v>1062</v>
      </c>
      <c r="AA831" s="206"/>
      <c r="AC831" s="7"/>
      <c r="AD831" s="7"/>
      <c r="AE831" s="7"/>
      <c r="AG831" s="3" t="s">
        <v>668</v>
      </c>
      <c r="AH831" s="3">
        <v>9</v>
      </c>
      <c r="AI831" s="3">
        <v>10</v>
      </c>
      <c r="AJ831" s="200"/>
      <c r="AM831" s="3"/>
    </row>
    <row r="832" spans="1:39" x14ac:dyDescent="0.3">
      <c r="A832" s="5" t="str">
        <f t="shared" si="194"/>
        <v>BCV130</v>
      </c>
      <c r="B832" s="1" t="s">
        <v>1244</v>
      </c>
      <c r="C832" s="2" t="str">
        <f t="shared" si="190"/>
        <v>DIO1</v>
      </c>
      <c r="D832" s="2">
        <v>130</v>
      </c>
      <c r="E832" s="3">
        <f t="shared" si="191"/>
        <v>2</v>
      </c>
      <c r="F832" s="3">
        <f t="shared" si="192"/>
        <v>8</v>
      </c>
      <c r="G832" s="3">
        <v>0</v>
      </c>
      <c r="H832" s="60">
        <f t="shared" si="197"/>
        <v>2</v>
      </c>
      <c r="I832" s="54">
        <f t="shared" si="195"/>
        <v>21</v>
      </c>
      <c r="J832" s="61"/>
      <c r="K832" s="30"/>
      <c r="L832" s="1" t="s">
        <v>21</v>
      </c>
      <c r="M832" s="2">
        <v>4</v>
      </c>
      <c r="N832" s="1" t="s">
        <v>122</v>
      </c>
      <c r="O832" s="1" t="s">
        <v>953</v>
      </c>
      <c r="P832" s="1" t="s">
        <v>1248</v>
      </c>
      <c r="Q832" s="2" t="s">
        <v>1307</v>
      </c>
      <c r="R832" s="2" t="s">
        <v>46</v>
      </c>
      <c r="S832" s="13"/>
      <c r="T832" s="1" t="s">
        <v>122</v>
      </c>
      <c r="V832" s="1" t="str">
        <f t="shared" si="193"/>
        <v>2.8\0.2:21</v>
      </c>
      <c r="W832" s="13" t="s">
        <v>1238</v>
      </c>
      <c r="X832" s="18">
        <v>0</v>
      </c>
      <c r="Y832" s="13" t="s">
        <v>1297</v>
      </c>
      <c r="Z832" s="206" t="s">
        <v>1062</v>
      </c>
      <c r="AA832" s="206"/>
      <c r="AC832" s="7"/>
      <c r="AD832" s="7"/>
      <c r="AE832" s="7"/>
      <c r="AG832" s="3" t="s">
        <v>668</v>
      </c>
      <c r="AH832" s="3">
        <v>11</v>
      </c>
      <c r="AI832" s="3">
        <v>12</v>
      </c>
      <c r="AJ832" s="200"/>
      <c r="AM832" s="3"/>
    </row>
    <row r="833" spans="1:39" x14ac:dyDescent="0.3">
      <c r="A833" s="5" t="str">
        <f t="shared" si="194"/>
        <v>BCV130</v>
      </c>
      <c r="B833" s="1" t="s">
        <v>1244</v>
      </c>
      <c r="C833" s="2" t="str">
        <f t="shared" si="190"/>
        <v>DIO1</v>
      </c>
      <c r="D833" s="2">
        <v>130</v>
      </c>
      <c r="E833" s="3">
        <f t="shared" si="191"/>
        <v>2</v>
      </c>
      <c r="F833" s="3">
        <f t="shared" si="192"/>
        <v>8</v>
      </c>
      <c r="G833" s="3">
        <v>0</v>
      </c>
      <c r="H833" s="60">
        <f t="shared" si="197"/>
        <v>2</v>
      </c>
      <c r="I833" s="54">
        <f t="shared" si="195"/>
        <v>22</v>
      </c>
      <c r="J833" s="61"/>
      <c r="K833" s="30"/>
      <c r="L833" s="1" t="s">
        <v>21</v>
      </c>
      <c r="M833" s="2">
        <v>4</v>
      </c>
      <c r="N833" s="1" t="s">
        <v>122</v>
      </c>
      <c r="O833" s="1" t="s">
        <v>1192</v>
      </c>
      <c r="P833" s="1" t="s">
        <v>1248</v>
      </c>
      <c r="Q833" s="2" t="s">
        <v>1306</v>
      </c>
      <c r="R833" s="2" t="s">
        <v>46</v>
      </c>
      <c r="S833" s="13"/>
      <c r="T833" s="1" t="s">
        <v>122</v>
      </c>
      <c r="V833" s="1" t="str">
        <f t="shared" si="193"/>
        <v>2.8\0.2:22</v>
      </c>
      <c r="W833" s="13" t="s">
        <v>1238</v>
      </c>
      <c r="X833" s="18">
        <v>0</v>
      </c>
      <c r="Y833" s="13" t="s">
        <v>1297</v>
      </c>
      <c r="Z833" s="206" t="s">
        <v>1062</v>
      </c>
      <c r="AG833" s="3" t="s">
        <v>668</v>
      </c>
      <c r="AH833" s="3">
        <v>13</v>
      </c>
      <c r="AI833" s="3">
        <v>14</v>
      </c>
      <c r="AJ833" s="200"/>
      <c r="AM833" s="3"/>
    </row>
    <row r="834" spans="1:39" x14ac:dyDescent="0.3">
      <c r="A834" s="5" t="str">
        <f t="shared" si="194"/>
        <v>BCV130</v>
      </c>
      <c r="B834" s="1" t="s">
        <v>1244</v>
      </c>
      <c r="C834" s="2" t="str">
        <f t="shared" si="190"/>
        <v>DIO1</v>
      </c>
      <c r="D834" s="2">
        <v>130</v>
      </c>
      <c r="E834" s="3">
        <f t="shared" si="191"/>
        <v>2</v>
      </c>
      <c r="F834" s="3">
        <f t="shared" si="192"/>
        <v>8</v>
      </c>
      <c r="G834" s="3">
        <v>0</v>
      </c>
      <c r="H834" s="60">
        <f t="shared" si="197"/>
        <v>2</v>
      </c>
      <c r="I834" s="54">
        <f t="shared" si="195"/>
        <v>23</v>
      </c>
      <c r="J834" s="61"/>
      <c r="K834" s="30"/>
      <c r="L834" s="1" t="s">
        <v>21</v>
      </c>
      <c r="M834" s="2">
        <v>4</v>
      </c>
      <c r="N834" s="1" t="s">
        <v>122</v>
      </c>
      <c r="O834" s="1" t="s">
        <v>1189</v>
      </c>
      <c r="P834" s="1" t="s">
        <v>1248</v>
      </c>
      <c r="Q834" s="2" t="s">
        <v>1305</v>
      </c>
      <c r="R834" s="2" t="s">
        <v>46</v>
      </c>
      <c r="S834" s="13"/>
      <c r="T834" s="1" t="s">
        <v>122</v>
      </c>
      <c r="V834" s="1" t="str">
        <f t="shared" si="193"/>
        <v>2.8\0.2:23</v>
      </c>
      <c r="W834" s="13" t="s">
        <v>1238</v>
      </c>
      <c r="X834" s="18">
        <v>0</v>
      </c>
      <c r="Y834" s="13" t="s">
        <v>1297</v>
      </c>
      <c r="Z834" s="206" t="s">
        <v>1062</v>
      </c>
      <c r="AG834" s="3" t="s">
        <v>668</v>
      </c>
      <c r="AH834" s="3">
        <v>15</v>
      </c>
      <c r="AI834" s="3">
        <v>16</v>
      </c>
      <c r="AJ834" s="200"/>
      <c r="AM834" s="3"/>
    </row>
    <row r="835" spans="1:39" x14ac:dyDescent="0.3">
      <c r="A835" s="5" t="str">
        <f t="shared" si="194"/>
        <v>BCV130</v>
      </c>
      <c r="B835" s="1" t="s">
        <v>1244</v>
      </c>
      <c r="C835" s="2" t="str">
        <f t="shared" si="190"/>
        <v>DIO1</v>
      </c>
      <c r="D835" s="2">
        <v>130</v>
      </c>
      <c r="E835" s="3">
        <f t="shared" si="191"/>
        <v>2</v>
      </c>
      <c r="F835" s="3">
        <f t="shared" si="192"/>
        <v>8</v>
      </c>
      <c r="G835" s="3">
        <v>0</v>
      </c>
      <c r="H835" s="60">
        <f t="shared" si="197"/>
        <v>2</v>
      </c>
      <c r="I835" s="54">
        <f t="shared" si="195"/>
        <v>24</v>
      </c>
      <c r="J835" s="61"/>
      <c r="K835" s="30"/>
      <c r="L835" s="1" t="s">
        <v>21</v>
      </c>
      <c r="M835" s="2">
        <v>4</v>
      </c>
      <c r="N835" s="1" t="s">
        <v>122</v>
      </c>
      <c r="O835" s="1" t="s">
        <v>1304</v>
      </c>
      <c r="P835" s="1" t="s">
        <v>1248</v>
      </c>
      <c r="Q835" s="2" t="s">
        <v>1303</v>
      </c>
      <c r="R835" s="2" t="s">
        <v>46</v>
      </c>
      <c r="S835" s="13"/>
      <c r="T835" s="1" t="s">
        <v>122</v>
      </c>
      <c r="V835" s="1" t="str">
        <f t="shared" si="193"/>
        <v>2.8\0.2:24</v>
      </c>
      <c r="W835" s="13" t="s">
        <v>1238</v>
      </c>
      <c r="X835" s="18">
        <v>0</v>
      </c>
      <c r="Y835" s="13" t="s">
        <v>1297</v>
      </c>
      <c r="Z835" s="206" t="s">
        <v>1062</v>
      </c>
      <c r="AG835" s="3" t="s">
        <v>668</v>
      </c>
      <c r="AH835" s="3">
        <v>17</v>
      </c>
      <c r="AI835" s="3">
        <v>18</v>
      </c>
      <c r="AJ835" s="200"/>
      <c r="AM835" s="3"/>
    </row>
    <row r="836" spans="1:39" x14ac:dyDescent="0.3">
      <c r="A836" s="5" t="str">
        <f t="shared" si="194"/>
        <v>BCV130</v>
      </c>
      <c r="B836" s="1" t="s">
        <v>1244</v>
      </c>
      <c r="C836" s="2" t="str">
        <f t="shared" si="190"/>
        <v>DIO1</v>
      </c>
      <c r="D836" s="2">
        <v>130</v>
      </c>
      <c r="E836" s="3">
        <f t="shared" si="191"/>
        <v>2</v>
      </c>
      <c r="F836" s="3">
        <f t="shared" si="192"/>
        <v>8</v>
      </c>
      <c r="G836" s="3">
        <v>0</v>
      </c>
      <c r="H836" s="60">
        <f t="shared" si="197"/>
        <v>2</v>
      </c>
      <c r="I836" s="54">
        <f t="shared" si="195"/>
        <v>25</v>
      </c>
      <c r="J836" s="61"/>
      <c r="K836" s="30"/>
      <c r="L836" s="1" t="s">
        <v>21</v>
      </c>
      <c r="M836" s="2">
        <v>4</v>
      </c>
      <c r="N836" s="1" t="s">
        <v>122</v>
      </c>
      <c r="O836" s="1" t="s">
        <v>1302</v>
      </c>
      <c r="P836" s="1" t="s">
        <v>1248</v>
      </c>
      <c r="Q836" s="1" t="s">
        <v>1301</v>
      </c>
      <c r="R836" s="1" t="s">
        <v>46</v>
      </c>
      <c r="S836" s="13"/>
      <c r="T836" s="1" t="s">
        <v>122</v>
      </c>
      <c r="V836" s="1" t="str">
        <f t="shared" si="193"/>
        <v>2.8\0.2:25</v>
      </c>
      <c r="W836" s="13" t="s">
        <v>1238</v>
      </c>
      <c r="X836" s="18">
        <v>0</v>
      </c>
      <c r="Y836" s="13" t="s">
        <v>1297</v>
      </c>
      <c r="Z836" s="206" t="s">
        <v>1062</v>
      </c>
      <c r="AG836" s="3" t="s">
        <v>668</v>
      </c>
      <c r="AH836" s="3">
        <v>19</v>
      </c>
      <c r="AI836" s="3">
        <v>20</v>
      </c>
      <c r="AJ836" s="200"/>
      <c r="AM836" s="3"/>
    </row>
    <row r="837" spans="1:39" x14ac:dyDescent="0.3">
      <c r="A837" s="5" t="str">
        <f t="shared" si="194"/>
        <v>BCV130</v>
      </c>
      <c r="B837" s="1" t="s">
        <v>1244</v>
      </c>
      <c r="C837" s="2" t="str">
        <f t="shared" si="190"/>
        <v>DIO1</v>
      </c>
      <c r="D837" s="2">
        <v>130</v>
      </c>
      <c r="E837" s="3">
        <f t="shared" si="191"/>
        <v>2</v>
      </c>
      <c r="F837" s="3">
        <f t="shared" si="192"/>
        <v>8</v>
      </c>
      <c r="G837" s="3">
        <v>0</v>
      </c>
      <c r="H837" s="60">
        <f t="shared" si="197"/>
        <v>2</v>
      </c>
      <c r="I837" s="54">
        <f t="shared" si="195"/>
        <v>26</v>
      </c>
      <c r="J837" s="61"/>
      <c r="K837" s="30"/>
      <c r="L837" s="1" t="s">
        <v>21</v>
      </c>
      <c r="M837" s="2">
        <v>4</v>
      </c>
      <c r="N837" s="1" t="s">
        <v>92</v>
      </c>
      <c r="O837" s="1" t="s">
        <v>989</v>
      </c>
      <c r="P837" s="1" t="s">
        <v>1300</v>
      </c>
      <c r="Q837" s="1" t="s">
        <v>1299</v>
      </c>
      <c r="R837" s="1" t="s">
        <v>18</v>
      </c>
      <c r="S837" s="13"/>
      <c r="T837" s="1" t="s">
        <v>92</v>
      </c>
      <c r="V837" s="1" t="str">
        <f t="shared" si="193"/>
        <v>2.8\0.2:26</v>
      </c>
      <c r="W837" s="13" t="s">
        <v>1238</v>
      </c>
      <c r="X837" s="18">
        <v>0</v>
      </c>
      <c r="Y837" s="13" t="s">
        <v>1297</v>
      </c>
      <c r="Z837" s="206" t="s">
        <v>1062</v>
      </c>
      <c r="AG837" s="3" t="s">
        <v>668</v>
      </c>
      <c r="AH837" s="3">
        <v>21</v>
      </c>
      <c r="AI837" s="3">
        <v>22</v>
      </c>
      <c r="AJ837" s="200"/>
      <c r="AM837" s="3"/>
    </row>
    <row r="838" spans="1:39" x14ac:dyDescent="0.3">
      <c r="A838" s="5" t="str">
        <f t="shared" si="194"/>
        <v>BCV130</v>
      </c>
      <c r="B838" s="1" t="s">
        <v>1244</v>
      </c>
      <c r="C838" s="2" t="str">
        <f t="shared" si="190"/>
        <v>DIO1</v>
      </c>
      <c r="D838" s="2">
        <v>130</v>
      </c>
      <c r="E838" s="3">
        <f t="shared" si="191"/>
        <v>2</v>
      </c>
      <c r="F838" s="3">
        <f t="shared" si="192"/>
        <v>8</v>
      </c>
      <c r="G838" s="3">
        <v>0</v>
      </c>
      <c r="H838" s="60">
        <f t="shared" si="197"/>
        <v>2</v>
      </c>
      <c r="I838" s="54">
        <f t="shared" si="195"/>
        <v>27</v>
      </c>
      <c r="J838" s="61"/>
      <c r="K838" s="30"/>
      <c r="L838" s="1" t="s">
        <v>21</v>
      </c>
      <c r="M838" s="2">
        <v>4</v>
      </c>
      <c r="N838" s="1" t="s">
        <v>122</v>
      </c>
      <c r="O838" s="1" t="s">
        <v>655</v>
      </c>
      <c r="P838" s="1" t="s">
        <v>1248</v>
      </c>
      <c r="Q838" s="1" t="s">
        <v>1298</v>
      </c>
      <c r="R838" s="1" t="s">
        <v>18</v>
      </c>
      <c r="S838" s="13"/>
      <c r="T838" s="1" t="s">
        <v>122</v>
      </c>
      <c r="V838" s="1" t="str">
        <f t="shared" si="193"/>
        <v>2.8\0.2:27</v>
      </c>
      <c r="W838" s="13" t="s">
        <v>1238</v>
      </c>
      <c r="X838" s="18">
        <v>0</v>
      </c>
      <c r="Y838" s="13" t="s">
        <v>1297</v>
      </c>
      <c r="Z838" s="206" t="s">
        <v>1062</v>
      </c>
      <c r="AG838" s="3" t="s">
        <v>668</v>
      </c>
      <c r="AH838" s="3">
        <v>23</v>
      </c>
      <c r="AI838" s="3">
        <v>24</v>
      </c>
      <c r="AJ838" s="200"/>
      <c r="AM838" s="3"/>
    </row>
    <row r="839" spans="1:39" x14ac:dyDescent="0.3">
      <c r="A839" s="5" t="str">
        <f t="shared" si="194"/>
        <v>BCV130</v>
      </c>
      <c r="B839" s="1" t="s">
        <v>1244</v>
      </c>
      <c r="C839" s="2" t="str">
        <f t="shared" si="190"/>
        <v>DIO1</v>
      </c>
      <c r="D839" s="2">
        <v>130</v>
      </c>
      <c r="E839" s="3">
        <f t="shared" si="191"/>
        <v>2</v>
      </c>
      <c r="F839" s="3">
        <f t="shared" si="192"/>
        <v>8</v>
      </c>
      <c r="G839" s="3">
        <v>0</v>
      </c>
      <c r="H839" s="60">
        <f t="shared" si="197"/>
        <v>2</v>
      </c>
      <c r="I839" s="54">
        <f t="shared" si="195"/>
        <v>28</v>
      </c>
      <c r="J839" s="61"/>
      <c r="K839" s="30"/>
      <c r="L839" s="1" t="s">
        <v>21</v>
      </c>
      <c r="M839" s="2">
        <v>4</v>
      </c>
      <c r="N839" s="1" t="s">
        <v>1291</v>
      </c>
      <c r="O839" s="1" t="s">
        <v>26</v>
      </c>
      <c r="P839" s="1" t="s">
        <v>1296</v>
      </c>
      <c r="Q839" s="1" t="s">
        <v>1292</v>
      </c>
      <c r="R839" s="1" t="s">
        <v>24</v>
      </c>
      <c r="S839" s="13" t="s">
        <v>26</v>
      </c>
      <c r="T839" s="1" t="s">
        <v>1291</v>
      </c>
      <c r="V839" s="1" t="str">
        <f t="shared" si="193"/>
        <v>2.8\0.2:28</v>
      </c>
      <c r="W839" s="13" t="s">
        <v>93</v>
      </c>
      <c r="X839" s="18">
        <v>0</v>
      </c>
      <c r="Y839" s="13"/>
      <c r="Z839" s="206" t="s">
        <v>1062</v>
      </c>
      <c r="AG839" s="3" t="s">
        <v>668</v>
      </c>
      <c r="AH839" s="3">
        <v>25</v>
      </c>
      <c r="AI839" s="3">
        <v>26</v>
      </c>
      <c r="AJ839" s="200"/>
      <c r="AM839" s="3"/>
    </row>
    <row r="840" spans="1:39" x14ac:dyDescent="0.3">
      <c r="A840" s="5" t="str">
        <f t="shared" si="194"/>
        <v>BCV130</v>
      </c>
      <c r="B840" s="1" t="s">
        <v>1244</v>
      </c>
      <c r="C840" s="2" t="str">
        <f t="shared" si="190"/>
        <v>DIO1</v>
      </c>
      <c r="D840" s="2">
        <v>130</v>
      </c>
      <c r="E840" s="3">
        <f t="shared" si="191"/>
        <v>2</v>
      </c>
      <c r="F840" s="3">
        <f t="shared" si="192"/>
        <v>8</v>
      </c>
      <c r="G840" s="3">
        <v>0</v>
      </c>
      <c r="H840" s="60">
        <f t="shared" si="197"/>
        <v>2</v>
      </c>
      <c r="I840" s="54">
        <f t="shared" si="195"/>
        <v>29</v>
      </c>
      <c r="J840" s="61"/>
      <c r="K840" s="30"/>
      <c r="L840" s="1" t="s">
        <v>21</v>
      </c>
      <c r="M840" s="2">
        <v>4</v>
      </c>
      <c r="N840" s="1" t="s">
        <v>1295</v>
      </c>
      <c r="O840" s="1" t="s">
        <v>1294</v>
      </c>
      <c r="P840" s="1" t="s">
        <v>1293</v>
      </c>
      <c r="Q840" s="1" t="s">
        <v>1292</v>
      </c>
      <c r="R840" s="1" t="s">
        <v>24</v>
      </c>
      <c r="S840" s="13" t="s">
        <v>26</v>
      </c>
      <c r="T840" s="1" t="s">
        <v>1291</v>
      </c>
      <c r="V840" s="1" t="str">
        <f t="shared" si="193"/>
        <v>2.8\0.2:29</v>
      </c>
      <c r="W840" s="13" t="s">
        <v>86</v>
      </c>
      <c r="X840" s="18">
        <v>0</v>
      </c>
      <c r="Z840" s="206" t="s">
        <v>1062</v>
      </c>
      <c r="AG840" s="3" t="s">
        <v>668</v>
      </c>
      <c r="AH840" s="3">
        <v>27</v>
      </c>
      <c r="AI840" s="3">
        <v>28</v>
      </c>
      <c r="AJ840" s="200"/>
      <c r="AM840" s="3"/>
    </row>
    <row r="841" spans="1:39" x14ac:dyDescent="0.3">
      <c r="A841" s="5" t="str">
        <f t="shared" si="194"/>
        <v>BCV130</v>
      </c>
      <c r="B841" s="1" t="s">
        <v>1244</v>
      </c>
      <c r="C841" s="2" t="str">
        <f t="shared" si="190"/>
        <v>DIO1</v>
      </c>
      <c r="D841" s="2">
        <v>130</v>
      </c>
      <c r="E841" s="3">
        <f t="shared" si="191"/>
        <v>2</v>
      </c>
      <c r="F841" s="3">
        <f t="shared" si="192"/>
        <v>8</v>
      </c>
      <c r="G841" s="3">
        <v>0</v>
      </c>
      <c r="H841" s="60">
        <f t="shared" si="197"/>
        <v>2</v>
      </c>
      <c r="I841" s="54">
        <f t="shared" si="195"/>
        <v>30</v>
      </c>
      <c r="J841" s="61"/>
      <c r="K841" s="30"/>
      <c r="L841" s="1" t="s">
        <v>21</v>
      </c>
      <c r="M841" s="2"/>
      <c r="N841" s="40"/>
      <c r="P841" s="40"/>
      <c r="Q841" s="1" t="s">
        <v>302</v>
      </c>
      <c r="R841" s="1" t="s">
        <v>302</v>
      </c>
      <c r="S841" s="13"/>
      <c r="V841" s="1" t="str">
        <f t="shared" si="193"/>
        <v>2.8\0.2:30</v>
      </c>
      <c r="Z841" s="206" t="s">
        <v>1062</v>
      </c>
      <c r="AG841" s="3" t="s">
        <v>668</v>
      </c>
      <c r="AH841" s="3">
        <v>29</v>
      </c>
      <c r="AI841" s="3">
        <v>30</v>
      </c>
      <c r="AJ841" s="200"/>
      <c r="AM841" s="3"/>
    </row>
    <row r="842" spans="1:39" ht="13.5" thickBot="1" x14ac:dyDescent="0.35">
      <c r="A842" s="5" t="str">
        <f t="shared" si="194"/>
        <v>BCV130</v>
      </c>
      <c r="B842" s="1" t="s">
        <v>1244</v>
      </c>
      <c r="C842" s="2" t="str">
        <f t="shared" si="190"/>
        <v>DIO1</v>
      </c>
      <c r="D842" s="2">
        <v>130</v>
      </c>
      <c r="E842" s="3">
        <f t="shared" si="191"/>
        <v>2</v>
      </c>
      <c r="F842" s="3">
        <f t="shared" si="192"/>
        <v>8</v>
      </c>
      <c r="G842" s="3">
        <v>0</v>
      </c>
      <c r="H842" s="60">
        <f t="shared" si="197"/>
        <v>2</v>
      </c>
      <c r="I842" s="59">
        <f t="shared" si="195"/>
        <v>31</v>
      </c>
      <c r="J842" s="58"/>
      <c r="K842" s="30"/>
      <c r="L842" s="1" t="s">
        <v>21</v>
      </c>
      <c r="M842" s="2"/>
      <c r="N842" s="40"/>
      <c r="P842" s="40"/>
      <c r="Q842" s="1" t="s">
        <v>302</v>
      </c>
      <c r="R842" s="1" t="s">
        <v>302</v>
      </c>
      <c r="S842" s="13"/>
      <c r="V842" s="1" t="str">
        <f t="shared" si="193"/>
        <v>2.8\0.2:31</v>
      </c>
      <c r="Z842" s="206" t="s">
        <v>1062</v>
      </c>
      <c r="AG842" s="3" t="s">
        <v>668</v>
      </c>
      <c r="AH842" s="3">
        <v>31</v>
      </c>
      <c r="AI842" s="3">
        <v>32</v>
      </c>
      <c r="AJ842" s="200"/>
      <c r="AM842" s="3"/>
    </row>
    <row r="843" spans="1:39" x14ac:dyDescent="0.3">
      <c r="A843" s="5" t="str">
        <f t="shared" si="194"/>
        <v>BCV130</v>
      </c>
      <c r="B843" s="1" t="s">
        <v>1244</v>
      </c>
      <c r="C843" s="2" t="str">
        <f>+C810</f>
        <v>DIO1</v>
      </c>
      <c r="D843" s="2">
        <v>130</v>
      </c>
      <c r="E843" s="3">
        <f>+E810</f>
        <v>2</v>
      </c>
      <c r="F843" s="3">
        <f>+F810</f>
        <v>8</v>
      </c>
      <c r="G843" s="3">
        <v>0</v>
      </c>
      <c r="H843" s="62">
        <v>3</v>
      </c>
      <c r="I843" s="56">
        <v>0</v>
      </c>
      <c r="J843" s="79" t="s">
        <v>549</v>
      </c>
      <c r="K843" s="2" t="s">
        <v>548</v>
      </c>
      <c r="L843" s="30" t="s">
        <v>42</v>
      </c>
      <c r="M843" s="2">
        <v>4</v>
      </c>
      <c r="N843" s="1" t="s">
        <v>122</v>
      </c>
      <c r="O843" s="1" t="s">
        <v>65</v>
      </c>
      <c r="P843" s="1" t="s">
        <v>1248</v>
      </c>
      <c r="Q843" s="1" t="s">
        <v>1290</v>
      </c>
      <c r="S843" s="13"/>
      <c r="T843" s="13" t="s">
        <v>122</v>
      </c>
      <c r="V843" s="1" t="str">
        <f t="shared" ref="V843:V874" si="198">+CONCATENATE(E843,".",F843,"\",G843,".",H843,":",I843)</f>
        <v>2.8\0.3:0</v>
      </c>
      <c r="W843" s="13" t="s">
        <v>1246</v>
      </c>
      <c r="X843" s="18">
        <v>0</v>
      </c>
      <c r="Y843" s="13" t="s">
        <v>1245</v>
      </c>
      <c r="Z843" s="206" t="s">
        <v>1062</v>
      </c>
      <c r="AG843" s="3" t="s">
        <v>588</v>
      </c>
      <c r="AH843" s="3">
        <v>1</v>
      </c>
      <c r="AI843" s="3">
        <v>2</v>
      </c>
      <c r="AJ843" s="200"/>
      <c r="AM843" s="3"/>
    </row>
    <row r="844" spans="1:39" x14ac:dyDescent="0.3">
      <c r="A844" s="5" t="str">
        <f t="shared" ref="A844:A875" si="199">A843</f>
        <v>BCV130</v>
      </c>
      <c r="B844" s="1" t="s">
        <v>1244</v>
      </c>
      <c r="C844" s="2" t="str">
        <f t="shared" ref="C844:C858" si="200">+C843</f>
        <v>DIO1</v>
      </c>
      <c r="D844" s="2">
        <v>130</v>
      </c>
      <c r="E844" s="3">
        <f t="shared" ref="E844:E858" si="201">+E843</f>
        <v>2</v>
      </c>
      <c r="F844" s="3">
        <f t="shared" ref="F844:F858" si="202">+F843</f>
        <v>8</v>
      </c>
      <c r="G844" s="3">
        <v>0</v>
      </c>
      <c r="H844" s="60">
        <f>H843</f>
        <v>3</v>
      </c>
      <c r="I844" s="54">
        <f t="shared" ref="I844:I858" si="203">+I843+1</f>
        <v>1</v>
      </c>
      <c r="J844" s="78"/>
      <c r="K844" s="30"/>
      <c r="L844" s="30" t="s">
        <v>42</v>
      </c>
      <c r="M844" s="2">
        <v>4</v>
      </c>
      <c r="N844" s="1" t="s">
        <v>122</v>
      </c>
      <c r="O844" s="1" t="s">
        <v>79</v>
      </c>
      <c r="P844" s="1" t="s">
        <v>1248</v>
      </c>
      <c r="Q844" s="1" t="s">
        <v>1289</v>
      </c>
      <c r="S844" s="13"/>
      <c r="T844" s="13" t="s">
        <v>122</v>
      </c>
      <c r="V844" s="1" t="str">
        <f t="shared" si="198"/>
        <v>2.8\0.3:1</v>
      </c>
      <c r="W844" s="13" t="s">
        <v>1246</v>
      </c>
      <c r="X844" s="18">
        <v>0</v>
      </c>
      <c r="Y844" s="13" t="s">
        <v>1245</v>
      </c>
      <c r="Z844" s="206" t="s">
        <v>1062</v>
      </c>
      <c r="AG844" s="3" t="s">
        <v>588</v>
      </c>
      <c r="AH844" s="3">
        <v>3</v>
      </c>
      <c r="AI844" s="3">
        <v>4</v>
      </c>
      <c r="AJ844" s="200"/>
      <c r="AM844" s="3"/>
    </row>
    <row r="845" spans="1:39" x14ac:dyDescent="0.3">
      <c r="A845" s="5" t="str">
        <f t="shared" si="199"/>
        <v>BCV130</v>
      </c>
      <c r="B845" s="1" t="s">
        <v>1244</v>
      </c>
      <c r="C845" s="2" t="str">
        <f t="shared" si="200"/>
        <v>DIO1</v>
      </c>
      <c r="D845" s="2">
        <v>130</v>
      </c>
      <c r="E845" s="3">
        <f t="shared" si="201"/>
        <v>2</v>
      </c>
      <c r="F845" s="3">
        <f t="shared" si="202"/>
        <v>8</v>
      </c>
      <c r="G845" s="3">
        <v>0</v>
      </c>
      <c r="H845" s="55">
        <f t="shared" ref="H845:H858" si="204">+H844</f>
        <v>3</v>
      </c>
      <c r="I845" s="54">
        <f t="shared" si="203"/>
        <v>2</v>
      </c>
      <c r="J845" s="78"/>
      <c r="K845" s="27"/>
      <c r="L845" s="30" t="s">
        <v>42</v>
      </c>
      <c r="M845" s="2">
        <v>4</v>
      </c>
      <c r="N845" s="1" t="s">
        <v>122</v>
      </c>
      <c r="O845" s="1" t="s">
        <v>863</v>
      </c>
      <c r="P845" s="1" t="s">
        <v>1248</v>
      </c>
      <c r="Q845" s="1" t="s">
        <v>1288</v>
      </c>
      <c r="S845" s="13"/>
      <c r="T845" s="13" t="s">
        <v>122</v>
      </c>
      <c r="V845" s="1" t="str">
        <f t="shared" si="198"/>
        <v>2.8\0.3:2</v>
      </c>
      <c r="W845" s="13" t="s">
        <v>1246</v>
      </c>
      <c r="X845" s="18">
        <v>0</v>
      </c>
      <c r="Y845" s="13" t="s">
        <v>1245</v>
      </c>
      <c r="Z845" s="206" t="s">
        <v>1062</v>
      </c>
      <c r="AG845" s="3" t="s">
        <v>588</v>
      </c>
      <c r="AH845" s="3">
        <v>5</v>
      </c>
      <c r="AI845" s="3">
        <v>6</v>
      </c>
      <c r="AJ845" s="200"/>
      <c r="AM845" s="3"/>
    </row>
    <row r="846" spans="1:39" x14ac:dyDescent="0.3">
      <c r="A846" s="5" t="str">
        <f t="shared" si="199"/>
        <v>BCV130</v>
      </c>
      <c r="B846" s="1" t="s">
        <v>1244</v>
      </c>
      <c r="C846" s="2" t="str">
        <f t="shared" si="200"/>
        <v>DIO1</v>
      </c>
      <c r="D846" s="2">
        <v>130</v>
      </c>
      <c r="E846" s="3">
        <f t="shared" si="201"/>
        <v>2</v>
      </c>
      <c r="F846" s="3">
        <f t="shared" si="202"/>
        <v>8</v>
      </c>
      <c r="G846" s="3">
        <v>0</v>
      </c>
      <c r="H846" s="55">
        <f t="shared" si="204"/>
        <v>3</v>
      </c>
      <c r="I846" s="54">
        <f t="shared" si="203"/>
        <v>3</v>
      </c>
      <c r="J846" s="78"/>
      <c r="K846" s="27"/>
      <c r="L846" s="30" t="s">
        <v>42</v>
      </c>
      <c r="M846" s="2">
        <v>4</v>
      </c>
      <c r="N846" s="1" t="s">
        <v>122</v>
      </c>
      <c r="O846" s="1" t="s">
        <v>860</v>
      </c>
      <c r="P846" s="1" t="s">
        <v>1248</v>
      </c>
      <c r="Q846" s="4" t="s">
        <v>1287</v>
      </c>
      <c r="R846" s="4"/>
      <c r="S846" s="13"/>
      <c r="T846" s="13" t="s">
        <v>122</v>
      </c>
      <c r="V846" s="1" t="str">
        <f t="shared" si="198"/>
        <v>2.8\0.3:3</v>
      </c>
      <c r="W846" s="13" t="s">
        <v>1246</v>
      </c>
      <c r="X846" s="18">
        <v>0</v>
      </c>
      <c r="Y846" s="13" t="s">
        <v>1245</v>
      </c>
      <c r="Z846" s="206" t="s">
        <v>1062</v>
      </c>
      <c r="AG846" s="3" t="s">
        <v>588</v>
      </c>
      <c r="AH846" s="3">
        <v>7</v>
      </c>
      <c r="AI846" s="3">
        <v>8</v>
      </c>
      <c r="AJ846" s="200"/>
      <c r="AM846" s="3"/>
    </row>
    <row r="847" spans="1:39" x14ac:dyDescent="0.3">
      <c r="A847" s="5" t="str">
        <f t="shared" si="199"/>
        <v>BCV130</v>
      </c>
      <c r="B847" s="1" t="s">
        <v>1244</v>
      </c>
      <c r="C847" s="2" t="str">
        <f t="shared" si="200"/>
        <v>DIO1</v>
      </c>
      <c r="D847" s="2">
        <v>130</v>
      </c>
      <c r="E847" s="3">
        <f t="shared" si="201"/>
        <v>2</v>
      </c>
      <c r="F847" s="3">
        <f t="shared" si="202"/>
        <v>8</v>
      </c>
      <c r="G847" s="3">
        <v>0</v>
      </c>
      <c r="H847" s="55">
        <f t="shared" si="204"/>
        <v>3</v>
      </c>
      <c r="I847" s="54">
        <f t="shared" si="203"/>
        <v>4</v>
      </c>
      <c r="J847" s="78"/>
      <c r="K847" s="27"/>
      <c r="L847" s="30" t="s">
        <v>42</v>
      </c>
      <c r="M847" s="2">
        <v>4</v>
      </c>
      <c r="N847" s="1" t="s">
        <v>122</v>
      </c>
      <c r="O847" s="1" t="s">
        <v>858</v>
      </c>
      <c r="P847" s="1" t="s">
        <v>1248</v>
      </c>
      <c r="Q847" s="4" t="s">
        <v>1286</v>
      </c>
      <c r="R847" s="4"/>
      <c r="S847" s="13"/>
      <c r="T847" s="13" t="s">
        <v>122</v>
      </c>
      <c r="V847" s="1" t="str">
        <f t="shared" si="198"/>
        <v>2.8\0.3:4</v>
      </c>
      <c r="W847" s="13" t="s">
        <v>1246</v>
      </c>
      <c r="X847" s="18">
        <v>0</v>
      </c>
      <c r="Y847" s="13" t="s">
        <v>1245</v>
      </c>
      <c r="Z847" s="206" t="s">
        <v>1062</v>
      </c>
      <c r="AG847" s="3" t="s">
        <v>588</v>
      </c>
      <c r="AH847" s="3">
        <v>9</v>
      </c>
      <c r="AI847" s="3">
        <v>10</v>
      </c>
      <c r="AJ847" s="200"/>
      <c r="AM847" s="3"/>
    </row>
    <row r="848" spans="1:39" x14ac:dyDescent="0.3">
      <c r="A848" s="5" t="str">
        <f t="shared" si="199"/>
        <v>BCV130</v>
      </c>
      <c r="B848" s="1" t="s">
        <v>1244</v>
      </c>
      <c r="C848" s="2" t="str">
        <f t="shared" si="200"/>
        <v>DIO1</v>
      </c>
      <c r="D848" s="2">
        <v>130</v>
      </c>
      <c r="E848" s="3">
        <f t="shared" si="201"/>
        <v>2</v>
      </c>
      <c r="F848" s="3">
        <f t="shared" si="202"/>
        <v>8</v>
      </c>
      <c r="G848" s="3">
        <v>0</v>
      </c>
      <c r="H848" s="55">
        <f t="shared" si="204"/>
        <v>3</v>
      </c>
      <c r="I848" s="54">
        <f t="shared" si="203"/>
        <v>5</v>
      </c>
      <c r="J848" s="78"/>
      <c r="K848" s="27"/>
      <c r="L848" s="30" t="s">
        <v>42</v>
      </c>
      <c r="M848" s="2">
        <v>4</v>
      </c>
      <c r="N848" s="1" t="s">
        <v>122</v>
      </c>
      <c r="O848" s="1" t="s">
        <v>1285</v>
      </c>
      <c r="P848" s="1" t="s">
        <v>1248</v>
      </c>
      <c r="Q848" s="1" t="s">
        <v>1284</v>
      </c>
      <c r="S848" s="13"/>
      <c r="T848" s="13" t="s">
        <v>122</v>
      </c>
      <c r="V848" s="1" t="str">
        <f t="shared" si="198"/>
        <v>2.8\0.3:5</v>
      </c>
      <c r="W848" s="13" t="s">
        <v>1246</v>
      </c>
      <c r="X848" s="18">
        <v>0</v>
      </c>
      <c r="Y848" s="13" t="s">
        <v>1245</v>
      </c>
      <c r="Z848" s="206" t="s">
        <v>1062</v>
      </c>
      <c r="AG848" s="3" t="s">
        <v>588</v>
      </c>
      <c r="AH848" s="3">
        <v>11</v>
      </c>
      <c r="AI848" s="3">
        <v>12</v>
      </c>
      <c r="AJ848" s="200"/>
      <c r="AM848" s="3"/>
    </row>
    <row r="849" spans="1:39" x14ac:dyDescent="0.3">
      <c r="A849" s="5" t="str">
        <f t="shared" si="199"/>
        <v>BCV130</v>
      </c>
      <c r="B849" s="1" t="s">
        <v>1244</v>
      </c>
      <c r="C849" s="2" t="str">
        <f t="shared" si="200"/>
        <v>DIO1</v>
      </c>
      <c r="D849" s="2">
        <v>130</v>
      </c>
      <c r="E849" s="3">
        <f t="shared" si="201"/>
        <v>2</v>
      </c>
      <c r="F849" s="3">
        <f t="shared" si="202"/>
        <v>8</v>
      </c>
      <c r="G849" s="3">
        <v>0</v>
      </c>
      <c r="H849" s="55">
        <f t="shared" si="204"/>
        <v>3</v>
      </c>
      <c r="I849" s="54">
        <f t="shared" si="203"/>
        <v>6</v>
      </c>
      <c r="J849" s="78"/>
      <c r="K849" s="27"/>
      <c r="L849" s="30" t="s">
        <v>42</v>
      </c>
      <c r="M849" s="2">
        <v>4</v>
      </c>
      <c r="N849" s="1" t="s">
        <v>122</v>
      </c>
      <c r="O849" s="1" t="s">
        <v>1283</v>
      </c>
      <c r="P849" s="1" t="s">
        <v>1248</v>
      </c>
      <c r="Q849" s="1" t="s">
        <v>1282</v>
      </c>
      <c r="S849" s="13"/>
      <c r="T849" s="13" t="s">
        <v>122</v>
      </c>
      <c r="V849" s="1" t="str">
        <f t="shared" si="198"/>
        <v>2.8\0.3:6</v>
      </c>
      <c r="W849" s="13" t="s">
        <v>1246</v>
      </c>
      <c r="X849" s="18">
        <v>0</v>
      </c>
      <c r="Y849" s="13" t="s">
        <v>1245</v>
      </c>
      <c r="Z849" s="206" t="s">
        <v>1062</v>
      </c>
      <c r="AG849" s="3" t="s">
        <v>588</v>
      </c>
      <c r="AH849" s="3">
        <v>13</v>
      </c>
      <c r="AI849" s="3">
        <v>14</v>
      </c>
      <c r="AJ849" s="200"/>
    </row>
    <row r="850" spans="1:39" x14ac:dyDescent="0.3">
      <c r="A850" s="5" t="str">
        <f t="shared" si="199"/>
        <v>BCV130</v>
      </c>
      <c r="B850" s="1" t="s">
        <v>1244</v>
      </c>
      <c r="C850" s="2" t="str">
        <f t="shared" si="200"/>
        <v>DIO1</v>
      </c>
      <c r="D850" s="2">
        <v>130</v>
      </c>
      <c r="E850" s="3">
        <f t="shared" si="201"/>
        <v>2</v>
      </c>
      <c r="F850" s="3">
        <f t="shared" si="202"/>
        <v>8</v>
      </c>
      <c r="G850" s="3">
        <v>0</v>
      </c>
      <c r="H850" s="55">
        <f t="shared" si="204"/>
        <v>3</v>
      </c>
      <c r="I850" s="54">
        <f t="shared" si="203"/>
        <v>7</v>
      </c>
      <c r="J850" s="78"/>
      <c r="K850" s="27"/>
      <c r="L850" s="30" t="s">
        <v>42</v>
      </c>
      <c r="M850" s="2">
        <v>4</v>
      </c>
      <c r="N850" s="1" t="s">
        <v>122</v>
      </c>
      <c r="O850" s="1" t="s">
        <v>1281</v>
      </c>
      <c r="P850" s="1" t="s">
        <v>1248</v>
      </c>
      <c r="Q850" s="1" t="s">
        <v>1280</v>
      </c>
      <c r="S850" s="13"/>
      <c r="T850" s="13" t="s">
        <v>122</v>
      </c>
      <c r="V850" s="1" t="str">
        <f t="shared" si="198"/>
        <v>2.8\0.3:7</v>
      </c>
      <c r="W850" s="13" t="s">
        <v>1246</v>
      </c>
      <c r="X850" s="18">
        <v>0</v>
      </c>
      <c r="Y850" s="13" t="s">
        <v>1245</v>
      </c>
      <c r="Z850" s="206" t="s">
        <v>1062</v>
      </c>
      <c r="AG850" s="3" t="s">
        <v>588</v>
      </c>
      <c r="AH850" s="3">
        <v>15</v>
      </c>
      <c r="AI850" s="3">
        <v>16</v>
      </c>
      <c r="AJ850" s="200"/>
      <c r="AM850" s="3"/>
    </row>
    <row r="851" spans="1:39" x14ac:dyDescent="0.3">
      <c r="A851" s="5" t="str">
        <f t="shared" si="199"/>
        <v>BCV130</v>
      </c>
      <c r="B851" s="1" t="s">
        <v>1244</v>
      </c>
      <c r="C851" s="2" t="str">
        <f t="shared" si="200"/>
        <v>DIO1</v>
      </c>
      <c r="D851" s="2">
        <v>130</v>
      </c>
      <c r="E851" s="3">
        <f t="shared" si="201"/>
        <v>2</v>
      </c>
      <c r="F851" s="3">
        <f t="shared" si="202"/>
        <v>8</v>
      </c>
      <c r="G851" s="3">
        <v>0</v>
      </c>
      <c r="H851" s="55">
        <f t="shared" si="204"/>
        <v>3</v>
      </c>
      <c r="I851" s="54">
        <f t="shared" si="203"/>
        <v>8</v>
      </c>
      <c r="J851" s="78"/>
      <c r="K851" s="27"/>
      <c r="L851" s="30" t="s">
        <v>42</v>
      </c>
      <c r="M851" s="2">
        <v>4</v>
      </c>
      <c r="N851" s="1" t="s">
        <v>122</v>
      </c>
      <c r="O851" s="1" t="s">
        <v>1279</v>
      </c>
      <c r="P851" s="1" t="s">
        <v>1248</v>
      </c>
      <c r="Q851" s="1" t="s">
        <v>1278</v>
      </c>
      <c r="S851" s="13"/>
      <c r="T851" s="13" t="s">
        <v>122</v>
      </c>
      <c r="V851" s="1" t="str">
        <f t="shared" si="198"/>
        <v>2.8\0.3:8</v>
      </c>
      <c r="W851" s="13" t="s">
        <v>1246</v>
      </c>
      <c r="X851" s="18">
        <v>0</v>
      </c>
      <c r="Y851" s="13" t="s">
        <v>1245</v>
      </c>
      <c r="Z851" s="206" t="s">
        <v>1062</v>
      </c>
      <c r="AG851" s="3" t="s">
        <v>588</v>
      </c>
      <c r="AH851" s="3">
        <v>17</v>
      </c>
      <c r="AI851" s="3">
        <v>18</v>
      </c>
      <c r="AJ851" s="200"/>
      <c r="AM851" s="3"/>
    </row>
    <row r="852" spans="1:39" x14ac:dyDescent="0.3">
      <c r="A852" s="5" t="str">
        <f t="shared" si="199"/>
        <v>BCV130</v>
      </c>
      <c r="B852" s="1" t="s">
        <v>1244</v>
      </c>
      <c r="C852" s="2" t="str">
        <f t="shared" si="200"/>
        <v>DIO1</v>
      </c>
      <c r="D852" s="2">
        <v>130</v>
      </c>
      <c r="E852" s="3">
        <f t="shared" si="201"/>
        <v>2</v>
      </c>
      <c r="F852" s="3">
        <f t="shared" si="202"/>
        <v>8</v>
      </c>
      <c r="G852" s="3">
        <v>0</v>
      </c>
      <c r="H852" s="55">
        <f t="shared" si="204"/>
        <v>3</v>
      </c>
      <c r="I852" s="54">
        <f t="shared" si="203"/>
        <v>9</v>
      </c>
      <c r="J852" s="78"/>
      <c r="K852" s="27"/>
      <c r="L852" s="30" t="s">
        <v>42</v>
      </c>
      <c r="M852" s="2">
        <v>4</v>
      </c>
      <c r="N852" s="1" t="s">
        <v>122</v>
      </c>
      <c r="O852" s="1" t="s">
        <v>1277</v>
      </c>
      <c r="P852" s="1" t="s">
        <v>1248</v>
      </c>
      <c r="Q852" s="1" t="s">
        <v>1276</v>
      </c>
      <c r="S852" s="13"/>
      <c r="T852" s="13" t="s">
        <v>122</v>
      </c>
      <c r="V852" s="1" t="str">
        <f t="shared" si="198"/>
        <v>2.8\0.3:9</v>
      </c>
      <c r="W852" s="13" t="s">
        <v>1246</v>
      </c>
      <c r="X852" s="18">
        <v>0</v>
      </c>
      <c r="Y852" s="13" t="s">
        <v>1245</v>
      </c>
      <c r="Z852" s="206" t="s">
        <v>1062</v>
      </c>
      <c r="AG852" s="3" t="s">
        <v>588</v>
      </c>
      <c r="AH852" s="3">
        <v>19</v>
      </c>
      <c r="AI852" s="3">
        <v>20</v>
      </c>
      <c r="AJ852" s="200"/>
      <c r="AM852" s="3"/>
    </row>
    <row r="853" spans="1:39" x14ac:dyDescent="0.3">
      <c r="A853" s="5" t="str">
        <f t="shared" si="199"/>
        <v>BCV130</v>
      </c>
      <c r="B853" s="1" t="s">
        <v>1244</v>
      </c>
      <c r="C853" s="2" t="str">
        <f t="shared" si="200"/>
        <v>DIO1</v>
      </c>
      <c r="D853" s="2">
        <v>130</v>
      </c>
      <c r="E853" s="3">
        <f t="shared" si="201"/>
        <v>2</v>
      </c>
      <c r="F853" s="3">
        <f t="shared" si="202"/>
        <v>8</v>
      </c>
      <c r="G853" s="3">
        <v>0</v>
      </c>
      <c r="H853" s="55">
        <f t="shared" si="204"/>
        <v>3</v>
      </c>
      <c r="I853" s="54">
        <f t="shared" si="203"/>
        <v>10</v>
      </c>
      <c r="J853" s="78"/>
      <c r="K853" s="27"/>
      <c r="L853" s="30" t="s">
        <v>42</v>
      </c>
      <c r="M853" s="2">
        <v>4</v>
      </c>
      <c r="N853" s="1" t="s">
        <v>122</v>
      </c>
      <c r="O853" s="1" t="s">
        <v>1275</v>
      </c>
      <c r="P853" s="1" t="s">
        <v>1248</v>
      </c>
      <c r="Q853" s="1" t="s">
        <v>1274</v>
      </c>
      <c r="S853" s="13"/>
      <c r="T853" s="13" t="s">
        <v>122</v>
      </c>
      <c r="V853" s="1" t="str">
        <f t="shared" si="198"/>
        <v>2.8\0.3:10</v>
      </c>
      <c r="W853" s="13" t="s">
        <v>1246</v>
      </c>
      <c r="X853" s="18">
        <v>0</v>
      </c>
      <c r="Y853" s="13" t="s">
        <v>1245</v>
      </c>
      <c r="Z853" s="206" t="s">
        <v>1062</v>
      </c>
      <c r="AG853" s="3" t="s">
        <v>588</v>
      </c>
      <c r="AH853" s="3">
        <v>21</v>
      </c>
      <c r="AI853" s="3">
        <v>22</v>
      </c>
      <c r="AJ853" s="200"/>
      <c r="AM853" s="3"/>
    </row>
    <row r="854" spans="1:39" x14ac:dyDescent="0.3">
      <c r="A854" s="5" t="str">
        <f t="shared" si="199"/>
        <v>BCV130</v>
      </c>
      <c r="B854" s="1" t="s">
        <v>1244</v>
      </c>
      <c r="C854" s="2" t="str">
        <f t="shared" si="200"/>
        <v>DIO1</v>
      </c>
      <c r="D854" s="2">
        <v>130</v>
      </c>
      <c r="E854" s="3">
        <f t="shared" si="201"/>
        <v>2</v>
      </c>
      <c r="F854" s="3">
        <f t="shared" si="202"/>
        <v>8</v>
      </c>
      <c r="G854" s="3">
        <v>0</v>
      </c>
      <c r="H854" s="55">
        <f t="shared" si="204"/>
        <v>3</v>
      </c>
      <c r="I854" s="54">
        <f t="shared" si="203"/>
        <v>11</v>
      </c>
      <c r="J854" s="78"/>
      <c r="K854" s="27"/>
      <c r="L854" s="30" t="s">
        <v>42</v>
      </c>
      <c r="M854" s="2">
        <v>4</v>
      </c>
      <c r="N854" s="1" t="s">
        <v>122</v>
      </c>
      <c r="O854" s="1" t="s">
        <v>1273</v>
      </c>
      <c r="P854" s="1" t="s">
        <v>1248</v>
      </c>
      <c r="Q854" s="1" t="s">
        <v>1272</v>
      </c>
      <c r="S854" s="13"/>
      <c r="T854" s="13" t="s">
        <v>122</v>
      </c>
      <c r="V854" s="1" t="str">
        <f t="shared" si="198"/>
        <v>2.8\0.3:11</v>
      </c>
      <c r="W854" s="13" t="s">
        <v>1246</v>
      </c>
      <c r="X854" s="18">
        <v>0</v>
      </c>
      <c r="Y854" s="13" t="s">
        <v>1245</v>
      </c>
      <c r="Z854" s="206" t="s">
        <v>1062</v>
      </c>
      <c r="AG854" s="3" t="s">
        <v>588</v>
      </c>
      <c r="AH854" s="3">
        <v>23</v>
      </c>
      <c r="AI854" s="3">
        <v>24</v>
      </c>
      <c r="AJ854" s="200"/>
      <c r="AM854" s="3"/>
    </row>
    <row r="855" spans="1:39" x14ac:dyDescent="0.3">
      <c r="A855" s="5" t="str">
        <f t="shared" si="199"/>
        <v>BCV130</v>
      </c>
      <c r="B855" s="1" t="s">
        <v>1244</v>
      </c>
      <c r="C855" s="2" t="str">
        <f t="shared" si="200"/>
        <v>DIO1</v>
      </c>
      <c r="D855" s="2">
        <v>130</v>
      </c>
      <c r="E855" s="3">
        <f t="shared" si="201"/>
        <v>2</v>
      </c>
      <c r="F855" s="3">
        <f t="shared" si="202"/>
        <v>8</v>
      </c>
      <c r="G855" s="3">
        <v>0</v>
      </c>
      <c r="H855" s="55">
        <f t="shared" si="204"/>
        <v>3</v>
      </c>
      <c r="I855" s="54">
        <f t="shared" si="203"/>
        <v>12</v>
      </c>
      <c r="J855" s="78"/>
      <c r="K855" s="27"/>
      <c r="L855" s="30" t="s">
        <v>42</v>
      </c>
      <c r="M855" s="2">
        <v>4</v>
      </c>
      <c r="N855" s="1" t="s">
        <v>122</v>
      </c>
      <c r="O855" s="1" t="s">
        <v>1271</v>
      </c>
      <c r="P855" s="1" t="s">
        <v>1248</v>
      </c>
      <c r="Q855" s="1" t="s">
        <v>1270</v>
      </c>
      <c r="S855" s="13"/>
      <c r="T855" s="13" t="s">
        <v>122</v>
      </c>
      <c r="V855" s="1" t="str">
        <f t="shared" si="198"/>
        <v>2.8\0.3:12</v>
      </c>
      <c r="W855" s="13" t="s">
        <v>1246</v>
      </c>
      <c r="X855" s="18">
        <v>0</v>
      </c>
      <c r="Y855" s="13" t="s">
        <v>1245</v>
      </c>
      <c r="Z855" s="206" t="s">
        <v>1062</v>
      </c>
      <c r="AG855" s="3" t="s">
        <v>588</v>
      </c>
      <c r="AH855" s="3">
        <v>25</v>
      </c>
      <c r="AI855" s="3">
        <v>26</v>
      </c>
      <c r="AJ855" s="200"/>
      <c r="AM855" s="3"/>
    </row>
    <row r="856" spans="1:39" x14ac:dyDescent="0.3">
      <c r="A856" s="5" t="str">
        <f t="shared" si="199"/>
        <v>BCV130</v>
      </c>
      <c r="B856" s="1" t="s">
        <v>1244</v>
      </c>
      <c r="C856" s="2" t="str">
        <f t="shared" si="200"/>
        <v>DIO1</v>
      </c>
      <c r="D856" s="2">
        <v>130</v>
      </c>
      <c r="E856" s="3">
        <f t="shared" si="201"/>
        <v>2</v>
      </c>
      <c r="F856" s="3">
        <f t="shared" si="202"/>
        <v>8</v>
      </c>
      <c r="G856" s="3">
        <v>0</v>
      </c>
      <c r="H856" s="55">
        <f t="shared" si="204"/>
        <v>3</v>
      </c>
      <c r="I856" s="54">
        <f t="shared" si="203"/>
        <v>13</v>
      </c>
      <c r="J856" s="78"/>
      <c r="K856" s="27"/>
      <c r="L856" s="30" t="s">
        <v>42</v>
      </c>
      <c r="M856" s="2">
        <v>4</v>
      </c>
      <c r="N856" s="1" t="s">
        <v>122</v>
      </c>
      <c r="O856" s="1" t="s">
        <v>1269</v>
      </c>
      <c r="P856" s="1" t="s">
        <v>1248</v>
      </c>
      <c r="Q856" s="1" t="s">
        <v>1268</v>
      </c>
      <c r="S856" s="13"/>
      <c r="T856" s="13" t="s">
        <v>122</v>
      </c>
      <c r="V856" s="1" t="str">
        <f t="shared" si="198"/>
        <v>2.8\0.3:13</v>
      </c>
      <c r="W856" s="13" t="s">
        <v>1246</v>
      </c>
      <c r="X856" s="18">
        <v>0</v>
      </c>
      <c r="Y856" s="13" t="s">
        <v>1245</v>
      </c>
      <c r="Z856" s="206" t="s">
        <v>1062</v>
      </c>
      <c r="AG856" s="3" t="s">
        <v>588</v>
      </c>
      <c r="AH856" s="3">
        <v>27</v>
      </c>
      <c r="AI856" s="3">
        <v>28</v>
      </c>
      <c r="AJ856" s="200"/>
      <c r="AM856" s="3"/>
    </row>
    <row r="857" spans="1:39" x14ac:dyDescent="0.3">
      <c r="A857" s="5" t="str">
        <f t="shared" si="199"/>
        <v>BCV130</v>
      </c>
      <c r="B857" s="1" t="s">
        <v>1244</v>
      </c>
      <c r="C857" s="2" t="str">
        <f t="shared" si="200"/>
        <v>DIO1</v>
      </c>
      <c r="D857" s="2">
        <v>130</v>
      </c>
      <c r="E857" s="3">
        <f t="shared" si="201"/>
        <v>2</v>
      </c>
      <c r="F857" s="3">
        <f t="shared" si="202"/>
        <v>8</v>
      </c>
      <c r="G857" s="3">
        <v>0</v>
      </c>
      <c r="H857" s="55">
        <f t="shared" si="204"/>
        <v>3</v>
      </c>
      <c r="I857" s="54">
        <f t="shared" si="203"/>
        <v>14</v>
      </c>
      <c r="J857" s="78"/>
      <c r="K857" s="27"/>
      <c r="L857" s="30" t="s">
        <v>42</v>
      </c>
      <c r="M857" s="2">
        <v>4</v>
      </c>
      <c r="N857" s="1" t="s">
        <v>122</v>
      </c>
      <c r="O857" s="1" t="s">
        <v>282</v>
      </c>
      <c r="P857" s="1" t="s">
        <v>1248</v>
      </c>
      <c r="Q857" s="1" t="s">
        <v>1267</v>
      </c>
      <c r="S857" s="13"/>
      <c r="T857" s="13" t="s">
        <v>122</v>
      </c>
      <c r="V857" s="1" t="str">
        <f t="shared" si="198"/>
        <v>2.8\0.3:14</v>
      </c>
      <c r="W857" s="13" t="s">
        <v>1246</v>
      </c>
      <c r="X857" s="18">
        <v>0</v>
      </c>
      <c r="Y857" s="13" t="s">
        <v>1245</v>
      </c>
      <c r="Z857" s="206" t="s">
        <v>1062</v>
      </c>
      <c r="AG857" s="3" t="s">
        <v>588</v>
      </c>
      <c r="AH857" s="3">
        <v>29</v>
      </c>
      <c r="AI857" s="3">
        <v>30</v>
      </c>
      <c r="AJ857" s="200"/>
      <c r="AM857" s="3"/>
    </row>
    <row r="858" spans="1:39" ht="13.5" thickBot="1" x14ac:dyDescent="0.35">
      <c r="A858" s="5" t="str">
        <f t="shared" si="199"/>
        <v>BCV130</v>
      </c>
      <c r="B858" s="1" t="s">
        <v>1244</v>
      </c>
      <c r="C858" s="2" t="str">
        <f t="shared" si="200"/>
        <v>DIO1</v>
      </c>
      <c r="D858" s="2">
        <v>130</v>
      </c>
      <c r="E858" s="3">
        <f t="shared" si="201"/>
        <v>2</v>
      </c>
      <c r="F858" s="3">
        <f t="shared" si="202"/>
        <v>8</v>
      </c>
      <c r="G858" s="3">
        <v>0</v>
      </c>
      <c r="H858" s="55">
        <f t="shared" si="204"/>
        <v>3</v>
      </c>
      <c r="I858" s="59">
        <f t="shared" si="203"/>
        <v>15</v>
      </c>
      <c r="J858" s="77"/>
      <c r="K858" s="27"/>
      <c r="L858" s="30" t="s">
        <v>42</v>
      </c>
      <c r="M858" s="2"/>
      <c r="S858" s="13"/>
      <c r="V858" s="1" t="str">
        <f t="shared" si="198"/>
        <v>2.8\0.3:15</v>
      </c>
      <c r="Z858" s="206" t="s">
        <v>1062</v>
      </c>
      <c r="AG858" s="3" t="s">
        <v>588</v>
      </c>
      <c r="AH858" s="3">
        <v>31</v>
      </c>
      <c r="AI858" s="3">
        <v>32</v>
      </c>
      <c r="AJ858" s="200"/>
      <c r="AM858" s="3"/>
    </row>
    <row r="859" spans="1:39" x14ac:dyDescent="0.3">
      <c r="A859" s="5" t="str">
        <f t="shared" si="199"/>
        <v>BCV130</v>
      </c>
      <c r="B859" s="1" t="s">
        <v>1244</v>
      </c>
      <c r="C859" s="2" t="str">
        <f>+C826</f>
        <v>DIO1</v>
      </c>
      <c r="D859" s="2">
        <v>130</v>
      </c>
      <c r="E859" s="3">
        <f>+E826</f>
        <v>2</v>
      </c>
      <c r="F859" s="3">
        <f>+F826</f>
        <v>8</v>
      </c>
      <c r="G859" s="3">
        <v>0</v>
      </c>
      <c r="H859" s="62">
        <v>4</v>
      </c>
      <c r="I859" s="56">
        <v>0</v>
      </c>
      <c r="J859" s="79" t="s">
        <v>549</v>
      </c>
      <c r="K859" s="2" t="s">
        <v>548</v>
      </c>
      <c r="L859" s="30" t="s">
        <v>42</v>
      </c>
      <c r="M859" s="2">
        <v>4</v>
      </c>
      <c r="N859" s="1" t="s">
        <v>1266</v>
      </c>
      <c r="O859" s="1" t="s">
        <v>1265</v>
      </c>
      <c r="P859" s="1" t="s">
        <v>1224</v>
      </c>
      <c r="Q859" s="1" t="s">
        <v>1264</v>
      </c>
      <c r="S859" s="13"/>
      <c r="T859" s="1" t="s">
        <v>17</v>
      </c>
      <c r="V859" s="1" t="str">
        <f t="shared" si="198"/>
        <v>2.8\0.4:0</v>
      </c>
      <c r="W859" s="13" t="s">
        <v>1222</v>
      </c>
      <c r="X859" s="18">
        <v>0</v>
      </c>
      <c r="Z859" s="206" t="s">
        <v>1062</v>
      </c>
      <c r="AG859" s="3" t="s">
        <v>570</v>
      </c>
      <c r="AH859" s="3">
        <v>1</v>
      </c>
      <c r="AI859" s="3">
        <v>2</v>
      </c>
      <c r="AJ859" s="200"/>
      <c r="AM859" s="3"/>
    </row>
    <row r="860" spans="1:39" x14ac:dyDescent="0.3">
      <c r="A860" s="5" t="str">
        <f t="shared" si="199"/>
        <v>BCV130</v>
      </c>
      <c r="B860" s="1" t="s">
        <v>1244</v>
      </c>
      <c r="C860" s="2" t="str">
        <f t="shared" ref="C860:C874" si="205">+C859</f>
        <v>DIO1</v>
      </c>
      <c r="D860" s="2">
        <v>130</v>
      </c>
      <c r="E860" s="3">
        <f t="shared" ref="E860:E874" si="206">+E859</f>
        <v>2</v>
      </c>
      <c r="F860" s="3">
        <f t="shared" ref="F860:F874" si="207">+F859</f>
        <v>8</v>
      </c>
      <c r="G860" s="3">
        <v>0</v>
      </c>
      <c r="H860" s="60">
        <f>H859</f>
        <v>4</v>
      </c>
      <c r="I860" s="54">
        <f t="shared" ref="I860:I874" si="208">+I859+1</f>
        <v>1</v>
      </c>
      <c r="J860" s="78"/>
      <c r="K860" s="30"/>
      <c r="L860" s="30" t="s">
        <v>42</v>
      </c>
      <c r="M860" s="2">
        <v>4</v>
      </c>
      <c r="N860" s="1" t="s">
        <v>1263</v>
      </c>
      <c r="O860" s="1" t="s">
        <v>1262</v>
      </c>
      <c r="P860" s="1" t="s">
        <v>1224</v>
      </c>
      <c r="Q860" s="1" t="s">
        <v>1261</v>
      </c>
      <c r="S860" s="13"/>
      <c r="T860" s="1" t="s">
        <v>17</v>
      </c>
      <c r="V860" s="1" t="str">
        <f t="shared" si="198"/>
        <v>2.8\0.4:1</v>
      </c>
      <c r="W860" s="13" t="s">
        <v>1222</v>
      </c>
      <c r="X860" s="18">
        <v>0</v>
      </c>
      <c r="Z860" s="206" t="s">
        <v>1062</v>
      </c>
      <c r="AG860" s="3" t="s">
        <v>570</v>
      </c>
      <c r="AH860" s="3">
        <v>3</v>
      </c>
      <c r="AI860" s="3">
        <v>4</v>
      </c>
      <c r="AJ860" s="200"/>
      <c r="AM860" s="3"/>
    </row>
    <row r="861" spans="1:39" x14ac:dyDescent="0.3">
      <c r="A861" s="5" t="str">
        <f t="shared" si="199"/>
        <v>BCV130</v>
      </c>
      <c r="B861" s="1" t="s">
        <v>1244</v>
      </c>
      <c r="C861" s="2" t="str">
        <f t="shared" si="205"/>
        <v>DIO1</v>
      </c>
      <c r="D861" s="2">
        <v>130</v>
      </c>
      <c r="E861" s="3">
        <f t="shared" si="206"/>
        <v>2</v>
      </c>
      <c r="F861" s="3">
        <f t="shared" si="207"/>
        <v>8</v>
      </c>
      <c r="G861" s="3">
        <v>0</v>
      </c>
      <c r="H861" s="55">
        <f t="shared" ref="H861:H874" si="209">+H860</f>
        <v>4</v>
      </c>
      <c r="I861" s="54">
        <f t="shared" si="208"/>
        <v>2</v>
      </c>
      <c r="J861" s="78"/>
      <c r="K861" s="27"/>
      <c r="L861" s="30" t="s">
        <v>42</v>
      </c>
      <c r="M861" s="2">
        <v>4</v>
      </c>
      <c r="N861" s="1" t="s">
        <v>1260</v>
      </c>
      <c r="O861" s="1" t="s">
        <v>1126</v>
      </c>
      <c r="P861" s="1" t="s">
        <v>1236</v>
      </c>
      <c r="Q861" s="1" t="s">
        <v>1125</v>
      </c>
      <c r="S861" s="13"/>
      <c r="T861" s="13" t="s">
        <v>1251</v>
      </c>
      <c r="V861" s="1" t="str">
        <f t="shared" si="198"/>
        <v>2.8\0.4:2</v>
      </c>
      <c r="W861" s="13" t="s">
        <v>1222</v>
      </c>
      <c r="X861" s="18">
        <v>0</v>
      </c>
      <c r="Z861" s="206" t="s">
        <v>1062</v>
      </c>
      <c r="AG861" s="3" t="s">
        <v>570</v>
      </c>
      <c r="AH861" s="3">
        <v>5</v>
      </c>
      <c r="AI861" s="3">
        <v>6</v>
      </c>
      <c r="AJ861" s="200"/>
      <c r="AM861" s="3"/>
    </row>
    <row r="862" spans="1:39" x14ac:dyDescent="0.3">
      <c r="A862" s="5" t="str">
        <f t="shared" si="199"/>
        <v>BCV130</v>
      </c>
      <c r="B862" s="1" t="s">
        <v>1244</v>
      </c>
      <c r="C862" s="2" t="str">
        <f t="shared" si="205"/>
        <v>DIO1</v>
      </c>
      <c r="D862" s="2">
        <v>130</v>
      </c>
      <c r="E862" s="3">
        <f t="shared" si="206"/>
        <v>2</v>
      </c>
      <c r="F862" s="3">
        <f t="shared" si="207"/>
        <v>8</v>
      </c>
      <c r="G862" s="3">
        <v>0</v>
      </c>
      <c r="H862" s="55">
        <f t="shared" si="209"/>
        <v>4</v>
      </c>
      <c r="I862" s="54">
        <f t="shared" si="208"/>
        <v>3</v>
      </c>
      <c r="J862" s="78"/>
      <c r="K862" s="27"/>
      <c r="L862" s="30" t="s">
        <v>42</v>
      </c>
      <c r="M862" s="2"/>
      <c r="Q862" s="4"/>
      <c r="R862" s="4"/>
      <c r="S862" s="13"/>
      <c r="V862" s="1" t="str">
        <f t="shared" si="198"/>
        <v>2.8\0.4:3</v>
      </c>
      <c r="Z862" s="206" t="s">
        <v>1062</v>
      </c>
      <c r="AG862" s="3" t="s">
        <v>570</v>
      </c>
      <c r="AH862" s="3">
        <v>7</v>
      </c>
      <c r="AI862" s="3">
        <v>8</v>
      </c>
      <c r="AJ862" s="200"/>
      <c r="AM862" s="3"/>
    </row>
    <row r="863" spans="1:39" x14ac:dyDescent="0.3">
      <c r="A863" s="5" t="str">
        <f t="shared" si="199"/>
        <v>BCV130</v>
      </c>
      <c r="B863" s="1" t="s">
        <v>1244</v>
      </c>
      <c r="C863" s="2" t="str">
        <f t="shared" si="205"/>
        <v>DIO1</v>
      </c>
      <c r="D863" s="2">
        <v>130</v>
      </c>
      <c r="E863" s="3">
        <f t="shared" si="206"/>
        <v>2</v>
      </c>
      <c r="F863" s="3">
        <f t="shared" si="207"/>
        <v>8</v>
      </c>
      <c r="G863" s="3">
        <v>0</v>
      </c>
      <c r="H863" s="55">
        <f t="shared" si="209"/>
        <v>4</v>
      </c>
      <c r="I863" s="54">
        <f t="shared" si="208"/>
        <v>4</v>
      </c>
      <c r="J863" s="78"/>
      <c r="K863" s="27"/>
      <c r="L863" s="30" t="s">
        <v>42</v>
      </c>
      <c r="M863" s="2"/>
      <c r="N863" s="40"/>
      <c r="P863" s="40"/>
      <c r="Q863" s="4"/>
      <c r="R863" s="4"/>
      <c r="S863" s="13"/>
      <c r="V863" s="1" t="str">
        <f t="shared" si="198"/>
        <v>2.8\0.4:4</v>
      </c>
      <c r="Z863" s="206" t="s">
        <v>1062</v>
      </c>
      <c r="AG863" s="3" t="s">
        <v>570</v>
      </c>
      <c r="AH863" s="3">
        <v>9</v>
      </c>
      <c r="AI863" s="3">
        <v>10</v>
      </c>
      <c r="AJ863" s="200"/>
      <c r="AM863" s="3"/>
    </row>
    <row r="864" spans="1:39" x14ac:dyDescent="0.3">
      <c r="A864" s="5" t="str">
        <f t="shared" si="199"/>
        <v>BCV130</v>
      </c>
      <c r="B864" s="1" t="s">
        <v>1244</v>
      </c>
      <c r="C864" s="2" t="str">
        <f t="shared" si="205"/>
        <v>DIO1</v>
      </c>
      <c r="D864" s="2">
        <v>130</v>
      </c>
      <c r="E864" s="3">
        <f t="shared" si="206"/>
        <v>2</v>
      </c>
      <c r="F864" s="3">
        <f t="shared" si="207"/>
        <v>8</v>
      </c>
      <c r="G864" s="3">
        <v>0</v>
      </c>
      <c r="H864" s="55">
        <f t="shared" si="209"/>
        <v>4</v>
      </c>
      <c r="I864" s="54">
        <f t="shared" si="208"/>
        <v>5</v>
      </c>
      <c r="J864" s="78"/>
      <c r="K864" s="27"/>
      <c r="L864" s="30" t="s">
        <v>42</v>
      </c>
      <c r="M864" s="2"/>
      <c r="N864" s="40"/>
      <c r="P864" s="40"/>
      <c r="S864" s="13"/>
      <c r="V864" s="1" t="str">
        <f t="shared" si="198"/>
        <v>2.8\0.4:5</v>
      </c>
      <c r="Z864" s="206" t="s">
        <v>1062</v>
      </c>
      <c r="AG864" s="3" t="s">
        <v>570</v>
      </c>
      <c r="AH864" s="3">
        <v>11</v>
      </c>
      <c r="AI864" s="3">
        <v>12</v>
      </c>
      <c r="AJ864" s="200"/>
      <c r="AM864" s="3"/>
    </row>
    <row r="865" spans="1:39" x14ac:dyDescent="0.3">
      <c r="A865" s="5" t="str">
        <f t="shared" si="199"/>
        <v>BCV130</v>
      </c>
      <c r="B865" s="1" t="s">
        <v>1244</v>
      </c>
      <c r="C865" s="2" t="str">
        <f t="shared" si="205"/>
        <v>DIO1</v>
      </c>
      <c r="D865" s="2">
        <v>130</v>
      </c>
      <c r="E865" s="3">
        <f t="shared" si="206"/>
        <v>2</v>
      </c>
      <c r="F865" s="3">
        <f t="shared" si="207"/>
        <v>8</v>
      </c>
      <c r="G865" s="3">
        <v>0</v>
      </c>
      <c r="H865" s="55">
        <f t="shared" si="209"/>
        <v>4</v>
      </c>
      <c r="I865" s="54">
        <f t="shared" si="208"/>
        <v>6</v>
      </c>
      <c r="J865" s="78"/>
      <c r="K865" s="27"/>
      <c r="L865" s="30" t="s">
        <v>42</v>
      </c>
      <c r="M865" s="2"/>
      <c r="N865" s="40"/>
      <c r="P865" s="40"/>
      <c r="S865" s="13"/>
      <c r="V865" s="1" t="str">
        <f t="shared" si="198"/>
        <v>2.8\0.4:6</v>
      </c>
      <c r="Z865" s="206" t="s">
        <v>1062</v>
      </c>
      <c r="AG865" s="3" t="s">
        <v>570</v>
      </c>
      <c r="AH865" s="3">
        <v>13</v>
      </c>
      <c r="AI865" s="3">
        <v>14</v>
      </c>
      <c r="AJ865" s="200"/>
    </row>
    <row r="866" spans="1:39" x14ac:dyDescent="0.3">
      <c r="A866" s="5" t="str">
        <f t="shared" si="199"/>
        <v>BCV130</v>
      </c>
      <c r="B866" s="1" t="s">
        <v>1244</v>
      </c>
      <c r="C866" s="2" t="str">
        <f t="shared" si="205"/>
        <v>DIO1</v>
      </c>
      <c r="D866" s="2">
        <v>130</v>
      </c>
      <c r="E866" s="3">
        <f t="shared" si="206"/>
        <v>2</v>
      </c>
      <c r="F866" s="3">
        <f t="shared" si="207"/>
        <v>8</v>
      </c>
      <c r="G866" s="3">
        <v>0</v>
      </c>
      <c r="H866" s="55">
        <f t="shared" si="209"/>
        <v>4</v>
      </c>
      <c r="I866" s="54">
        <f t="shared" si="208"/>
        <v>7</v>
      </c>
      <c r="J866" s="78"/>
      <c r="K866" s="27"/>
      <c r="L866" s="30" t="s">
        <v>42</v>
      </c>
      <c r="M866" s="2"/>
      <c r="N866" s="40"/>
      <c r="P866" s="40"/>
      <c r="S866" s="13"/>
      <c r="V866" s="1" t="str">
        <f t="shared" si="198"/>
        <v>2.8\0.4:7</v>
      </c>
      <c r="Z866" s="206" t="s">
        <v>1062</v>
      </c>
      <c r="AG866" s="3" t="s">
        <v>570</v>
      </c>
      <c r="AH866" s="3">
        <v>15</v>
      </c>
      <c r="AI866" s="3">
        <v>16</v>
      </c>
      <c r="AJ866" s="200"/>
      <c r="AM866" s="3"/>
    </row>
    <row r="867" spans="1:39" x14ac:dyDescent="0.3">
      <c r="A867" s="5" t="str">
        <f t="shared" si="199"/>
        <v>BCV130</v>
      </c>
      <c r="B867" s="1" t="s">
        <v>1244</v>
      </c>
      <c r="C867" s="2" t="str">
        <f t="shared" si="205"/>
        <v>DIO1</v>
      </c>
      <c r="D867" s="2">
        <v>130</v>
      </c>
      <c r="E867" s="3">
        <f t="shared" si="206"/>
        <v>2</v>
      </c>
      <c r="F867" s="3">
        <f t="shared" si="207"/>
        <v>8</v>
      </c>
      <c r="G867" s="3">
        <v>0</v>
      </c>
      <c r="H867" s="55">
        <f t="shared" si="209"/>
        <v>4</v>
      </c>
      <c r="I867" s="54">
        <f t="shared" si="208"/>
        <v>8</v>
      </c>
      <c r="J867" s="78"/>
      <c r="K867" s="27"/>
      <c r="L867" s="30" t="s">
        <v>42</v>
      </c>
      <c r="M867" s="2"/>
      <c r="S867" s="13"/>
      <c r="V867" s="1" t="str">
        <f t="shared" si="198"/>
        <v>2.8\0.4:8</v>
      </c>
      <c r="Z867" s="206" t="s">
        <v>1062</v>
      </c>
      <c r="AG867" s="3" t="s">
        <v>570</v>
      </c>
      <c r="AH867" s="3">
        <v>17</v>
      </c>
      <c r="AI867" s="3">
        <v>18</v>
      </c>
      <c r="AJ867" s="200"/>
      <c r="AM867" s="3"/>
    </row>
    <row r="868" spans="1:39" x14ac:dyDescent="0.3">
      <c r="A868" s="5" t="str">
        <f t="shared" si="199"/>
        <v>BCV130</v>
      </c>
      <c r="B868" s="1" t="s">
        <v>1244</v>
      </c>
      <c r="C868" s="2" t="str">
        <f t="shared" si="205"/>
        <v>DIO1</v>
      </c>
      <c r="D868" s="2">
        <v>130</v>
      </c>
      <c r="E868" s="3">
        <f t="shared" si="206"/>
        <v>2</v>
      </c>
      <c r="F868" s="3">
        <f t="shared" si="207"/>
        <v>8</v>
      </c>
      <c r="G868" s="3">
        <v>0</v>
      </c>
      <c r="H868" s="55">
        <f t="shared" si="209"/>
        <v>4</v>
      </c>
      <c r="I868" s="54">
        <f t="shared" si="208"/>
        <v>9</v>
      </c>
      <c r="J868" s="78"/>
      <c r="K868" s="27"/>
      <c r="L868" s="30" t="s">
        <v>42</v>
      </c>
      <c r="M868" s="2"/>
      <c r="N868" s="40"/>
      <c r="P868" s="40"/>
      <c r="S868" s="13"/>
      <c r="V868" s="1" t="str">
        <f t="shared" si="198"/>
        <v>2.8\0.4:9</v>
      </c>
      <c r="Z868" s="206" t="s">
        <v>1062</v>
      </c>
      <c r="AG868" s="3" t="s">
        <v>570</v>
      </c>
      <c r="AH868" s="3">
        <v>19</v>
      </c>
      <c r="AI868" s="3">
        <v>20</v>
      </c>
      <c r="AJ868" s="200"/>
      <c r="AM868" s="3"/>
    </row>
    <row r="869" spans="1:39" x14ac:dyDescent="0.3">
      <c r="A869" s="5" t="str">
        <f t="shared" si="199"/>
        <v>BCV130</v>
      </c>
      <c r="B869" s="1" t="s">
        <v>1244</v>
      </c>
      <c r="C869" s="2" t="str">
        <f t="shared" si="205"/>
        <v>DIO1</v>
      </c>
      <c r="D869" s="2">
        <v>130</v>
      </c>
      <c r="E869" s="3">
        <f t="shared" si="206"/>
        <v>2</v>
      </c>
      <c r="F869" s="3">
        <f t="shared" si="207"/>
        <v>8</v>
      </c>
      <c r="G869" s="3">
        <v>0</v>
      </c>
      <c r="H869" s="55">
        <f t="shared" si="209"/>
        <v>4</v>
      </c>
      <c r="I869" s="54">
        <f t="shared" si="208"/>
        <v>10</v>
      </c>
      <c r="J869" s="78"/>
      <c r="K869" s="27"/>
      <c r="L869" s="30" t="s">
        <v>42</v>
      </c>
      <c r="M869" s="2"/>
      <c r="N869" s="40"/>
      <c r="P869" s="40"/>
      <c r="Q869" s="232"/>
      <c r="S869" s="13"/>
      <c r="V869" s="1" t="str">
        <f t="shared" si="198"/>
        <v>2.8\0.4:10</v>
      </c>
      <c r="Z869" s="206" t="s">
        <v>1062</v>
      </c>
      <c r="AG869" s="3" t="s">
        <v>570</v>
      </c>
      <c r="AH869" s="3">
        <v>21</v>
      </c>
      <c r="AI869" s="3">
        <v>22</v>
      </c>
      <c r="AJ869" s="200"/>
      <c r="AM869" s="3"/>
    </row>
    <row r="870" spans="1:39" x14ac:dyDescent="0.3">
      <c r="A870" s="5" t="str">
        <f t="shared" si="199"/>
        <v>BCV130</v>
      </c>
      <c r="B870" s="1" t="s">
        <v>1244</v>
      </c>
      <c r="C870" s="2" t="str">
        <f t="shared" si="205"/>
        <v>DIO1</v>
      </c>
      <c r="D870" s="2">
        <v>130</v>
      </c>
      <c r="E870" s="3">
        <f t="shared" si="206"/>
        <v>2</v>
      </c>
      <c r="F870" s="3">
        <f t="shared" si="207"/>
        <v>8</v>
      </c>
      <c r="G870" s="3">
        <v>0</v>
      </c>
      <c r="H870" s="55">
        <f t="shared" si="209"/>
        <v>4</v>
      </c>
      <c r="I870" s="54">
        <f t="shared" si="208"/>
        <v>11</v>
      </c>
      <c r="J870" s="78"/>
      <c r="K870" s="27"/>
      <c r="L870" s="30" t="s">
        <v>42</v>
      </c>
      <c r="M870" s="2"/>
      <c r="N870" s="40"/>
      <c r="P870" s="40"/>
      <c r="S870" s="13"/>
      <c r="V870" s="1" t="str">
        <f t="shared" si="198"/>
        <v>2.8\0.4:11</v>
      </c>
      <c r="Z870" s="206" t="s">
        <v>1062</v>
      </c>
      <c r="AG870" s="3" t="s">
        <v>570</v>
      </c>
      <c r="AH870" s="3">
        <v>23</v>
      </c>
      <c r="AI870" s="3">
        <v>24</v>
      </c>
      <c r="AJ870" s="200"/>
      <c r="AM870" s="3"/>
    </row>
    <row r="871" spans="1:39" x14ac:dyDescent="0.3">
      <c r="A871" s="5" t="str">
        <f t="shared" si="199"/>
        <v>BCV130</v>
      </c>
      <c r="B871" s="1" t="s">
        <v>1244</v>
      </c>
      <c r="C871" s="2" t="str">
        <f t="shared" si="205"/>
        <v>DIO1</v>
      </c>
      <c r="D871" s="2">
        <v>130</v>
      </c>
      <c r="E871" s="3">
        <f t="shared" si="206"/>
        <v>2</v>
      </c>
      <c r="F871" s="3">
        <f t="shared" si="207"/>
        <v>8</v>
      </c>
      <c r="G871" s="3">
        <v>0</v>
      </c>
      <c r="H871" s="55">
        <f t="shared" si="209"/>
        <v>4</v>
      </c>
      <c r="I871" s="54">
        <f t="shared" si="208"/>
        <v>12</v>
      </c>
      <c r="J871" s="78"/>
      <c r="K871" s="27"/>
      <c r="L871" s="30" t="s">
        <v>42</v>
      </c>
      <c r="M871" s="2"/>
      <c r="N871" s="40"/>
      <c r="P871" s="40"/>
      <c r="S871" s="13"/>
      <c r="V871" s="1" t="str">
        <f t="shared" si="198"/>
        <v>2.8\0.4:12</v>
      </c>
      <c r="Z871" s="206" t="s">
        <v>1062</v>
      </c>
      <c r="AG871" s="3" t="s">
        <v>570</v>
      </c>
      <c r="AH871" s="3">
        <v>25</v>
      </c>
      <c r="AI871" s="3">
        <v>26</v>
      </c>
      <c r="AJ871" s="200"/>
      <c r="AM871" s="3"/>
    </row>
    <row r="872" spans="1:39" x14ac:dyDescent="0.3">
      <c r="A872" s="5" t="str">
        <f t="shared" si="199"/>
        <v>BCV130</v>
      </c>
      <c r="B872" s="1" t="s">
        <v>1244</v>
      </c>
      <c r="C872" s="2" t="str">
        <f t="shared" si="205"/>
        <v>DIO1</v>
      </c>
      <c r="D872" s="2">
        <v>130</v>
      </c>
      <c r="E872" s="3">
        <f t="shared" si="206"/>
        <v>2</v>
      </c>
      <c r="F872" s="3">
        <f t="shared" si="207"/>
        <v>8</v>
      </c>
      <c r="G872" s="3">
        <v>0</v>
      </c>
      <c r="H872" s="55">
        <f t="shared" si="209"/>
        <v>4</v>
      </c>
      <c r="I872" s="54">
        <f t="shared" si="208"/>
        <v>13</v>
      </c>
      <c r="J872" s="78"/>
      <c r="K872" s="27"/>
      <c r="L872" s="30" t="s">
        <v>42</v>
      </c>
      <c r="M872" s="2"/>
      <c r="N872" s="40"/>
      <c r="P872" s="40"/>
      <c r="S872" s="13"/>
      <c r="V872" s="1" t="str">
        <f t="shared" si="198"/>
        <v>2.8\0.4:13</v>
      </c>
      <c r="Z872" s="206" t="s">
        <v>1062</v>
      </c>
      <c r="AG872" s="3" t="s">
        <v>570</v>
      </c>
      <c r="AH872" s="3">
        <v>27</v>
      </c>
      <c r="AI872" s="3">
        <v>28</v>
      </c>
      <c r="AJ872" s="200"/>
      <c r="AM872" s="3"/>
    </row>
    <row r="873" spans="1:39" x14ac:dyDescent="0.3">
      <c r="A873" s="5" t="str">
        <f t="shared" si="199"/>
        <v>BCV130</v>
      </c>
      <c r="B873" s="1" t="s">
        <v>1244</v>
      </c>
      <c r="C873" s="2" t="str">
        <f t="shared" si="205"/>
        <v>DIO1</v>
      </c>
      <c r="D873" s="2">
        <v>130</v>
      </c>
      <c r="E873" s="3">
        <f t="shared" si="206"/>
        <v>2</v>
      </c>
      <c r="F873" s="3">
        <f t="shared" si="207"/>
        <v>8</v>
      </c>
      <c r="G873" s="3">
        <v>0</v>
      </c>
      <c r="H873" s="55">
        <f t="shared" si="209"/>
        <v>4</v>
      </c>
      <c r="I873" s="54">
        <f t="shared" si="208"/>
        <v>14</v>
      </c>
      <c r="J873" s="78"/>
      <c r="K873" s="27"/>
      <c r="L873" s="30" t="s">
        <v>42</v>
      </c>
      <c r="M873" s="2"/>
      <c r="N873" s="40"/>
      <c r="P873" s="40"/>
      <c r="S873" s="13"/>
      <c r="V873" s="1" t="str">
        <f t="shared" si="198"/>
        <v>2.8\0.4:14</v>
      </c>
      <c r="Z873" s="206" t="s">
        <v>1062</v>
      </c>
      <c r="AG873" s="3" t="s">
        <v>570</v>
      </c>
      <c r="AH873" s="3">
        <v>29</v>
      </c>
      <c r="AI873" s="3">
        <v>30</v>
      </c>
      <c r="AJ873" s="200"/>
      <c r="AM873" s="3"/>
    </row>
    <row r="874" spans="1:39" ht="13.5" thickBot="1" x14ac:dyDescent="0.35">
      <c r="A874" s="5" t="str">
        <f t="shared" si="199"/>
        <v>BCV130</v>
      </c>
      <c r="B874" s="1" t="s">
        <v>1244</v>
      </c>
      <c r="C874" s="2" t="str">
        <f t="shared" si="205"/>
        <v>DIO1</v>
      </c>
      <c r="D874" s="2">
        <v>130</v>
      </c>
      <c r="E874" s="3">
        <f t="shared" si="206"/>
        <v>2</v>
      </c>
      <c r="F874" s="3">
        <f t="shared" si="207"/>
        <v>8</v>
      </c>
      <c r="G874" s="3">
        <v>0</v>
      </c>
      <c r="H874" s="55">
        <f t="shared" si="209"/>
        <v>4</v>
      </c>
      <c r="I874" s="59">
        <f t="shared" si="208"/>
        <v>15</v>
      </c>
      <c r="J874" s="77"/>
      <c r="K874" s="27"/>
      <c r="L874" s="30" t="s">
        <v>42</v>
      </c>
      <c r="M874" s="2"/>
      <c r="N874" s="40"/>
      <c r="P874" s="40"/>
      <c r="S874" s="13"/>
      <c r="V874" s="1" t="str">
        <f t="shared" si="198"/>
        <v>2.8\0.4:15</v>
      </c>
      <c r="Z874" s="206" t="s">
        <v>1062</v>
      </c>
      <c r="AG874" s="3" t="s">
        <v>570</v>
      </c>
      <c r="AH874" s="3">
        <v>31</v>
      </c>
      <c r="AI874" s="3">
        <v>32</v>
      </c>
      <c r="AJ874" s="200"/>
      <c r="AM874" s="3"/>
    </row>
    <row r="875" spans="1:39" x14ac:dyDescent="0.3">
      <c r="A875" s="5" t="str">
        <f t="shared" si="199"/>
        <v>BCV130</v>
      </c>
      <c r="B875" s="1" t="s">
        <v>1244</v>
      </c>
      <c r="C875" s="2" t="str">
        <f>+C858</f>
        <v>DIO1</v>
      </c>
      <c r="D875" s="2">
        <v>130</v>
      </c>
      <c r="E875" s="3">
        <f>+E858</f>
        <v>2</v>
      </c>
      <c r="F875" s="3">
        <f>+F858</f>
        <v>8</v>
      </c>
      <c r="G875" s="3">
        <v>0</v>
      </c>
      <c r="H875" s="62">
        <v>5</v>
      </c>
      <c r="I875" s="56">
        <v>0</v>
      </c>
      <c r="J875" s="218" t="s">
        <v>879</v>
      </c>
      <c r="K875" s="1" t="s">
        <v>896</v>
      </c>
      <c r="L875" s="30" t="s">
        <v>880</v>
      </c>
      <c r="M875" s="2">
        <v>4</v>
      </c>
      <c r="N875" s="1" t="s">
        <v>1259</v>
      </c>
      <c r="O875" s="1" t="s">
        <v>1258</v>
      </c>
      <c r="P875" s="1" t="s">
        <v>1248</v>
      </c>
      <c r="Q875" s="2" t="s">
        <v>1257</v>
      </c>
      <c r="R875" s="2"/>
      <c r="S875" s="13"/>
      <c r="T875" s="1" t="s">
        <v>122</v>
      </c>
      <c r="U875" s="13" t="s">
        <v>868</v>
      </c>
      <c r="V875" s="1" t="str">
        <f t="shared" ref="V875:V906" si="210">+CONCATENATE(E875,".",F875,"\",G875,".",H875,":",I875)</f>
        <v>2.8\0.5:0</v>
      </c>
      <c r="W875" s="13" t="s">
        <v>1246</v>
      </c>
      <c r="X875" s="18">
        <v>0</v>
      </c>
      <c r="Y875" s="13" t="s">
        <v>1245</v>
      </c>
      <c r="Z875" s="206" t="s">
        <v>1062</v>
      </c>
      <c r="AB875" s="13">
        <v>0</v>
      </c>
      <c r="AC875" s="13">
        <v>300</v>
      </c>
      <c r="AD875" s="13">
        <v>0</v>
      </c>
      <c r="AE875" s="13">
        <v>300</v>
      </c>
      <c r="AF875" s="13" t="s">
        <v>865</v>
      </c>
      <c r="AG875" s="3" t="s">
        <v>588</v>
      </c>
      <c r="AH875" s="3">
        <v>33</v>
      </c>
      <c r="AI875" s="3">
        <v>34</v>
      </c>
      <c r="AJ875" s="200"/>
      <c r="AM875" s="3"/>
    </row>
    <row r="876" spans="1:39" x14ac:dyDescent="0.3">
      <c r="A876" s="5" t="str">
        <f t="shared" ref="A876:A906" si="211">A875</f>
        <v>BCV130</v>
      </c>
      <c r="B876" s="1" t="s">
        <v>1244</v>
      </c>
      <c r="C876" s="2" t="str">
        <f t="shared" ref="C876:C906" si="212">+C875</f>
        <v>DIO1</v>
      </c>
      <c r="D876" s="2">
        <v>130</v>
      </c>
      <c r="E876" s="3">
        <f t="shared" ref="E876:E906" si="213">+E875</f>
        <v>2</v>
      </c>
      <c r="F876" s="3">
        <f t="shared" ref="F876:F906" si="214">+F875</f>
        <v>8</v>
      </c>
      <c r="G876" s="3">
        <v>0</v>
      </c>
      <c r="H876" s="55">
        <f t="shared" ref="H876:H882" si="215">+H875</f>
        <v>5</v>
      </c>
      <c r="I876" s="54">
        <f t="shared" ref="I876:I882" si="216">+I875+1</f>
        <v>1</v>
      </c>
      <c r="J876" s="217"/>
      <c r="K876" s="2"/>
      <c r="L876" s="30" t="s">
        <v>880</v>
      </c>
      <c r="M876" s="2">
        <v>4</v>
      </c>
      <c r="N876" s="1" t="s">
        <v>1256</v>
      </c>
      <c r="O876" s="1" t="s">
        <v>1255</v>
      </c>
      <c r="P876" s="1" t="s">
        <v>1248</v>
      </c>
      <c r="Q876" s="1" t="s">
        <v>1254</v>
      </c>
      <c r="R876" s="2"/>
      <c r="S876" s="13"/>
      <c r="T876" s="1" t="s">
        <v>122</v>
      </c>
      <c r="U876" s="13" t="s">
        <v>868</v>
      </c>
      <c r="V876" s="1" t="str">
        <f t="shared" si="210"/>
        <v>2.8\0.5:1</v>
      </c>
      <c r="W876" s="13" t="s">
        <v>1246</v>
      </c>
      <c r="X876" s="18">
        <v>0</v>
      </c>
      <c r="Y876" s="13" t="s">
        <v>1245</v>
      </c>
      <c r="Z876" s="206" t="s">
        <v>1062</v>
      </c>
      <c r="AB876" s="13">
        <v>0</v>
      </c>
      <c r="AC876" s="13">
        <v>600</v>
      </c>
      <c r="AD876" s="13">
        <v>0</v>
      </c>
      <c r="AE876" s="13">
        <v>600</v>
      </c>
      <c r="AF876" s="13" t="s">
        <v>865</v>
      </c>
      <c r="AG876" s="3" t="s">
        <v>588</v>
      </c>
      <c r="AH876" s="3">
        <v>35</v>
      </c>
      <c r="AI876" s="3">
        <v>36</v>
      </c>
      <c r="AJ876" s="200"/>
      <c r="AM876" s="3"/>
    </row>
    <row r="877" spans="1:39" x14ac:dyDescent="0.3">
      <c r="A877" s="5" t="str">
        <f t="shared" si="211"/>
        <v>BCV130</v>
      </c>
      <c r="B877" s="1" t="s">
        <v>1244</v>
      </c>
      <c r="C877" s="2" t="str">
        <f t="shared" si="212"/>
        <v>DIO1</v>
      </c>
      <c r="D877" s="2">
        <v>130</v>
      </c>
      <c r="E877" s="3">
        <f t="shared" si="213"/>
        <v>2</v>
      </c>
      <c r="F877" s="3">
        <f t="shared" si="214"/>
        <v>8</v>
      </c>
      <c r="G877" s="3">
        <v>0</v>
      </c>
      <c r="H877" s="55">
        <f t="shared" si="215"/>
        <v>5</v>
      </c>
      <c r="I877" s="54">
        <f t="shared" si="216"/>
        <v>2</v>
      </c>
      <c r="J877" s="217"/>
      <c r="K877" s="2"/>
      <c r="L877" s="30" t="s">
        <v>880</v>
      </c>
      <c r="M877" s="2">
        <v>4</v>
      </c>
      <c r="N877" s="1" t="s">
        <v>1253</v>
      </c>
      <c r="O877" s="1" t="s">
        <v>1113</v>
      </c>
      <c r="P877" s="1" t="s">
        <v>1252</v>
      </c>
      <c r="Q877" s="4" t="s">
        <v>898</v>
      </c>
      <c r="R877" s="4"/>
      <c r="S877" s="13"/>
      <c r="T877" s="1" t="s">
        <v>1251</v>
      </c>
      <c r="U877" s="13" t="s">
        <v>868</v>
      </c>
      <c r="V877" s="1" t="str">
        <f t="shared" si="210"/>
        <v>2.8\0.5:2</v>
      </c>
      <c r="W877" s="13" t="s">
        <v>1246</v>
      </c>
      <c r="X877" s="18">
        <v>0</v>
      </c>
      <c r="Y877" s="13" t="s">
        <v>1245</v>
      </c>
      <c r="Z877" s="206" t="s">
        <v>1062</v>
      </c>
      <c r="AB877" s="13">
        <v>0</v>
      </c>
      <c r="AC877" s="13">
        <v>100</v>
      </c>
      <c r="AD877" s="13">
        <v>0</v>
      </c>
      <c r="AE877" s="13">
        <v>100</v>
      </c>
      <c r="AF877" s="13" t="s">
        <v>865</v>
      </c>
      <c r="AG877" s="3" t="s">
        <v>588</v>
      </c>
      <c r="AH877" s="3">
        <v>37</v>
      </c>
      <c r="AI877" s="3">
        <v>38</v>
      </c>
      <c r="AJ877" s="200"/>
      <c r="AM877" s="3"/>
    </row>
    <row r="878" spans="1:39" x14ac:dyDescent="0.3">
      <c r="A878" s="5" t="str">
        <f t="shared" si="211"/>
        <v>BCV130</v>
      </c>
      <c r="B878" s="1" t="s">
        <v>1244</v>
      </c>
      <c r="C878" s="2" t="str">
        <f t="shared" si="212"/>
        <v>DIO1</v>
      </c>
      <c r="D878" s="2">
        <v>130</v>
      </c>
      <c r="E878" s="3">
        <f t="shared" si="213"/>
        <v>2</v>
      </c>
      <c r="F878" s="3">
        <f t="shared" si="214"/>
        <v>8</v>
      </c>
      <c r="G878" s="3">
        <v>0</v>
      </c>
      <c r="H878" s="55">
        <f t="shared" si="215"/>
        <v>5</v>
      </c>
      <c r="I878" s="54">
        <f t="shared" si="216"/>
        <v>3</v>
      </c>
      <c r="J878" s="217"/>
      <c r="K878" s="2"/>
      <c r="L878" s="30" t="s">
        <v>880</v>
      </c>
      <c r="M878" s="2">
        <v>4</v>
      </c>
      <c r="N878" s="1" t="s">
        <v>1250</v>
      </c>
      <c r="O878" s="1" t="s">
        <v>1249</v>
      </c>
      <c r="P878" s="1" t="s">
        <v>1248</v>
      </c>
      <c r="Q878" s="1" t="s">
        <v>1247</v>
      </c>
      <c r="R878" s="2"/>
      <c r="S878" s="13"/>
      <c r="T878" s="13" t="s">
        <v>122</v>
      </c>
      <c r="U878" s="13" t="s">
        <v>868</v>
      </c>
      <c r="V878" s="1" t="str">
        <f t="shared" si="210"/>
        <v>2.8\0.5:3</v>
      </c>
      <c r="W878" s="13" t="s">
        <v>1246</v>
      </c>
      <c r="X878" s="18">
        <v>0</v>
      </c>
      <c r="Y878" s="13" t="s">
        <v>1245</v>
      </c>
      <c r="Z878" s="206" t="s">
        <v>1062</v>
      </c>
      <c r="AB878" s="13">
        <v>0</v>
      </c>
      <c r="AC878" s="13">
        <v>6206</v>
      </c>
      <c r="AD878" s="13">
        <v>0</v>
      </c>
      <c r="AE878" s="13">
        <v>6206</v>
      </c>
      <c r="AF878" s="13" t="s">
        <v>865</v>
      </c>
      <c r="AG878" s="3" t="s">
        <v>588</v>
      </c>
      <c r="AH878" s="3">
        <v>39</v>
      </c>
      <c r="AI878" s="3">
        <v>40</v>
      </c>
      <c r="AJ878" s="200"/>
      <c r="AM878" s="3"/>
    </row>
    <row r="879" spans="1:39" x14ac:dyDescent="0.3">
      <c r="A879" s="5" t="str">
        <f t="shared" si="211"/>
        <v>BCV130</v>
      </c>
      <c r="B879" s="1" t="s">
        <v>1244</v>
      </c>
      <c r="C879" s="2" t="str">
        <f t="shared" si="212"/>
        <v>DIO1</v>
      </c>
      <c r="D879" s="2">
        <v>130</v>
      </c>
      <c r="E879" s="3">
        <f t="shared" si="213"/>
        <v>2</v>
      </c>
      <c r="F879" s="3">
        <f t="shared" si="214"/>
        <v>8</v>
      </c>
      <c r="G879" s="3">
        <v>0</v>
      </c>
      <c r="H879" s="55">
        <f t="shared" si="215"/>
        <v>5</v>
      </c>
      <c r="I879" s="54">
        <f t="shared" si="216"/>
        <v>4</v>
      </c>
      <c r="J879" s="217"/>
      <c r="K879" s="2"/>
      <c r="L879" s="30" t="s">
        <v>880</v>
      </c>
      <c r="M879" s="2"/>
      <c r="S879" s="13"/>
      <c r="V879" s="1" t="str">
        <f t="shared" si="210"/>
        <v>2.8\0.5:4</v>
      </c>
      <c r="Z879" s="206" t="s">
        <v>1062</v>
      </c>
      <c r="AG879" s="3" t="s">
        <v>588</v>
      </c>
      <c r="AH879" s="3">
        <v>41</v>
      </c>
      <c r="AI879" s="3">
        <v>42</v>
      </c>
      <c r="AJ879" s="200"/>
      <c r="AM879" s="3"/>
    </row>
    <row r="880" spans="1:39" x14ac:dyDescent="0.3">
      <c r="A880" s="5" t="str">
        <f t="shared" si="211"/>
        <v>BCV130</v>
      </c>
      <c r="B880" s="1" t="s">
        <v>1244</v>
      </c>
      <c r="C880" s="2" t="str">
        <f t="shared" si="212"/>
        <v>DIO1</v>
      </c>
      <c r="D880" s="2">
        <v>130</v>
      </c>
      <c r="E880" s="3">
        <f t="shared" si="213"/>
        <v>2</v>
      </c>
      <c r="F880" s="3">
        <f t="shared" si="214"/>
        <v>8</v>
      </c>
      <c r="G880" s="3">
        <v>0</v>
      </c>
      <c r="H880" s="55">
        <f t="shared" si="215"/>
        <v>5</v>
      </c>
      <c r="I880" s="54">
        <f t="shared" si="216"/>
        <v>5</v>
      </c>
      <c r="J880" s="217"/>
      <c r="K880" s="2"/>
      <c r="L880" s="30" t="s">
        <v>880</v>
      </c>
      <c r="M880" s="2"/>
      <c r="N880" s="40"/>
      <c r="R880" s="2"/>
      <c r="V880" s="1" t="str">
        <f t="shared" si="210"/>
        <v>2.8\0.5:5</v>
      </c>
      <c r="Z880" s="206" t="s">
        <v>1062</v>
      </c>
      <c r="AG880" s="3" t="s">
        <v>588</v>
      </c>
      <c r="AH880" s="3">
        <v>43</v>
      </c>
      <c r="AI880" s="3">
        <v>44</v>
      </c>
      <c r="AJ880" s="200"/>
      <c r="AM880" s="3"/>
    </row>
    <row r="881" spans="1:39" x14ac:dyDescent="0.3">
      <c r="A881" s="5" t="str">
        <f t="shared" si="211"/>
        <v>BCV130</v>
      </c>
      <c r="B881" s="1" t="s">
        <v>1244</v>
      </c>
      <c r="C881" s="2" t="str">
        <f t="shared" si="212"/>
        <v>DIO1</v>
      </c>
      <c r="D881" s="2">
        <v>130</v>
      </c>
      <c r="E881" s="3">
        <f t="shared" si="213"/>
        <v>2</v>
      </c>
      <c r="F881" s="3">
        <f t="shared" si="214"/>
        <v>8</v>
      </c>
      <c r="G881" s="3">
        <v>0</v>
      </c>
      <c r="H881" s="55">
        <f t="shared" si="215"/>
        <v>5</v>
      </c>
      <c r="I881" s="54">
        <f t="shared" si="216"/>
        <v>6</v>
      </c>
      <c r="J881" s="217"/>
      <c r="K881" s="2"/>
      <c r="L881" s="30" t="s">
        <v>880</v>
      </c>
      <c r="M881" s="2"/>
      <c r="N881" s="40"/>
      <c r="R881" s="2"/>
      <c r="V881" s="1" t="str">
        <f t="shared" si="210"/>
        <v>2.8\0.5:6</v>
      </c>
      <c r="Z881" s="206" t="s">
        <v>1062</v>
      </c>
      <c r="AG881" s="3" t="s">
        <v>588</v>
      </c>
      <c r="AH881" s="3">
        <v>45</v>
      </c>
      <c r="AI881" s="3">
        <v>46</v>
      </c>
      <c r="AJ881" s="200"/>
      <c r="AM881" s="3"/>
    </row>
    <row r="882" spans="1:39" ht="13.5" thickBot="1" x14ac:dyDescent="0.35">
      <c r="A882" s="5" t="str">
        <f t="shared" si="211"/>
        <v>BCV130</v>
      </c>
      <c r="B882" s="1" t="s">
        <v>1244</v>
      </c>
      <c r="C882" s="2" t="str">
        <f t="shared" si="212"/>
        <v>DIO1</v>
      </c>
      <c r="D882" s="2">
        <v>130</v>
      </c>
      <c r="E882" s="3">
        <f t="shared" si="213"/>
        <v>2</v>
      </c>
      <c r="F882" s="3">
        <f t="shared" si="214"/>
        <v>8</v>
      </c>
      <c r="G882" s="3">
        <v>0</v>
      </c>
      <c r="H882" s="55">
        <f t="shared" si="215"/>
        <v>5</v>
      </c>
      <c r="I882" s="59">
        <f t="shared" si="216"/>
        <v>7</v>
      </c>
      <c r="J882" s="216"/>
      <c r="K882" s="2"/>
      <c r="L882" s="30" t="s">
        <v>880</v>
      </c>
      <c r="M882" s="2"/>
      <c r="N882" s="40"/>
      <c r="R882" s="2"/>
      <c r="V882" s="1" t="str">
        <f t="shared" si="210"/>
        <v>2.8\0.5:7</v>
      </c>
      <c r="Z882" s="206" t="s">
        <v>1062</v>
      </c>
      <c r="AG882" s="3" t="s">
        <v>588</v>
      </c>
      <c r="AH882" s="3">
        <v>47</v>
      </c>
      <c r="AI882" s="3">
        <v>48</v>
      </c>
      <c r="AJ882" s="200"/>
      <c r="AM882" s="3"/>
    </row>
    <row r="883" spans="1:39" x14ac:dyDescent="0.3">
      <c r="A883" s="5" t="str">
        <f t="shared" si="211"/>
        <v>BCV130</v>
      </c>
      <c r="B883" s="1" t="s">
        <v>1244</v>
      </c>
      <c r="C883" s="2" t="str">
        <f t="shared" si="212"/>
        <v>DIO1</v>
      </c>
      <c r="D883" s="2">
        <v>130</v>
      </c>
      <c r="E883" s="3">
        <f t="shared" si="213"/>
        <v>2</v>
      </c>
      <c r="F883" s="3">
        <f t="shared" si="214"/>
        <v>8</v>
      </c>
      <c r="G883" s="3">
        <v>0</v>
      </c>
      <c r="H883" s="62">
        <v>6</v>
      </c>
      <c r="I883" s="56"/>
      <c r="J883" s="209"/>
      <c r="K883" s="41" t="s">
        <v>300</v>
      </c>
      <c r="M883" s="2">
        <v>0</v>
      </c>
      <c r="N883" s="2"/>
      <c r="V883" s="1" t="str">
        <f t="shared" si="210"/>
        <v>2.8\0.6:</v>
      </c>
      <c r="AJ883" s="200"/>
      <c r="AM883" s="3"/>
    </row>
    <row r="884" spans="1:39" x14ac:dyDescent="0.3">
      <c r="A884" s="5" t="str">
        <f t="shared" si="211"/>
        <v>BCV130</v>
      </c>
      <c r="B884" s="1" t="s">
        <v>1244</v>
      </c>
      <c r="C884" s="2" t="str">
        <f t="shared" si="212"/>
        <v>DIO1</v>
      </c>
      <c r="D884" s="2">
        <v>130</v>
      </c>
      <c r="E884" s="3">
        <f t="shared" si="213"/>
        <v>2</v>
      </c>
      <c r="F884" s="3">
        <f t="shared" si="214"/>
        <v>8</v>
      </c>
      <c r="G884" s="3">
        <v>0</v>
      </c>
      <c r="H884" s="55">
        <f>+H883</f>
        <v>6</v>
      </c>
      <c r="I884" s="54"/>
      <c r="J884" s="208"/>
      <c r="K884" s="2"/>
      <c r="M884" s="2">
        <v>0</v>
      </c>
      <c r="N884" s="2"/>
      <c r="V884" s="1" t="str">
        <f t="shared" si="210"/>
        <v>2.8\0.6:</v>
      </c>
      <c r="AJ884" s="200"/>
      <c r="AM884" s="3"/>
    </row>
    <row r="885" spans="1:39" x14ac:dyDescent="0.3">
      <c r="A885" s="5" t="str">
        <f t="shared" si="211"/>
        <v>BCV130</v>
      </c>
      <c r="B885" s="1" t="s">
        <v>1244</v>
      </c>
      <c r="C885" s="2" t="str">
        <f t="shared" si="212"/>
        <v>DIO1</v>
      </c>
      <c r="D885" s="2">
        <v>130</v>
      </c>
      <c r="E885" s="3">
        <f t="shared" si="213"/>
        <v>2</v>
      </c>
      <c r="F885" s="3">
        <f t="shared" si="214"/>
        <v>8</v>
      </c>
      <c r="G885" s="3">
        <v>0</v>
      </c>
      <c r="H885" s="55">
        <f>+H884</f>
        <v>6</v>
      </c>
      <c r="I885" s="54"/>
      <c r="J885" s="208"/>
      <c r="K885" s="2"/>
      <c r="M885" s="2">
        <v>0</v>
      </c>
      <c r="N885" s="2"/>
      <c r="V885" s="1" t="str">
        <f t="shared" si="210"/>
        <v>2.8\0.6:</v>
      </c>
      <c r="AJ885" s="200"/>
      <c r="AM885" s="3"/>
    </row>
    <row r="886" spans="1:39" ht="13.5" thickBot="1" x14ac:dyDescent="0.35">
      <c r="A886" s="5" t="str">
        <f t="shared" si="211"/>
        <v>BCV130</v>
      </c>
      <c r="B886" s="1" t="s">
        <v>1244</v>
      </c>
      <c r="C886" s="2" t="str">
        <f t="shared" si="212"/>
        <v>DIO1</v>
      </c>
      <c r="D886" s="2">
        <v>130</v>
      </c>
      <c r="E886" s="3">
        <f t="shared" si="213"/>
        <v>2</v>
      </c>
      <c r="F886" s="3">
        <f t="shared" si="214"/>
        <v>8</v>
      </c>
      <c r="G886" s="3">
        <v>0</v>
      </c>
      <c r="H886" s="55">
        <f>+H885</f>
        <v>6</v>
      </c>
      <c r="I886" s="59"/>
      <c r="J886" s="207"/>
      <c r="K886" s="2"/>
      <c r="M886" s="2">
        <v>0</v>
      </c>
      <c r="N886" s="2"/>
      <c r="V886" s="1" t="str">
        <f t="shared" si="210"/>
        <v>2.8\0.6:</v>
      </c>
      <c r="AJ886" s="200"/>
      <c r="AM886" s="3"/>
    </row>
    <row r="887" spans="1:39" x14ac:dyDescent="0.3">
      <c r="A887" s="5" t="str">
        <f t="shared" si="211"/>
        <v>BCV130</v>
      </c>
      <c r="B887" s="1" t="s">
        <v>1244</v>
      </c>
      <c r="C887" s="2" t="str">
        <f t="shared" si="212"/>
        <v>DIO1</v>
      </c>
      <c r="D887" s="2">
        <v>130</v>
      </c>
      <c r="E887" s="3">
        <f t="shared" si="213"/>
        <v>2</v>
      </c>
      <c r="F887" s="3">
        <f t="shared" si="214"/>
        <v>8</v>
      </c>
      <c r="G887" s="3">
        <v>0</v>
      </c>
      <c r="H887" s="62">
        <v>7</v>
      </c>
      <c r="I887" s="56"/>
      <c r="J887" s="209"/>
      <c r="K887" s="41" t="s">
        <v>300</v>
      </c>
      <c r="M887" s="2">
        <v>0</v>
      </c>
      <c r="N887" s="2"/>
      <c r="V887" s="1" t="str">
        <f t="shared" si="210"/>
        <v>2.8\0.7:</v>
      </c>
      <c r="AJ887" s="200"/>
      <c r="AM887" s="3"/>
    </row>
    <row r="888" spans="1:39" x14ac:dyDescent="0.3">
      <c r="A888" s="5" t="str">
        <f t="shared" si="211"/>
        <v>BCV130</v>
      </c>
      <c r="B888" s="1" t="s">
        <v>1244</v>
      </c>
      <c r="C888" s="2" t="str">
        <f t="shared" si="212"/>
        <v>DIO1</v>
      </c>
      <c r="D888" s="2">
        <v>130</v>
      </c>
      <c r="E888" s="3">
        <f t="shared" si="213"/>
        <v>2</v>
      </c>
      <c r="F888" s="3">
        <f t="shared" si="214"/>
        <v>8</v>
      </c>
      <c r="G888" s="3">
        <v>0</v>
      </c>
      <c r="H888" s="55">
        <f>+H887</f>
        <v>7</v>
      </c>
      <c r="I888" s="54"/>
      <c r="J888" s="208"/>
      <c r="K888" s="2"/>
      <c r="M888" s="2">
        <v>0</v>
      </c>
      <c r="N888" s="2"/>
      <c r="V888" s="1" t="str">
        <f t="shared" si="210"/>
        <v>2.8\0.7:</v>
      </c>
      <c r="AJ888" s="200"/>
      <c r="AM888" s="3"/>
    </row>
    <row r="889" spans="1:39" x14ac:dyDescent="0.3">
      <c r="A889" s="5" t="str">
        <f t="shared" si="211"/>
        <v>BCV130</v>
      </c>
      <c r="B889" s="1" t="s">
        <v>1244</v>
      </c>
      <c r="C889" s="2" t="str">
        <f t="shared" si="212"/>
        <v>DIO1</v>
      </c>
      <c r="D889" s="2">
        <v>130</v>
      </c>
      <c r="E889" s="3">
        <f t="shared" si="213"/>
        <v>2</v>
      </c>
      <c r="F889" s="3">
        <f t="shared" si="214"/>
        <v>8</v>
      </c>
      <c r="G889" s="3">
        <v>0</v>
      </c>
      <c r="H889" s="55">
        <f>+H888</f>
        <v>7</v>
      </c>
      <c r="I889" s="54"/>
      <c r="J889" s="208"/>
      <c r="K889" s="2"/>
      <c r="M889" s="2">
        <v>0</v>
      </c>
      <c r="N889" s="2"/>
      <c r="V889" s="1" t="str">
        <f t="shared" si="210"/>
        <v>2.8\0.7:</v>
      </c>
      <c r="AJ889" s="200"/>
      <c r="AM889" s="3"/>
    </row>
    <row r="890" spans="1:39" ht="13.5" thickBot="1" x14ac:dyDescent="0.35">
      <c r="A890" s="5" t="str">
        <f t="shared" si="211"/>
        <v>BCV130</v>
      </c>
      <c r="B890" s="1" t="s">
        <v>1244</v>
      </c>
      <c r="C890" s="2" t="str">
        <f t="shared" si="212"/>
        <v>DIO1</v>
      </c>
      <c r="D890" s="2">
        <v>130</v>
      </c>
      <c r="E890" s="3">
        <f t="shared" si="213"/>
        <v>2</v>
      </c>
      <c r="F890" s="3">
        <f t="shared" si="214"/>
        <v>8</v>
      </c>
      <c r="G890" s="3">
        <v>0</v>
      </c>
      <c r="H890" s="55">
        <f>+H889</f>
        <v>7</v>
      </c>
      <c r="I890" s="59"/>
      <c r="J890" s="207"/>
      <c r="K890" s="2"/>
      <c r="M890" s="2">
        <v>0</v>
      </c>
      <c r="N890" s="2"/>
      <c r="V890" s="1" t="str">
        <f t="shared" si="210"/>
        <v>2.8\0.7:</v>
      </c>
      <c r="AJ890" s="200"/>
      <c r="AM890" s="3"/>
    </row>
    <row r="891" spans="1:39" x14ac:dyDescent="0.3">
      <c r="A891" s="5" t="str">
        <f t="shared" si="211"/>
        <v>BCV130</v>
      </c>
      <c r="B891" s="1" t="s">
        <v>1244</v>
      </c>
      <c r="C891" s="2" t="str">
        <f t="shared" si="212"/>
        <v>DIO1</v>
      </c>
      <c r="D891" s="2">
        <v>130</v>
      </c>
      <c r="E891" s="3">
        <f t="shared" si="213"/>
        <v>2</v>
      </c>
      <c r="F891" s="3">
        <f t="shared" si="214"/>
        <v>8</v>
      </c>
      <c r="G891" s="3">
        <v>0</v>
      </c>
      <c r="H891" s="57">
        <v>8</v>
      </c>
      <c r="I891" s="56"/>
      <c r="J891" s="209"/>
      <c r="K891" s="41" t="s">
        <v>300</v>
      </c>
      <c r="M891" s="2">
        <v>0</v>
      </c>
      <c r="N891" s="2"/>
      <c r="V891" s="1" t="str">
        <f t="shared" si="210"/>
        <v>2.8\0.8:</v>
      </c>
      <c r="AJ891" s="200"/>
      <c r="AM891" s="3"/>
    </row>
    <row r="892" spans="1:39" x14ac:dyDescent="0.3">
      <c r="A892" s="5" t="str">
        <f t="shared" si="211"/>
        <v>BCV130</v>
      </c>
      <c r="B892" s="1" t="s">
        <v>1244</v>
      </c>
      <c r="C892" s="2" t="str">
        <f t="shared" si="212"/>
        <v>DIO1</v>
      </c>
      <c r="D892" s="2">
        <v>130</v>
      </c>
      <c r="E892" s="3">
        <f t="shared" si="213"/>
        <v>2</v>
      </c>
      <c r="F892" s="3">
        <f t="shared" si="214"/>
        <v>8</v>
      </c>
      <c r="G892" s="3">
        <v>0</v>
      </c>
      <c r="H892" s="55">
        <f>+H891</f>
        <v>8</v>
      </c>
      <c r="I892" s="54"/>
      <c r="J892" s="208"/>
      <c r="K892" s="2"/>
      <c r="M892" s="2">
        <v>0</v>
      </c>
      <c r="N892" s="2"/>
      <c r="V892" s="1" t="str">
        <f t="shared" si="210"/>
        <v>2.8\0.8:</v>
      </c>
      <c r="AJ892" s="200"/>
      <c r="AM892" s="3"/>
    </row>
    <row r="893" spans="1:39" x14ac:dyDescent="0.3">
      <c r="A893" s="5" t="str">
        <f t="shared" si="211"/>
        <v>BCV130</v>
      </c>
      <c r="B893" s="1" t="s">
        <v>1244</v>
      </c>
      <c r="C893" s="2" t="str">
        <f t="shared" si="212"/>
        <v>DIO1</v>
      </c>
      <c r="D893" s="2">
        <v>130</v>
      </c>
      <c r="E893" s="3">
        <f t="shared" si="213"/>
        <v>2</v>
      </c>
      <c r="F893" s="3">
        <f t="shared" si="214"/>
        <v>8</v>
      </c>
      <c r="G893" s="3">
        <v>0</v>
      </c>
      <c r="H893" s="55">
        <f>+H892</f>
        <v>8</v>
      </c>
      <c r="I893" s="54"/>
      <c r="J893" s="208"/>
      <c r="K893" s="2"/>
      <c r="M893" s="2">
        <v>0</v>
      </c>
      <c r="N893" s="2"/>
      <c r="V893" s="1" t="str">
        <f t="shared" si="210"/>
        <v>2.8\0.8:</v>
      </c>
      <c r="AJ893" s="200"/>
      <c r="AM893" s="3"/>
    </row>
    <row r="894" spans="1:39" ht="13.5" thickBot="1" x14ac:dyDescent="0.35">
      <c r="A894" s="5" t="str">
        <f t="shared" si="211"/>
        <v>BCV130</v>
      </c>
      <c r="B894" s="1" t="s">
        <v>1244</v>
      </c>
      <c r="C894" s="2" t="str">
        <f t="shared" si="212"/>
        <v>DIO1</v>
      </c>
      <c r="D894" s="2">
        <v>130</v>
      </c>
      <c r="E894" s="3">
        <f t="shared" si="213"/>
        <v>2</v>
      </c>
      <c r="F894" s="3">
        <f t="shared" si="214"/>
        <v>8</v>
      </c>
      <c r="G894" s="3">
        <v>0</v>
      </c>
      <c r="H894" s="55">
        <f>+H893</f>
        <v>8</v>
      </c>
      <c r="I894" s="59"/>
      <c r="J894" s="207"/>
      <c r="K894" s="2"/>
      <c r="M894" s="2">
        <v>0</v>
      </c>
      <c r="N894" s="2"/>
      <c r="V894" s="1" t="str">
        <f t="shared" si="210"/>
        <v>2.8\0.8:</v>
      </c>
      <c r="AJ894" s="200"/>
      <c r="AM894" s="3"/>
    </row>
    <row r="895" spans="1:39" x14ac:dyDescent="0.3">
      <c r="A895" s="5" t="str">
        <f t="shared" si="211"/>
        <v>BCV130</v>
      </c>
      <c r="B895" s="1" t="s">
        <v>1244</v>
      </c>
      <c r="C895" s="2" t="str">
        <f t="shared" si="212"/>
        <v>DIO1</v>
      </c>
      <c r="D895" s="2">
        <v>130</v>
      </c>
      <c r="E895" s="3">
        <f t="shared" si="213"/>
        <v>2</v>
      </c>
      <c r="F895" s="3">
        <f t="shared" si="214"/>
        <v>8</v>
      </c>
      <c r="G895" s="3">
        <v>0</v>
      </c>
      <c r="H895" s="62">
        <v>9</v>
      </c>
      <c r="I895" s="56"/>
      <c r="J895" s="209"/>
      <c r="K895" s="41" t="s">
        <v>300</v>
      </c>
      <c r="M895" s="2">
        <v>0</v>
      </c>
      <c r="N895" s="2"/>
      <c r="V895" s="1" t="str">
        <f t="shared" si="210"/>
        <v>2.8\0.9:</v>
      </c>
      <c r="AJ895" s="200"/>
      <c r="AM895" s="3"/>
    </row>
    <row r="896" spans="1:39" x14ac:dyDescent="0.3">
      <c r="A896" s="5" t="str">
        <f t="shared" si="211"/>
        <v>BCV130</v>
      </c>
      <c r="B896" s="1" t="s">
        <v>1244</v>
      </c>
      <c r="C896" s="2" t="str">
        <f t="shared" si="212"/>
        <v>DIO1</v>
      </c>
      <c r="D896" s="2">
        <v>130</v>
      </c>
      <c r="E896" s="3">
        <f t="shared" si="213"/>
        <v>2</v>
      </c>
      <c r="F896" s="3">
        <f t="shared" si="214"/>
        <v>8</v>
      </c>
      <c r="G896" s="3">
        <v>0</v>
      </c>
      <c r="H896" s="55">
        <f>+H895</f>
        <v>9</v>
      </c>
      <c r="I896" s="54"/>
      <c r="J896" s="208"/>
      <c r="K896" s="2"/>
      <c r="M896" s="2">
        <v>0</v>
      </c>
      <c r="N896" s="2"/>
      <c r="V896" s="1" t="str">
        <f t="shared" si="210"/>
        <v>2.8\0.9:</v>
      </c>
      <c r="AJ896" s="200"/>
      <c r="AM896" s="3"/>
    </row>
    <row r="897" spans="1:39" x14ac:dyDescent="0.3">
      <c r="A897" s="5" t="str">
        <f t="shared" si="211"/>
        <v>BCV130</v>
      </c>
      <c r="B897" s="1" t="s">
        <v>1244</v>
      </c>
      <c r="C897" s="2" t="str">
        <f t="shared" si="212"/>
        <v>DIO1</v>
      </c>
      <c r="D897" s="2">
        <v>130</v>
      </c>
      <c r="E897" s="3">
        <f t="shared" si="213"/>
        <v>2</v>
      </c>
      <c r="F897" s="3">
        <f t="shared" si="214"/>
        <v>8</v>
      </c>
      <c r="G897" s="3">
        <v>0</v>
      </c>
      <c r="H897" s="55">
        <f>+H896</f>
        <v>9</v>
      </c>
      <c r="I897" s="54"/>
      <c r="J897" s="208"/>
      <c r="K897" s="2"/>
      <c r="M897" s="2">
        <v>0</v>
      </c>
      <c r="N897" s="2"/>
      <c r="V897" s="1" t="str">
        <f t="shared" si="210"/>
        <v>2.8\0.9:</v>
      </c>
      <c r="AJ897" s="200"/>
      <c r="AM897" s="3"/>
    </row>
    <row r="898" spans="1:39" ht="13.5" thickBot="1" x14ac:dyDescent="0.35">
      <c r="A898" s="5" t="str">
        <f t="shared" si="211"/>
        <v>BCV130</v>
      </c>
      <c r="B898" s="1" t="s">
        <v>1244</v>
      </c>
      <c r="C898" s="2" t="str">
        <f t="shared" si="212"/>
        <v>DIO1</v>
      </c>
      <c r="D898" s="2">
        <v>130</v>
      </c>
      <c r="E898" s="3">
        <f t="shared" si="213"/>
        <v>2</v>
      </c>
      <c r="F898" s="3">
        <f t="shared" si="214"/>
        <v>8</v>
      </c>
      <c r="G898" s="3">
        <v>0</v>
      </c>
      <c r="H898" s="55">
        <f>+H897</f>
        <v>9</v>
      </c>
      <c r="I898" s="59"/>
      <c r="J898" s="207"/>
      <c r="K898" s="2"/>
      <c r="M898" s="2">
        <v>0</v>
      </c>
      <c r="N898" s="2"/>
      <c r="V898" s="1" t="str">
        <f t="shared" si="210"/>
        <v>2.8\0.9:</v>
      </c>
      <c r="AJ898" s="200"/>
      <c r="AM898" s="3"/>
    </row>
    <row r="899" spans="1:39" x14ac:dyDescent="0.3">
      <c r="A899" s="5" t="str">
        <f t="shared" si="211"/>
        <v>BCV130</v>
      </c>
      <c r="B899" s="1" t="s">
        <v>1244</v>
      </c>
      <c r="C899" s="2" t="str">
        <f t="shared" si="212"/>
        <v>DIO1</v>
      </c>
      <c r="D899" s="2">
        <v>130</v>
      </c>
      <c r="E899" s="3">
        <f t="shared" si="213"/>
        <v>2</v>
      </c>
      <c r="F899" s="3">
        <f t="shared" si="214"/>
        <v>8</v>
      </c>
      <c r="G899" s="3">
        <v>0</v>
      </c>
      <c r="H899" s="57">
        <v>10</v>
      </c>
      <c r="I899" s="56"/>
      <c r="J899" s="209"/>
      <c r="K899" s="41" t="s">
        <v>300</v>
      </c>
      <c r="M899" s="2">
        <v>0</v>
      </c>
      <c r="N899" s="2"/>
      <c r="V899" s="1" t="str">
        <f t="shared" si="210"/>
        <v>2.8\0.10:</v>
      </c>
      <c r="AJ899" s="200"/>
      <c r="AM899" s="3"/>
    </row>
    <row r="900" spans="1:39" x14ac:dyDescent="0.3">
      <c r="A900" s="5" t="str">
        <f t="shared" si="211"/>
        <v>BCV130</v>
      </c>
      <c r="B900" s="1" t="s">
        <v>1244</v>
      </c>
      <c r="C900" s="2" t="str">
        <f t="shared" si="212"/>
        <v>DIO1</v>
      </c>
      <c r="D900" s="2">
        <v>130</v>
      </c>
      <c r="E900" s="3">
        <f t="shared" si="213"/>
        <v>2</v>
      </c>
      <c r="F900" s="3">
        <f t="shared" si="214"/>
        <v>8</v>
      </c>
      <c r="G900" s="3">
        <v>0</v>
      </c>
      <c r="H900" s="55">
        <f>+H899</f>
        <v>10</v>
      </c>
      <c r="I900" s="54"/>
      <c r="J900" s="208"/>
      <c r="K900" s="2"/>
      <c r="M900" s="2">
        <v>0</v>
      </c>
      <c r="N900" s="2"/>
      <c r="V900" s="1" t="str">
        <f t="shared" si="210"/>
        <v>2.8\0.10:</v>
      </c>
      <c r="AJ900" s="200"/>
      <c r="AM900" s="3"/>
    </row>
    <row r="901" spans="1:39" x14ac:dyDescent="0.3">
      <c r="A901" s="5" t="str">
        <f t="shared" si="211"/>
        <v>BCV130</v>
      </c>
      <c r="B901" s="1" t="s">
        <v>1244</v>
      </c>
      <c r="C901" s="2" t="str">
        <f t="shared" si="212"/>
        <v>DIO1</v>
      </c>
      <c r="D901" s="2">
        <v>130</v>
      </c>
      <c r="E901" s="3">
        <f t="shared" si="213"/>
        <v>2</v>
      </c>
      <c r="F901" s="3">
        <f t="shared" si="214"/>
        <v>8</v>
      </c>
      <c r="G901" s="3">
        <v>0</v>
      </c>
      <c r="H901" s="55">
        <f>+H900</f>
        <v>10</v>
      </c>
      <c r="I901" s="54"/>
      <c r="J901" s="208"/>
      <c r="K901" s="2"/>
      <c r="M901" s="2">
        <v>0</v>
      </c>
      <c r="N901" s="2"/>
      <c r="V901" s="1" t="str">
        <f t="shared" si="210"/>
        <v>2.8\0.10:</v>
      </c>
      <c r="AJ901" s="200"/>
      <c r="AM901" s="3"/>
    </row>
    <row r="902" spans="1:39" ht="13.5" thickBot="1" x14ac:dyDescent="0.35">
      <c r="A902" s="5" t="str">
        <f t="shared" si="211"/>
        <v>BCV130</v>
      </c>
      <c r="B902" s="1" t="s">
        <v>1244</v>
      </c>
      <c r="C902" s="2" t="str">
        <f t="shared" si="212"/>
        <v>DIO1</v>
      </c>
      <c r="D902" s="2">
        <v>130</v>
      </c>
      <c r="E902" s="3">
        <f t="shared" si="213"/>
        <v>2</v>
      </c>
      <c r="F902" s="3">
        <f t="shared" si="214"/>
        <v>8</v>
      </c>
      <c r="G902" s="3">
        <v>0</v>
      </c>
      <c r="H902" s="55">
        <f>+H901</f>
        <v>10</v>
      </c>
      <c r="I902" s="59"/>
      <c r="J902" s="207"/>
      <c r="K902" s="2"/>
      <c r="M902" s="2">
        <v>0</v>
      </c>
      <c r="N902" s="2"/>
      <c r="V902" s="1" t="str">
        <f t="shared" si="210"/>
        <v>2.8\0.10:</v>
      </c>
      <c r="AH902" s="205"/>
      <c r="AI902" s="205"/>
      <c r="AJ902" s="200"/>
      <c r="AM902" s="3"/>
    </row>
    <row r="903" spans="1:39" x14ac:dyDescent="0.3">
      <c r="A903" s="5" t="str">
        <f t="shared" si="211"/>
        <v>BCV130</v>
      </c>
      <c r="B903" s="1" t="s">
        <v>1244</v>
      </c>
      <c r="C903" s="2" t="str">
        <f t="shared" si="212"/>
        <v>DIO1</v>
      </c>
      <c r="D903" s="2">
        <v>130</v>
      </c>
      <c r="E903" s="3">
        <f t="shared" si="213"/>
        <v>2</v>
      </c>
      <c r="F903" s="3">
        <f t="shared" si="214"/>
        <v>8</v>
      </c>
      <c r="G903" s="3">
        <v>0</v>
      </c>
      <c r="H903" s="57">
        <v>11</v>
      </c>
      <c r="I903" s="56"/>
      <c r="J903" s="209"/>
      <c r="K903" s="41" t="s">
        <v>300</v>
      </c>
      <c r="M903" s="2">
        <v>0</v>
      </c>
      <c r="N903" s="2"/>
      <c r="V903" s="1" t="str">
        <f t="shared" si="210"/>
        <v>2.8\0.11:</v>
      </c>
      <c r="AH903" s="205"/>
      <c r="AI903" s="205"/>
      <c r="AJ903" s="200"/>
      <c r="AM903" s="3"/>
    </row>
    <row r="904" spans="1:39" x14ac:dyDescent="0.3">
      <c r="A904" s="5" t="str">
        <f t="shared" si="211"/>
        <v>BCV130</v>
      </c>
      <c r="B904" s="1" t="s">
        <v>1244</v>
      </c>
      <c r="C904" s="2" t="str">
        <f t="shared" si="212"/>
        <v>DIO1</v>
      </c>
      <c r="D904" s="2">
        <v>130</v>
      </c>
      <c r="E904" s="3">
        <f t="shared" si="213"/>
        <v>2</v>
      </c>
      <c r="F904" s="3">
        <f t="shared" si="214"/>
        <v>8</v>
      </c>
      <c r="G904" s="3">
        <v>0</v>
      </c>
      <c r="H904" s="55">
        <f>+H903</f>
        <v>11</v>
      </c>
      <c r="I904" s="54"/>
      <c r="J904" s="208"/>
      <c r="K904" s="2"/>
      <c r="M904" s="2">
        <v>0</v>
      </c>
      <c r="N904" s="2"/>
      <c r="V904" s="1" t="str">
        <f t="shared" si="210"/>
        <v>2.8\0.11:</v>
      </c>
      <c r="AH904" s="205"/>
      <c r="AI904" s="205"/>
      <c r="AJ904" s="200"/>
      <c r="AM904" s="3"/>
    </row>
    <row r="905" spans="1:39" x14ac:dyDescent="0.3">
      <c r="A905" s="5" t="str">
        <f t="shared" si="211"/>
        <v>BCV130</v>
      </c>
      <c r="B905" s="1" t="s">
        <v>1244</v>
      </c>
      <c r="C905" s="2" t="str">
        <f t="shared" si="212"/>
        <v>DIO1</v>
      </c>
      <c r="D905" s="2">
        <v>130</v>
      </c>
      <c r="E905" s="3">
        <f t="shared" si="213"/>
        <v>2</v>
      </c>
      <c r="F905" s="3">
        <f t="shared" si="214"/>
        <v>8</v>
      </c>
      <c r="G905" s="3">
        <v>0</v>
      </c>
      <c r="H905" s="55">
        <f>+H904</f>
        <v>11</v>
      </c>
      <c r="I905" s="54"/>
      <c r="J905" s="208"/>
      <c r="K905" s="2"/>
      <c r="M905" s="2">
        <v>0</v>
      </c>
      <c r="N905" s="2"/>
      <c r="V905" s="1" t="str">
        <f t="shared" si="210"/>
        <v>2.8\0.11:</v>
      </c>
      <c r="AH905" s="205"/>
      <c r="AI905" s="205"/>
      <c r="AJ905" s="200"/>
      <c r="AM905" s="3"/>
    </row>
    <row r="906" spans="1:39" ht="13.5" thickBot="1" x14ac:dyDescent="0.35">
      <c r="A906" s="5" t="str">
        <f t="shared" si="211"/>
        <v>BCV130</v>
      </c>
      <c r="B906" s="1" t="s">
        <v>1244</v>
      </c>
      <c r="C906" s="2" t="str">
        <f t="shared" si="212"/>
        <v>DIO1</v>
      </c>
      <c r="D906" s="2">
        <v>130</v>
      </c>
      <c r="E906" s="3">
        <f t="shared" si="213"/>
        <v>2</v>
      </c>
      <c r="F906" s="3">
        <f t="shared" si="214"/>
        <v>8</v>
      </c>
      <c r="G906" s="3">
        <v>0</v>
      </c>
      <c r="H906" s="55">
        <f>+H905</f>
        <v>11</v>
      </c>
      <c r="I906" s="59"/>
      <c r="J906" s="207"/>
      <c r="K906" s="2"/>
      <c r="M906" s="2">
        <v>0</v>
      </c>
      <c r="N906" s="2"/>
      <c r="V906" s="1" t="str">
        <f t="shared" si="210"/>
        <v>2.8\0.11:</v>
      </c>
      <c r="AH906" s="205"/>
      <c r="AI906" s="205"/>
      <c r="AJ906" s="200"/>
      <c r="AM906" s="3"/>
    </row>
    <row r="907" spans="1:39" x14ac:dyDescent="0.3">
      <c r="O907" s="41"/>
      <c r="P907" s="41"/>
      <c r="Q907" s="41"/>
      <c r="R907" s="41"/>
      <c r="S907" s="41"/>
      <c r="T907" s="41"/>
      <c r="AH907" s="205"/>
      <c r="AI907" s="205"/>
      <c r="AJ907" s="200"/>
      <c r="AM907" s="3"/>
    </row>
    <row r="908" spans="1:39" x14ac:dyDescent="0.3">
      <c r="O908" s="41"/>
      <c r="P908" s="41"/>
      <c r="Q908" s="41"/>
      <c r="R908" s="41"/>
      <c r="S908" s="41"/>
      <c r="T908" s="41"/>
      <c r="AM908" s="3"/>
    </row>
    <row r="909" spans="1:39" ht="14.5" x14ac:dyDescent="0.35">
      <c r="K909" s="30" t="s">
        <v>843</v>
      </c>
      <c r="L909" s="40"/>
      <c r="M909" s="40"/>
      <c r="N909" s="40" t="s">
        <v>122</v>
      </c>
      <c r="O909" s="41" t="s">
        <v>1035</v>
      </c>
      <c r="P909" s="41"/>
      <c r="Q909" s="41" t="s">
        <v>1243</v>
      </c>
      <c r="R909" s="41"/>
      <c r="S909" s="41" t="s">
        <v>839</v>
      </c>
      <c r="T909" s="41" t="s">
        <v>90</v>
      </c>
      <c r="W909" s="13" t="s">
        <v>1238</v>
      </c>
      <c r="X909" s="18">
        <v>0</v>
      </c>
      <c r="AG909" s="202" t="s">
        <v>539</v>
      </c>
      <c r="AH909" s="202">
        <v>1</v>
      </c>
      <c r="AI909" s="202">
        <v>2</v>
      </c>
      <c r="AJ909" s="85"/>
      <c r="AK909" s="85"/>
      <c r="AM909" s="3"/>
    </row>
    <row r="910" spans="1:39" s="2" customFormat="1" ht="14.5" x14ac:dyDescent="0.35">
      <c r="K910" s="30" t="s">
        <v>843</v>
      </c>
      <c r="L910" s="40"/>
      <c r="M910" s="40"/>
      <c r="N910" s="40" t="s">
        <v>122</v>
      </c>
      <c r="O910" s="2" t="s">
        <v>1035</v>
      </c>
      <c r="Q910" s="2" t="s">
        <v>1242</v>
      </c>
      <c r="S910" s="1" t="s">
        <v>839</v>
      </c>
      <c r="T910" s="1" t="s">
        <v>88</v>
      </c>
      <c r="U910" s="1"/>
      <c r="W910" s="13" t="s">
        <v>1238</v>
      </c>
      <c r="X910" s="18">
        <v>0</v>
      </c>
      <c r="Y910" s="1"/>
      <c r="Z910" s="201"/>
      <c r="AA910" s="201"/>
      <c r="AB910" s="1"/>
      <c r="AC910" s="1"/>
      <c r="AD910" s="1"/>
      <c r="AE910" s="1"/>
      <c r="AF910" s="1"/>
      <c r="AG910" s="202" t="s">
        <v>539</v>
      </c>
      <c r="AH910" s="202">
        <v>3</v>
      </c>
      <c r="AI910" s="202">
        <v>6</v>
      </c>
      <c r="AJ910" s="85"/>
      <c r="AK910" s="85"/>
      <c r="AL910" s="1"/>
    </row>
    <row r="911" spans="1:39" s="2" customFormat="1" ht="14.5" x14ac:dyDescent="0.35">
      <c r="K911" s="30" t="s">
        <v>843</v>
      </c>
      <c r="L911" s="40"/>
      <c r="M911" s="40"/>
      <c r="N911" s="40" t="s">
        <v>122</v>
      </c>
      <c r="O911" s="2" t="s">
        <v>1035</v>
      </c>
      <c r="Q911" s="2" t="s">
        <v>1241</v>
      </c>
      <c r="S911" s="1" t="s">
        <v>839</v>
      </c>
      <c r="T911" s="1" t="s">
        <v>92</v>
      </c>
      <c r="U911" s="1"/>
      <c r="W911" s="13" t="s">
        <v>1238</v>
      </c>
      <c r="X911" s="18">
        <v>0</v>
      </c>
      <c r="Y911" s="1"/>
      <c r="Z911" s="201"/>
      <c r="AA911" s="201"/>
      <c r="AB911" s="1"/>
      <c r="AC911" s="1"/>
      <c r="AD911" s="1"/>
      <c r="AE911" s="1"/>
      <c r="AF911" s="1"/>
      <c r="AG911" s="202" t="s">
        <v>539</v>
      </c>
      <c r="AH911" s="202">
        <v>5</v>
      </c>
      <c r="AI911" s="202">
        <v>6</v>
      </c>
      <c r="AJ911" s="85"/>
      <c r="AK911" s="85"/>
      <c r="AL911" s="1"/>
    </row>
    <row r="912" spans="1:39" s="2" customFormat="1" ht="14.5" x14ac:dyDescent="0.35">
      <c r="K912" s="30" t="s">
        <v>843</v>
      </c>
      <c r="L912" s="40"/>
      <c r="M912" s="40"/>
      <c r="N912" s="40" t="s">
        <v>122</v>
      </c>
      <c r="O912" s="2" t="s">
        <v>1035</v>
      </c>
      <c r="Q912" s="2" t="s">
        <v>1240</v>
      </c>
      <c r="S912" s="1" t="s">
        <v>839</v>
      </c>
      <c r="T912" s="1" t="s">
        <v>1239</v>
      </c>
      <c r="U912" s="1"/>
      <c r="W912" s="13" t="s">
        <v>1238</v>
      </c>
      <c r="X912" s="18">
        <v>0</v>
      </c>
      <c r="Y912" s="1"/>
      <c r="Z912" s="201"/>
      <c r="AA912" s="201"/>
      <c r="AB912" s="1"/>
      <c r="AC912" s="1"/>
      <c r="AD912" s="1"/>
      <c r="AE912" s="1"/>
      <c r="AF912" s="1"/>
      <c r="AG912" s="202" t="s">
        <v>539</v>
      </c>
      <c r="AH912" s="202">
        <v>7</v>
      </c>
      <c r="AI912" s="202">
        <v>8</v>
      </c>
      <c r="AJ912" s="85"/>
      <c r="AK912" s="85"/>
      <c r="AL912" s="1"/>
    </row>
    <row r="913" spans="1:39" s="2" customFormat="1" ht="14.5" x14ac:dyDescent="0.35">
      <c r="K913" s="30" t="s">
        <v>843</v>
      </c>
      <c r="L913" s="40"/>
      <c r="M913" s="40"/>
      <c r="N913" s="40"/>
      <c r="Q913" s="2" t="s">
        <v>1060</v>
      </c>
      <c r="S913" s="1"/>
      <c r="T913" s="1" t="s">
        <v>17</v>
      </c>
      <c r="U913" s="1"/>
      <c r="W913" s="13" t="s">
        <v>303</v>
      </c>
      <c r="X913" s="18">
        <v>0</v>
      </c>
      <c r="Y913" s="1"/>
      <c r="Z913" s="201"/>
      <c r="AA913" s="201"/>
      <c r="AB913" s="1"/>
      <c r="AC913" s="1"/>
      <c r="AD913" s="1"/>
      <c r="AE913" s="1"/>
      <c r="AF913" s="1"/>
      <c r="AG913" s="202" t="s">
        <v>539</v>
      </c>
      <c r="AH913" s="202">
        <v>9</v>
      </c>
      <c r="AI913" s="202">
        <v>10</v>
      </c>
      <c r="AJ913" s="202">
        <v>11</v>
      </c>
      <c r="AK913" s="202">
        <v>12</v>
      </c>
      <c r="AL913" s="1"/>
    </row>
    <row r="914" spans="1:39" s="2" customFormat="1" ht="14.5" x14ac:dyDescent="0.35">
      <c r="K914" s="30" t="s">
        <v>843</v>
      </c>
      <c r="L914" s="40"/>
      <c r="M914" s="40"/>
      <c r="N914" s="40" t="s">
        <v>1237</v>
      </c>
      <c r="O914" s="2" t="s">
        <v>1035</v>
      </c>
      <c r="P914" s="40" t="s">
        <v>1236</v>
      </c>
      <c r="Q914" s="2" t="s">
        <v>1028</v>
      </c>
      <c r="S914" s="1" t="s">
        <v>839</v>
      </c>
      <c r="T914" s="1" t="s">
        <v>101</v>
      </c>
      <c r="U914" s="1"/>
      <c r="W914" s="1" t="s">
        <v>36</v>
      </c>
      <c r="X914" s="18">
        <v>1</v>
      </c>
      <c r="Y914" s="1"/>
      <c r="Z914" s="201"/>
      <c r="AA914" s="201"/>
      <c r="AB914" s="1"/>
      <c r="AC914" s="1"/>
      <c r="AD914" s="1"/>
      <c r="AE914" s="1"/>
      <c r="AF914" s="1"/>
      <c r="AG914" s="202" t="s">
        <v>539</v>
      </c>
      <c r="AH914" s="202">
        <v>13</v>
      </c>
      <c r="AI914" s="202">
        <v>14</v>
      </c>
      <c r="AJ914" s="202">
        <v>15</v>
      </c>
      <c r="AK914" s="202">
        <v>16</v>
      </c>
      <c r="AL914" s="1"/>
    </row>
    <row r="915" spans="1:39" s="2" customFormat="1" ht="15" thickBot="1" x14ac:dyDescent="0.4">
      <c r="K915" s="30"/>
      <c r="L915" s="40"/>
      <c r="M915" s="40"/>
      <c r="N915" s="40"/>
      <c r="P915" s="40"/>
      <c r="Q915" s="2" t="s">
        <v>302</v>
      </c>
      <c r="S915" s="1"/>
      <c r="T915" s="1"/>
      <c r="U915" s="1"/>
      <c r="W915" s="1"/>
      <c r="X915" s="18"/>
      <c r="Y915" s="1"/>
      <c r="Z915" s="201"/>
      <c r="AA915" s="201"/>
      <c r="AB915" s="1"/>
      <c r="AC915" s="1"/>
      <c r="AD915" s="1"/>
      <c r="AE915" s="1"/>
      <c r="AF915" s="1"/>
      <c r="AG915" s="202" t="s">
        <v>539</v>
      </c>
      <c r="AH915" s="202">
        <v>17</v>
      </c>
      <c r="AI915" s="202">
        <v>18</v>
      </c>
      <c r="AJ915" s="202">
        <v>19</v>
      </c>
      <c r="AK915" s="202">
        <v>20</v>
      </c>
      <c r="AL915" s="1"/>
    </row>
    <row r="916" spans="1:39" s="2" customFormat="1" ht="15" thickBot="1" x14ac:dyDescent="0.4">
      <c r="I916" s="74"/>
      <c r="J916" s="73"/>
      <c r="K916" s="2" t="s">
        <v>117</v>
      </c>
      <c r="L916" s="40" t="s">
        <v>1032</v>
      </c>
      <c r="M916" s="40">
        <v>1</v>
      </c>
      <c r="N916" s="40" t="s">
        <v>1235</v>
      </c>
      <c r="O916" s="2" t="s">
        <v>1234</v>
      </c>
      <c r="P916" s="40" t="s">
        <v>1224</v>
      </c>
      <c r="Q916" s="2" t="s">
        <v>1233</v>
      </c>
      <c r="S916" s="1" t="s">
        <v>510</v>
      </c>
      <c r="T916" s="1" t="s">
        <v>17</v>
      </c>
      <c r="U916" s="1"/>
      <c r="W916" s="13" t="s">
        <v>1222</v>
      </c>
      <c r="X916" s="18">
        <v>0</v>
      </c>
      <c r="Y916" s="1"/>
      <c r="Z916" s="201"/>
      <c r="AA916" s="201"/>
      <c r="AB916" s="1"/>
      <c r="AC916" s="1"/>
      <c r="AD916" s="1"/>
      <c r="AE916" s="1"/>
      <c r="AF916" s="1"/>
      <c r="AG916" s="202" t="s">
        <v>539</v>
      </c>
      <c r="AH916" s="202">
        <v>21</v>
      </c>
      <c r="AI916" s="202">
        <v>22</v>
      </c>
      <c r="AJ916" s="202">
        <v>23</v>
      </c>
      <c r="AK916" s="202">
        <v>24</v>
      </c>
      <c r="AL916" s="1"/>
    </row>
    <row r="917" spans="1:39" s="2" customFormat="1" ht="15" thickBot="1" x14ac:dyDescent="0.4">
      <c r="I917" s="74"/>
      <c r="J917" s="73"/>
      <c r="K917" s="2" t="s">
        <v>117</v>
      </c>
      <c r="L917" s="40" t="s">
        <v>1032</v>
      </c>
      <c r="M917" s="40">
        <v>1</v>
      </c>
      <c r="N917" s="40" t="s">
        <v>1232</v>
      </c>
      <c r="O917" s="2" t="s">
        <v>1231</v>
      </c>
      <c r="P917" s="40" t="s">
        <v>1224</v>
      </c>
      <c r="Q917" s="2" t="s">
        <v>1230</v>
      </c>
      <c r="S917" s="1" t="s">
        <v>1045</v>
      </c>
      <c r="T917" s="1" t="s">
        <v>17</v>
      </c>
      <c r="U917" s="1"/>
      <c r="W917" s="13" t="s">
        <v>1222</v>
      </c>
      <c r="X917" s="18">
        <v>0</v>
      </c>
      <c r="Y917" s="1"/>
      <c r="Z917" s="201"/>
      <c r="AA917" s="201"/>
      <c r="AB917" s="1"/>
      <c r="AC917" s="1"/>
      <c r="AD917" s="1"/>
      <c r="AE917" s="1"/>
      <c r="AF917" s="1"/>
      <c r="AG917" s="202" t="s">
        <v>539</v>
      </c>
      <c r="AH917" s="202">
        <v>25</v>
      </c>
      <c r="AI917" s="202">
        <v>26</v>
      </c>
      <c r="AJ917" s="202">
        <v>27</v>
      </c>
      <c r="AK917" s="202">
        <v>28</v>
      </c>
      <c r="AL917" s="1"/>
    </row>
    <row r="918" spans="1:39" s="2" customFormat="1" ht="15" thickBot="1" x14ac:dyDescent="0.4">
      <c r="I918" s="74"/>
      <c r="J918" s="73"/>
      <c r="K918" s="2" t="s">
        <v>117</v>
      </c>
      <c r="L918" s="40" t="s">
        <v>1032</v>
      </c>
      <c r="M918" s="40">
        <v>1</v>
      </c>
      <c r="N918" s="40" t="s">
        <v>1229</v>
      </c>
      <c r="O918" s="2" t="s">
        <v>1228</v>
      </c>
      <c r="P918" s="40" t="s">
        <v>1224</v>
      </c>
      <c r="Q918" s="2" t="s">
        <v>1227</v>
      </c>
      <c r="S918" s="1" t="s">
        <v>1041</v>
      </c>
      <c r="T918" s="1" t="s">
        <v>17</v>
      </c>
      <c r="U918" s="1"/>
      <c r="W918" s="13" t="s">
        <v>1222</v>
      </c>
      <c r="X918" s="18">
        <v>0</v>
      </c>
      <c r="Y918" s="1"/>
      <c r="Z918" s="201"/>
      <c r="AA918" s="201"/>
      <c r="AB918" s="1"/>
      <c r="AC918" s="1"/>
      <c r="AD918" s="1"/>
      <c r="AE918" s="1"/>
      <c r="AF918" s="1"/>
      <c r="AG918" s="202" t="s">
        <v>539</v>
      </c>
      <c r="AH918" s="202">
        <v>29</v>
      </c>
      <c r="AI918" s="202">
        <v>30</v>
      </c>
      <c r="AJ918" s="202">
        <v>31</v>
      </c>
      <c r="AK918" s="202">
        <v>32</v>
      </c>
      <c r="AL918" s="1"/>
    </row>
    <row r="919" spans="1:39" s="2" customFormat="1" ht="15" thickBot="1" x14ac:dyDescent="0.4">
      <c r="I919" s="74"/>
      <c r="J919" s="73"/>
      <c r="K919" s="2" t="s">
        <v>117</v>
      </c>
      <c r="L919" s="40" t="s">
        <v>1032</v>
      </c>
      <c r="M919" s="40">
        <v>1</v>
      </c>
      <c r="N919" s="40" t="s">
        <v>1226</v>
      </c>
      <c r="O919" s="2" t="s">
        <v>1225</v>
      </c>
      <c r="P919" s="40" t="s">
        <v>1224</v>
      </c>
      <c r="Q919" s="2" t="s">
        <v>1223</v>
      </c>
      <c r="S919" s="1" t="s">
        <v>1037</v>
      </c>
      <c r="T919" s="1" t="s">
        <v>17</v>
      </c>
      <c r="U919" s="1"/>
      <c r="W919" s="13" t="s">
        <v>1222</v>
      </c>
      <c r="X919" s="18">
        <v>0</v>
      </c>
      <c r="Y919" s="1"/>
      <c r="Z919" s="201"/>
      <c r="AA919" s="201"/>
      <c r="AB919" s="1"/>
      <c r="AC919" s="1"/>
      <c r="AD919" s="1"/>
      <c r="AE919" s="1"/>
      <c r="AF919" s="1"/>
      <c r="AG919" s="202" t="s">
        <v>539</v>
      </c>
      <c r="AH919" s="202">
        <v>33</v>
      </c>
      <c r="AI919" s="202">
        <v>34</v>
      </c>
      <c r="AJ919" s="202">
        <v>35</v>
      </c>
      <c r="AK919" s="202">
        <v>36</v>
      </c>
      <c r="AL919" s="1"/>
    </row>
    <row r="920" spans="1:39" s="2" customFormat="1" ht="14.5" x14ac:dyDescent="0.35">
      <c r="Q920" s="2" t="s">
        <v>302</v>
      </c>
      <c r="S920" s="1"/>
      <c r="T920" s="1"/>
      <c r="U920" s="1"/>
      <c r="W920" s="1"/>
      <c r="X920" s="18"/>
      <c r="Y920" s="1"/>
      <c r="Z920" s="201"/>
      <c r="AA920" s="201"/>
      <c r="AB920" s="1"/>
      <c r="AC920" s="1"/>
      <c r="AD920" s="1"/>
      <c r="AE920" s="1"/>
      <c r="AF920" s="1"/>
      <c r="AG920" s="202" t="s">
        <v>539</v>
      </c>
      <c r="AH920" s="202">
        <v>37</v>
      </c>
      <c r="AI920" s="202">
        <v>38</v>
      </c>
      <c r="AJ920" s="202">
        <v>39</v>
      </c>
      <c r="AK920" s="202">
        <v>40</v>
      </c>
      <c r="AL920" s="1"/>
    </row>
    <row r="921" spans="1:39" ht="14.5" x14ac:dyDescent="0.35">
      <c r="O921" s="41"/>
      <c r="P921" s="41"/>
      <c r="Q921" s="41" t="s">
        <v>302</v>
      </c>
      <c r="R921" s="41"/>
      <c r="S921" s="41"/>
      <c r="T921" s="41"/>
      <c r="AG921" s="202" t="s">
        <v>539</v>
      </c>
      <c r="AH921" s="202">
        <v>41</v>
      </c>
      <c r="AI921" s="202">
        <v>42</v>
      </c>
      <c r="AJ921" s="202">
        <v>43</v>
      </c>
      <c r="AK921" s="202">
        <v>44</v>
      </c>
      <c r="AM921" s="3"/>
    </row>
    <row r="922" spans="1:39" ht="14.5" x14ac:dyDescent="0.35">
      <c r="O922" s="41"/>
      <c r="P922" s="41"/>
      <c r="Q922" s="41" t="s">
        <v>302</v>
      </c>
      <c r="R922" s="41"/>
      <c r="S922" s="41"/>
      <c r="T922" s="41"/>
      <c r="AG922" s="202" t="s">
        <v>539</v>
      </c>
      <c r="AH922" s="202">
        <v>45</v>
      </c>
      <c r="AI922" s="202">
        <v>46</v>
      </c>
      <c r="AJ922" s="202">
        <v>47</v>
      </c>
      <c r="AK922" s="202">
        <v>48</v>
      </c>
      <c r="AM922" s="3"/>
    </row>
    <row r="923" spans="1:39" x14ac:dyDescent="0.3">
      <c r="O923" s="41"/>
      <c r="P923" s="41"/>
      <c r="Q923" s="41"/>
      <c r="R923" s="41"/>
      <c r="S923" s="41"/>
      <c r="T923" s="41"/>
      <c r="AM923" s="3"/>
    </row>
    <row r="924" spans="1:39" ht="15.5" x14ac:dyDescent="0.35">
      <c r="A924" s="228"/>
      <c r="B924" s="53" t="s">
        <v>1221</v>
      </c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226"/>
      <c r="T924" s="226"/>
      <c r="U924" s="226"/>
      <c r="V924" s="71"/>
      <c r="W924" s="226"/>
      <c r="X924" s="227"/>
      <c r="Y924" s="226"/>
      <c r="Z924" s="225"/>
      <c r="AA924" s="225"/>
      <c r="AB924" s="7"/>
      <c r="AC924" s="7"/>
      <c r="AD924" s="7"/>
      <c r="AE924" s="7"/>
      <c r="AF924" s="7"/>
      <c r="AM924" s="50"/>
    </row>
    <row r="925" spans="1:39" s="2" customFormat="1" thickBot="1" x14ac:dyDescent="0.3">
      <c r="S925" s="1"/>
      <c r="T925" s="1"/>
      <c r="U925" s="1"/>
      <c r="W925" s="1"/>
      <c r="X925" s="18"/>
      <c r="Y925" s="1"/>
      <c r="Z925" s="201"/>
      <c r="AA925" s="20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9" ht="13.5" thickBot="1" x14ac:dyDescent="0.35">
      <c r="A926" s="31" t="s">
        <v>1220</v>
      </c>
      <c r="B926" s="1" t="s">
        <v>1061</v>
      </c>
      <c r="C926" s="2" t="s">
        <v>459</v>
      </c>
      <c r="D926" s="2">
        <v>130</v>
      </c>
      <c r="E926" s="3">
        <v>2</v>
      </c>
      <c r="F926" s="3">
        <v>9</v>
      </c>
      <c r="G926" s="3">
        <v>0</v>
      </c>
      <c r="H926" s="62"/>
      <c r="I926" s="263"/>
      <c r="J926" s="264"/>
      <c r="K926" s="2"/>
      <c r="L926" s="6"/>
      <c r="M926" s="6"/>
      <c r="N926" s="6"/>
      <c r="O926" s="6"/>
      <c r="P926" s="6"/>
      <c r="Q926" s="6"/>
      <c r="R926" s="6"/>
      <c r="V926" s="6"/>
      <c r="Y926" s="7"/>
      <c r="Z926" s="206"/>
      <c r="AA926" s="206"/>
      <c r="AB926" s="7"/>
      <c r="AC926" s="7"/>
      <c r="AD926" s="7"/>
      <c r="AE926" s="7"/>
      <c r="AF926" s="7"/>
    </row>
    <row r="927" spans="1:39" ht="13.5" thickBot="1" x14ac:dyDescent="0.35">
      <c r="A927" s="76" t="s">
        <v>17</v>
      </c>
      <c r="B927" s="1" t="s">
        <v>1061</v>
      </c>
      <c r="C927" s="2" t="str">
        <f t="shared" ref="C927:C958" si="217">+C926</f>
        <v>DIO1</v>
      </c>
      <c r="D927" s="2">
        <v>130</v>
      </c>
      <c r="E927" s="3">
        <f t="shared" ref="E927:E958" si="218">+E926</f>
        <v>2</v>
      </c>
      <c r="F927" s="3">
        <f t="shared" ref="F927:F958" si="219">+F926</f>
        <v>9</v>
      </c>
      <c r="G927" s="3">
        <v>0</v>
      </c>
      <c r="H927" s="6"/>
      <c r="I927" s="263" t="s">
        <v>458</v>
      </c>
      <c r="J927" s="265"/>
      <c r="K927" s="39" t="s">
        <v>457</v>
      </c>
      <c r="L927" s="6"/>
      <c r="M927" s="6"/>
      <c r="N927" s="6"/>
      <c r="O927" s="6"/>
      <c r="P927" s="6"/>
      <c r="Q927" s="6"/>
      <c r="R927" s="6"/>
      <c r="V927" s="6"/>
      <c r="Y927" s="7"/>
      <c r="Z927" s="206"/>
      <c r="AA927" s="206"/>
      <c r="AB927" s="7"/>
      <c r="AC927" s="7"/>
      <c r="AD927" s="7"/>
      <c r="AE927" s="7"/>
      <c r="AF927" s="7"/>
    </row>
    <row r="928" spans="1:39" ht="13.5" thickBot="1" x14ac:dyDescent="0.35">
      <c r="A928" s="76" t="s">
        <v>17</v>
      </c>
      <c r="B928" s="1" t="s">
        <v>1061</v>
      </c>
      <c r="C928" s="2" t="str">
        <f t="shared" si="217"/>
        <v>DIO1</v>
      </c>
      <c r="D928" s="2">
        <v>130</v>
      </c>
      <c r="E928" s="3">
        <f t="shared" si="218"/>
        <v>2</v>
      </c>
      <c r="F928" s="3">
        <f t="shared" si="219"/>
        <v>9</v>
      </c>
      <c r="G928" s="3">
        <v>0</v>
      </c>
      <c r="H928" s="6"/>
      <c r="I928" s="263" t="s">
        <v>456</v>
      </c>
      <c r="J928" s="265"/>
      <c r="K928" s="2" t="s">
        <v>455</v>
      </c>
      <c r="L928" s="6"/>
      <c r="M928" s="70" t="s">
        <v>454</v>
      </c>
      <c r="N928" s="70"/>
      <c r="O928" s="70" t="s">
        <v>453</v>
      </c>
      <c r="P928" s="70"/>
      <c r="Q928" s="70" t="s">
        <v>452</v>
      </c>
      <c r="R928" s="6"/>
      <c r="V928" s="6"/>
      <c r="Y928" s="7"/>
      <c r="Z928" s="206"/>
      <c r="AA928" s="206"/>
      <c r="AB928" s="7"/>
      <c r="AC928" s="7"/>
      <c r="AD928" s="7"/>
      <c r="AE928" s="7"/>
      <c r="AF928" s="7"/>
    </row>
    <row r="929" spans="1:39" ht="13.5" thickBot="1" x14ac:dyDescent="0.35">
      <c r="A929" s="76" t="s">
        <v>17</v>
      </c>
      <c r="B929" s="1" t="s">
        <v>1061</v>
      </c>
      <c r="C929" s="2" t="str">
        <f t="shared" si="217"/>
        <v>DIO1</v>
      </c>
      <c r="D929" s="2">
        <v>130</v>
      </c>
      <c r="E929" s="3">
        <f t="shared" si="218"/>
        <v>2</v>
      </c>
      <c r="F929" s="3">
        <f t="shared" si="219"/>
        <v>9</v>
      </c>
      <c r="G929" s="3">
        <v>0</v>
      </c>
      <c r="H929" s="27">
        <v>0</v>
      </c>
      <c r="I929" s="263" t="s">
        <v>451</v>
      </c>
      <c r="J929" s="264"/>
      <c r="K929" s="2" t="s">
        <v>450</v>
      </c>
      <c r="L929" s="14" t="s">
        <v>1020</v>
      </c>
      <c r="M929" s="70">
        <f>+COUNTA(L930:L1081)</f>
        <v>136</v>
      </c>
      <c r="N929" s="70"/>
      <c r="O929" s="70">
        <f>+COUNTBLANK(O930:O1081)</f>
        <v>76</v>
      </c>
      <c r="P929" s="70"/>
      <c r="Q929" s="69">
        <f>+O929/M929</f>
        <v>0.55882352941176472</v>
      </c>
      <c r="Y929" s="7"/>
      <c r="Z929" s="206"/>
      <c r="AA929" s="206"/>
      <c r="AB929" s="7"/>
      <c r="AC929" s="7"/>
      <c r="AD929" s="7"/>
      <c r="AE929" s="7"/>
      <c r="AF929" s="7"/>
    </row>
    <row r="930" spans="1:39" x14ac:dyDescent="0.3">
      <c r="A930" s="76" t="s">
        <v>17</v>
      </c>
      <c r="B930" s="1" t="s">
        <v>1061</v>
      </c>
      <c r="C930" s="2" t="str">
        <f t="shared" si="217"/>
        <v>DIO1</v>
      </c>
      <c r="D930" s="2">
        <v>130</v>
      </c>
      <c r="E930" s="3">
        <f t="shared" si="218"/>
        <v>2</v>
      </c>
      <c r="F930" s="3">
        <f t="shared" si="219"/>
        <v>9</v>
      </c>
      <c r="G930" s="3">
        <v>0</v>
      </c>
      <c r="H930" s="62">
        <v>1</v>
      </c>
      <c r="I930" s="56">
        <v>0</v>
      </c>
      <c r="J930" s="222" t="s">
        <v>316</v>
      </c>
      <c r="K930" s="233" t="s">
        <v>315</v>
      </c>
      <c r="L930" s="1" t="s">
        <v>21</v>
      </c>
      <c r="M930" s="2">
        <v>4</v>
      </c>
      <c r="N930" s="1" t="s">
        <v>306</v>
      </c>
      <c r="O930" s="1" t="s">
        <v>72</v>
      </c>
      <c r="Q930" s="1" t="s">
        <v>950</v>
      </c>
      <c r="R930" s="1" t="s">
        <v>24</v>
      </c>
      <c r="S930" s="13" t="s">
        <v>1219</v>
      </c>
      <c r="T930" s="1" t="s">
        <v>306</v>
      </c>
      <c r="V930" s="1" t="str">
        <f t="shared" ref="V930:V961" si="220">+CONCATENATE(E930,".",F930,"\",G930,".",H930,":",I930)</f>
        <v>2.9\0.1:0</v>
      </c>
      <c r="W930" s="1" t="s">
        <v>1199</v>
      </c>
      <c r="X930" s="18">
        <v>0</v>
      </c>
      <c r="Y930" s="7"/>
      <c r="Z930" s="206" t="s">
        <v>1198</v>
      </c>
      <c r="AA930" s="206"/>
      <c r="AC930" s="7"/>
      <c r="AD930" s="7"/>
      <c r="AE930" s="7"/>
      <c r="AG930" s="3" t="s">
        <v>768</v>
      </c>
      <c r="AH930" s="3"/>
      <c r="AI930" s="3">
        <v>1</v>
      </c>
      <c r="AJ930" s="3"/>
      <c r="AM930" s="3"/>
    </row>
    <row r="931" spans="1:39" x14ac:dyDescent="0.3">
      <c r="A931" s="5" t="str">
        <f t="shared" ref="A931:A961" si="221">A930</f>
        <v>BCV130</v>
      </c>
      <c r="B931" s="1" t="s">
        <v>1061</v>
      </c>
      <c r="C931" s="2" t="str">
        <f t="shared" si="217"/>
        <v>DIO1</v>
      </c>
      <c r="D931" s="2">
        <v>130</v>
      </c>
      <c r="E931" s="3">
        <f t="shared" si="218"/>
        <v>2</v>
      </c>
      <c r="F931" s="3">
        <f t="shared" si="219"/>
        <v>9</v>
      </c>
      <c r="G931" s="3">
        <v>0</v>
      </c>
      <c r="H931" s="60">
        <f>H930</f>
        <v>1</v>
      </c>
      <c r="I931" s="54">
        <f t="shared" ref="I931:I961" si="222">+I930+1</f>
        <v>1</v>
      </c>
      <c r="J931" s="61"/>
      <c r="L931" s="1" t="s">
        <v>21</v>
      </c>
      <c r="M931" s="2">
        <v>4</v>
      </c>
      <c r="N931" s="1" t="s">
        <v>306</v>
      </c>
      <c r="O931" s="1" t="s">
        <v>320</v>
      </c>
      <c r="Q931" s="1" t="s">
        <v>1218</v>
      </c>
      <c r="R931" s="1" t="s">
        <v>18</v>
      </c>
      <c r="S931" s="13" t="s">
        <v>1217</v>
      </c>
      <c r="T931" s="1" t="s">
        <v>306</v>
      </c>
      <c r="V931" s="1" t="str">
        <f t="shared" si="220"/>
        <v>2.9\0.1:1</v>
      </c>
      <c r="W931" s="1" t="s">
        <v>1199</v>
      </c>
      <c r="X931" s="18">
        <v>0</v>
      </c>
      <c r="Y931" s="7"/>
      <c r="Z931" s="206" t="s">
        <v>1198</v>
      </c>
      <c r="AA931" s="206"/>
      <c r="AC931" s="7"/>
      <c r="AD931" s="7"/>
      <c r="AE931" s="7"/>
      <c r="AG931" s="3" t="s">
        <v>768</v>
      </c>
      <c r="AH931" s="3"/>
      <c r="AI931" s="3">
        <v>2</v>
      </c>
      <c r="AJ931" s="3"/>
      <c r="AM931" s="3"/>
    </row>
    <row r="932" spans="1:39" x14ac:dyDescent="0.3">
      <c r="A932" s="5" t="str">
        <f t="shared" si="221"/>
        <v>BCV130</v>
      </c>
      <c r="B932" s="1" t="s">
        <v>1061</v>
      </c>
      <c r="C932" s="2" t="str">
        <f t="shared" si="217"/>
        <v>DIO1</v>
      </c>
      <c r="D932" s="2">
        <v>130</v>
      </c>
      <c r="E932" s="3">
        <f t="shared" si="218"/>
        <v>2</v>
      </c>
      <c r="F932" s="3">
        <f t="shared" si="219"/>
        <v>9</v>
      </c>
      <c r="G932" s="3">
        <v>0</v>
      </c>
      <c r="H932" s="60">
        <f>H930</f>
        <v>1</v>
      </c>
      <c r="I932" s="54">
        <f t="shared" si="222"/>
        <v>2</v>
      </c>
      <c r="J932" s="61"/>
      <c r="K932" s="30"/>
      <c r="L932" s="1" t="s">
        <v>21</v>
      </c>
      <c r="M932" s="2">
        <v>4</v>
      </c>
      <c r="N932" s="1" t="s">
        <v>306</v>
      </c>
      <c r="O932" s="1" t="s">
        <v>350</v>
      </c>
      <c r="Q932" s="1" t="s">
        <v>1216</v>
      </c>
      <c r="R932" s="1" t="s">
        <v>18</v>
      </c>
      <c r="S932" s="13" t="s">
        <v>1215</v>
      </c>
      <c r="T932" s="1" t="s">
        <v>306</v>
      </c>
      <c r="V932" s="1" t="str">
        <f t="shared" si="220"/>
        <v>2.9\0.1:2</v>
      </c>
      <c r="W932" s="1" t="s">
        <v>1199</v>
      </c>
      <c r="X932" s="18">
        <v>0</v>
      </c>
      <c r="Y932" s="7"/>
      <c r="Z932" s="206" t="s">
        <v>1198</v>
      </c>
      <c r="AA932" s="206"/>
      <c r="AC932" s="7"/>
      <c r="AD932" s="7"/>
      <c r="AE932" s="7"/>
      <c r="AG932" s="3" t="s">
        <v>768</v>
      </c>
      <c r="AH932" s="3"/>
      <c r="AI932" s="3">
        <v>3</v>
      </c>
      <c r="AJ932" s="3"/>
      <c r="AM932" s="3"/>
    </row>
    <row r="933" spans="1:39" x14ac:dyDescent="0.3">
      <c r="A933" s="5" t="str">
        <f t="shared" si="221"/>
        <v>BCV130</v>
      </c>
      <c r="B933" s="1" t="s">
        <v>1061</v>
      </c>
      <c r="C933" s="2" t="str">
        <f t="shared" si="217"/>
        <v>DIO1</v>
      </c>
      <c r="D933" s="2">
        <v>130</v>
      </c>
      <c r="E933" s="3">
        <f t="shared" si="218"/>
        <v>2</v>
      </c>
      <c r="F933" s="3">
        <f t="shared" si="219"/>
        <v>9</v>
      </c>
      <c r="G933" s="3">
        <v>0</v>
      </c>
      <c r="H933" s="60">
        <f t="shared" ref="H933:H944" si="223">H930</f>
        <v>1</v>
      </c>
      <c r="I933" s="54">
        <f t="shared" si="222"/>
        <v>3</v>
      </c>
      <c r="J933" s="61"/>
      <c r="K933" s="30"/>
      <c r="L933" s="1" t="s">
        <v>21</v>
      </c>
      <c r="M933" s="2">
        <v>4</v>
      </c>
      <c r="N933" s="1" t="s">
        <v>306</v>
      </c>
      <c r="O933" s="1" t="s">
        <v>348</v>
      </c>
      <c r="Q933" s="1" t="s">
        <v>1214</v>
      </c>
      <c r="R933" s="1" t="s">
        <v>18</v>
      </c>
      <c r="S933" s="13" t="s">
        <v>1213</v>
      </c>
      <c r="T933" s="1" t="s">
        <v>306</v>
      </c>
      <c r="V933" s="1" t="str">
        <f t="shared" si="220"/>
        <v>2.9\0.1:3</v>
      </c>
      <c r="W933" s="1" t="s">
        <v>1199</v>
      </c>
      <c r="X933" s="18">
        <v>0</v>
      </c>
      <c r="Y933" s="7"/>
      <c r="Z933" s="206" t="s">
        <v>1198</v>
      </c>
      <c r="AA933" s="206"/>
      <c r="AC933" s="7"/>
      <c r="AD933" s="7"/>
      <c r="AE933" s="7"/>
      <c r="AG933" s="3" t="s">
        <v>768</v>
      </c>
      <c r="AH933" s="3"/>
      <c r="AI933" s="3">
        <v>4</v>
      </c>
      <c r="AJ933" s="3"/>
      <c r="AM933" s="3"/>
    </row>
    <row r="934" spans="1:39" x14ac:dyDescent="0.3">
      <c r="A934" s="5" t="str">
        <f t="shared" si="221"/>
        <v>BCV130</v>
      </c>
      <c r="B934" s="1" t="s">
        <v>1061</v>
      </c>
      <c r="C934" s="2" t="str">
        <f t="shared" si="217"/>
        <v>DIO1</v>
      </c>
      <c r="D934" s="2">
        <v>130</v>
      </c>
      <c r="E934" s="3">
        <f t="shared" si="218"/>
        <v>2</v>
      </c>
      <c r="F934" s="3">
        <f t="shared" si="219"/>
        <v>9</v>
      </c>
      <c r="G934" s="3">
        <v>0</v>
      </c>
      <c r="H934" s="60">
        <f t="shared" si="223"/>
        <v>1</v>
      </c>
      <c r="I934" s="54">
        <f t="shared" si="222"/>
        <v>4</v>
      </c>
      <c r="J934" s="61"/>
      <c r="K934" s="30"/>
      <c r="L934" s="1" t="s">
        <v>21</v>
      </c>
      <c r="M934" s="2">
        <v>4</v>
      </c>
      <c r="N934" s="1" t="s">
        <v>306</v>
      </c>
      <c r="O934" s="1" t="s">
        <v>345</v>
      </c>
      <c r="Q934" s="1" t="s">
        <v>1212</v>
      </c>
      <c r="R934" s="1" t="s">
        <v>18</v>
      </c>
      <c r="S934" s="13" t="s">
        <v>1211</v>
      </c>
      <c r="T934" s="1" t="s">
        <v>306</v>
      </c>
      <c r="V934" s="1" t="str">
        <f t="shared" si="220"/>
        <v>2.9\0.1:4</v>
      </c>
      <c r="W934" s="1" t="s">
        <v>1199</v>
      </c>
      <c r="X934" s="18">
        <v>0</v>
      </c>
      <c r="Y934" s="7"/>
      <c r="Z934" s="206" t="s">
        <v>1198</v>
      </c>
      <c r="AA934" s="206"/>
      <c r="AC934" s="7"/>
      <c r="AD934" s="7"/>
      <c r="AE934" s="7"/>
      <c r="AG934" s="3" t="s">
        <v>768</v>
      </c>
      <c r="AH934" s="3"/>
      <c r="AI934" s="3">
        <v>5</v>
      </c>
      <c r="AJ934" s="3"/>
      <c r="AM934" s="3"/>
    </row>
    <row r="935" spans="1:39" x14ac:dyDescent="0.3">
      <c r="A935" s="5" t="str">
        <f t="shared" si="221"/>
        <v>BCV130</v>
      </c>
      <c r="B935" s="1" t="s">
        <v>1061</v>
      </c>
      <c r="C935" s="2" t="str">
        <f t="shared" si="217"/>
        <v>DIO1</v>
      </c>
      <c r="D935" s="2">
        <v>130</v>
      </c>
      <c r="E935" s="3">
        <f t="shared" si="218"/>
        <v>2</v>
      </c>
      <c r="F935" s="3">
        <f t="shared" si="219"/>
        <v>9</v>
      </c>
      <c r="G935" s="3">
        <v>0</v>
      </c>
      <c r="H935" s="60">
        <f t="shared" si="223"/>
        <v>1</v>
      </c>
      <c r="I935" s="54">
        <f t="shared" si="222"/>
        <v>5</v>
      </c>
      <c r="J935" s="61"/>
      <c r="K935" s="30"/>
      <c r="L935" s="1" t="s">
        <v>21</v>
      </c>
      <c r="M935" s="2">
        <v>4</v>
      </c>
      <c r="N935" s="1" t="s">
        <v>306</v>
      </c>
      <c r="O935" s="1" t="s">
        <v>342</v>
      </c>
      <c r="P935" s="1" t="s">
        <v>1210</v>
      </c>
      <c r="Q935" s="1" t="s">
        <v>1210</v>
      </c>
      <c r="R935" s="1" t="s">
        <v>18</v>
      </c>
      <c r="S935" s="13" t="s">
        <v>1008</v>
      </c>
      <c r="T935" s="1" t="s">
        <v>306</v>
      </c>
      <c r="V935" s="1" t="str">
        <f t="shared" si="220"/>
        <v>2.9\0.1:5</v>
      </c>
      <c r="W935" s="1" t="s">
        <v>1199</v>
      </c>
      <c r="X935" s="18">
        <v>0</v>
      </c>
      <c r="Y935" s="7"/>
      <c r="Z935" s="206" t="s">
        <v>1198</v>
      </c>
      <c r="AA935" s="206"/>
      <c r="AC935" s="7"/>
      <c r="AD935" s="7"/>
      <c r="AE935" s="7"/>
      <c r="AG935" s="3" t="s">
        <v>768</v>
      </c>
      <c r="AH935" s="3"/>
      <c r="AI935" s="3">
        <v>6</v>
      </c>
      <c r="AJ935" s="3"/>
      <c r="AM935" s="3"/>
    </row>
    <row r="936" spans="1:39" x14ac:dyDescent="0.3">
      <c r="A936" s="5" t="str">
        <f t="shared" si="221"/>
        <v>BCV130</v>
      </c>
      <c r="B936" s="1" t="s">
        <v>1061</v>
      </c>
      <c r="C936" s="2" t="str">
        <f t="shared" si="217"/>
        <v>DIO1</v>
      </c>
      <c r="D936" s="2">
        <v>130</v>
      </c>
      <c r="E936" s="3">
        <f t="shared" si="218"/>
        <v>2</v>
      </c>
      <c r="F936" s="3">
        <f t="shared" si="219"/>
        <v>9</v>
      </c>
      <c r="G936" s="3">
        <v>0</v>
      </c>
      <c r="H936" s="60">
        <f t="shared" si="223"/>
        <v>1</v>
      </c>
      <c r="I936" s="54">
        <f t="shared" si="222"/>
        <v>6</v>
      </c>
      <c r="J936" s="61"/>
      <c r="K936" s="30"/>
      <c r="L936" s="1" t="s">
        <v>21</v>
      </c>
      <c r="M936" s="2">
        <v>4</v>
      </c>
      <c r="N936" s="1" t="s">
        <v>306</v>
      </c>
      <c r="O936" s="220" t="s">
        <v>339</v>
      </c>
      <c r="P936" s="220" t="s">
        <v>1209</v>
      </c>
      <c r="Q936" s="1" t="s">
        <v>1208</v>
      </c>
      <c r="R936" s="1" t="s">
        <v>18</v>
      </c>
      <c r="S936" s="13" t="s">
        <v>1207</v>
      </c>
      <c r="T936" s="1" t="s">
        <v>306</v>
      </c>
      <c r="V936" s="1" t="str">
        <f t="shared" si="220"/>
        <v>2.9\0.1:6</v>
      </c>
      <c r="W936" s="1" t="s">
        <v>1199</v>
      </c>
      <c r="X936" s="18">
        <v>0</v>
      </c>
      <c r="Y936" s="7"/>
      <c r="Z936" s="206" t="s">
        <v>1198</v>
      </c>
      <c r="AA936" s="206"/>
      <c r="AC936" s="7"/>
      <c r="AD936" s="7"/>
      <c r="AE936" s="7"/>
      <c r="AG936" s="3" t="s">
        <v>768</v>
      </c>
      <c r="AH936" s="3"/>
      <c r="AI936" s="3">
        <v>7</v>
      </c>
      <c r="AJ936" s="3"/>
      <c r="AM936" s="3"/>
    </row>
    <row r="937" spans="1:39" x14ac:dyDescent="0.3">
      <c r="A937" s="5" t="str">
        <f t="shared" si="221"/>
        <v>BCV130</v>
      </c>
      <c r="B937" s="1" t="s">
        <v>1061</v>
      </c>
      <c r="C937" s="2" t="str">
        <f t="shared" si="217"/>
        <v>DIO1</v>
      </c>
      <c r="D937" s="2">
        <v>130</v>
      </c>
      <c r="E937" s="3">
        <f t="shared" si="218"/>
        <v>2</v>
      </c>
      <c r="F937" s="3">
        <f t="shared" si="219"/>
        <v>9</v>
      </c>
      <c r="G937" s="3">
        <v>0</v>
      </c>
      <c r="H937" s="60">
        <f t="shared" si="223"/>
        <v>1</v>
      </c>
      <c r="I937" s="54">
        <f t="shared" si="222"/>
        <v>7</v>
      </c>
      <c r="J937" s="61"/>
      <c r="K937" s="30"/>
      <c r="L937" s="1" t="s">
        <v>21</v>
      </c>
      <c r="M937" s="2">
        <v>4</v>
      </c>
      <c r="N937" s="1" t="s">
        <v>306</v>
      </c>
      <c r="O937" s="220" t="s">
        <v>336</v>
      </c>
      <c r="P937" s="220" t="s">
        <v>1206</v>
      </c>
      <c r="Q937" s="1" t="s">
        <v>1206</v>
      </c>
      <c r="R937" s="1" t="s">
        <v>18</v>
      </c>
      <c r="S937" s="13" t="s">
        <v>661</v>
      </c>
      <c r="T937" s="1" t="s">
        <v>306</v>
      </c>
      <c r="V937" s="1" t="str">
        <f t="shared" si="220"/>
        <v>2.9\0.1:7</v>
      </c>
      <c r="W937" s="1" t="s">
        <v>1199</v>
      </c>
      <c r="X937" s="18">
        <v>0</v>
      </c>
      <c r="Y937" s="7"/>
      <c r="Z937" s="206" t="s">
        <v>1198</v>
      </c>
      <c r="AA937" s="206"/>
      <c r="AC937" s="7"/>
      <c r="AD937" s="7"/>
      <c r="AE937" s="7"/>
      <c r="AG937" s="3" t="s">
        <v>768</v>
      </c>
      <c r="AH937" s="3"/>
      <c r="AI937" s="3">
        <v>8</v>
      </c>
      <c r="AJ937" s="3"/>
      <c r="AM937" s="3"/>
    </row>
    <row r="938" spans="1:39" x14ac:dyDescent="0.3">
      <c r="A938" s="5" t="str">
        <f t="shared" si="221"/>
        <v>BCV130</v>
      </c>
      <c r="B938" s="1" t="s">
        <v>1061</v>
      </c>
      <c r="C938" s="2" t="str">
        <f t="shared" si="217"/>
        <v>DIO1</v>
      </c>
      <c r="D938" s="2">
        <v>130</v>
      </c>
      <c r="E938" s="3">
        <f t="shared" si="218"/>
        <v>2</v>
      </c>
      <c r="F938" s="3">
        <f t="shared" si="219"/>
        <v>9</v>
      </c>
      <c r="G938" s="3">
        <v>0</v>
      </c>
      <c r="H938" s="60">
        <f t="shared" si="223"/>
        <v>1</v>
      </c>
      <c r="I938" s="54">
        <f t="shared" si="222"/>
        <v>8</v>
      </c>
      <c r="J938" s="61"/>
      <c r="K938" s="30"/>
      <c r="L938" s="1" t="s">
        <v>21</v>
      </c>
      <c r="M938" s="2">
        <v>4</v>
      </c>
      <c r="N938" s="1" t="s">
        <v>306</v>
      </c>
      <c r="O938" s="1" t="s">
        <v>334</v>
      </c>
      <c r="P938" s="1" t="s">
        <v>1205</v>
      </c>
      <c r="Q938" s="1" t="s">
        <v>1205</v>
      </c>
      <c r="R938" s="1" t="s">
        <v>18</v>
      </c>
      <c r="S938" s="13" t="s">
        <v>1003</v>
      </c>
      <c r="T938" s="1" t="s">
        <v>306</v>
      </c>
      <c r="V938" s="1" t="str">
        <f t="shared" si="220"/>
        <v>2.9\0.1:8</v>
      </c>
      <c r="W938" s="1" t="s">
        <v>1199</v>
      </c>
      <c r="X938" s="18">
        <v>0</v>
      </c>
      <c r="Y938" s="7"/>
      <c r="Z938" s="206" t="s">
        <v>1198</v>
      </c>
      <c r="AA938" s="206"/>
      <c r="AC938" s="7"/>
      <c r="AD938" s="7"/>
      <c r="AE938" s="7"/>
      <c r="AG938" s="3" t="s">
        <v>768</v>
      </c>
      <c r="AH938" s="3"/>
      <c r="AI938" s="3">
        <v>9</v>
      </c>
      <c r="AJ938" s="3"/>
      <c r="AM938" s="3"/>
    </row>
    <row r="939" spans="1:39" x14ac:dyDescent="0.3">
      <c r="A939" s="5" t="str">
        <f t="shared" si="221"/>
        <v>BCV130</v>
      </c>
      <c r="B939" s="1" t="s">
        <v>1061</v>
      </c>
      <c r="C939" s="2" t="str">
        <f t="shared" si="217"/>
        <v>DIO1</v>
      </c>
      <c r="D939" s="2">
        <v>130</v>
      </c>
      <c r="E939" s="3">
        <f t="shared" si="218"/>
        <v>2</v>
      </c>
      <c r="F939" s="3">
        <f t="shared" si="219"/>
        <v>9</v>
      </c>
      <c r="G939" s="3">
        <v>0</v>
      </c>
      <c r="H939" s="60">
        <f t="shared" si="223"/>
        <v>1</v>
      </c>
      <c r="I939" s="54">
        <f t="shared" si="222"/>
        <v>9</v>
      </c>
      <c r="J939" s="61"/>
      <c r="K939" s="30"/>
      <c r="L939" s="1" t="s">
        <v>21</v>
      </c>
      <c r="M939" s="2">
        <v>4</v>
      </c>
      <c r="N939" s="1" t="s">
        <v>306</v>
      </c>
      <c r="O939" s="1" t="s">
        <v>332</v>
      </c>
      <c r="P939" s="1" t="s">
        <v>1204</v>
      </c>
      <c r="Q939" s="1" t="s">
        <v>1203</v>
      </c>
      <c r="R939" s="1" t="s">
        <v>18</v>
      </c>
      <c r="S939" s="13" t="s">
        <v>1202</v>
      </c>
      <c r="T939" s="1" t="s">
        <v>306</v>
      </c>
      <c r="V939" s="1" t="str">
        <f t="shared" si="220"/>
        <v>2.9\0.1:9</v>
      </c>
      <c r="W939" s="1" t="s">
        <v>1199</v>
      </c>
      <c r="X939" s="18">
        <v>0</v>
      </c>
      <c r="Y939" s="7"/>
      <c r="Z939" s="206" t="s">
        <v>1198</v>
      </c>
      <c r="AA939" s="206"/>
      <c r="AC939" s="7"/>
      <c r="AD939" s="7"/>
      <c r="AE939" s="7"/>
      <c r="AG939" s="3" t="s">
        <v>768</v>
      </c>
      <c r="AH939" s="3"/>
      <c r="AI939" s="3">
        <v>10</v>
      </c>
      <c r="AJ939" s="3"/>
      <c r="AM939" s="3"/>
    </row>
    <row r="940" spans="1:39" x14ac:dyDescent="0.3">
      <c r="A940" s="5" t="str">
        <f t="shared" si="221"/>
        <v>BCV130</v>
      </c>
      <c r="B940" s="1" t="s">
        <v>1061</v>
      </c>
      <c r="C940" s="2" t="str">
        <f t="shared" si="217"/>
        <v>DIO1</v>
      </c>
      <c r="D940" s="2">
        <v>130</v>
      </c>
      <c r="E940" s="3">
        <f t="shared" si="218"/>
        <v>2</v>
      </c>
      <c r="F940" s="3">
        <f t="shared" si="219"/>
        <v>9</v>
      </c>
      <c r="G940" s="3">
        <v>0</v>
      </c>
      <c r="H940" s="60">
        <f t="shared" si="223"/>
        <v>1</v>
      </c>
      <c r="I940" s="54">
        <f t="shared" si="222"/>
        <v>10</v>
      </c>
      <c r="J940" s="61"/>
      <c r="K940" s="30"/>
      <c r="L940" s="1" t="s">
        <v>21</v>
      </c>
      <c r="M940" s="2">
        <v>4</v>
      </c>
      <c r="N940" s="1" t="s">
        <v>306</v>
      </c>
      <c r="O940" s="220" t="s">
        <v>330</v>
      </c>
      <c r="P940" s="220"/>
      <c r="Q940" s="1" t="s">
        <v>1002</v>
      </c>
      <c r="R940" s="1" t="s">
        <v>18</v>
      </c>
      <c r="S940" s="13" t="s">
        <v>1201</v>
      </c>
      <c r="T940" s="1" t="s">
        <v>306</v>
      </c>
      <c r="V940" s="1" t="str">
        <f t="shared" si="220"/>
        <v>2.9\0.1:10</v>
      </c>
      <c r="W940" s="1" t="s">
        <v>1199</v>
      </c>
      <c r="X940" s="18">
        <v>0</v>
      </c>
      <c r="Z940" s="206" t="s">
        <v>1198</v>
      </c>
      <c r="AC940" s="7"/>
      <c r="AD940" s="7"/>
      <c r="AE940" s="7"/>
      <c r="AG940" s="3" t="s">
        <v>768</v>
      </c>
      <c r="AH940" s="3"/>
      <c r="AI940" s="3">
        <v>11</v>
      </c>
      <c r="AJ940" s="3"/>
      <c r="AM940" s="3"/>
    </row>
    <row r="941" spans="1:39" x14ac:dyDescent="0.3">
      <c r="A941" s="5" t="str">
        <f t="shared" si="221"/>
        <v>BCV130</v>
      </c>
      <c r="B941" s="1" t="s">
        <v>1061</v>
      </c>
      <c r="C941" s="2" t="str">
        <f t="shared" si="217"/>
        <v>DIO1</v>
      </c>
      <c r="D941" s="2">
        <v>130</v>
      </c>
      <c r="E941" s="3">
        <f t="shared" si="218"/>
        <v>2</v>
      </c>
      <c r="F941" s="3">
        <f t="shared" si="219"/>
        <v>9</v>
      </c>
      <c r="G941" s="3">
        <v>0</v>
      </c>
      <c r="H941" s="60">
        <f t="shared" si="223"/>
        <v>1</v>
      </c>
      <c r="I941" s="54">
        <f t="shared" si="222"/>
        <v>11</v>
      </c>
      <c r="J941" s="61"/>
      <c r="K941" s="30"/>
      <c r="L941" s="1" t="s">
        <v>21</v>
      </c>
      <c r="M941" s="2">
        <v>4</v>
      </c>
      <c r="N941" s="1" t="s">
        <v>306</v>
      </c>
      <c r="O941" s="220" t="s">
        <v>328</v>
      </c>
      <c r="P941" s="220"/>
      <c r="Q941" s="1" t="s">
        <v>1002</v>
      </c>
      <c r="R941" s="1" t="s">
        <v>18</v>
      </c>
      <c r="S941" s="13" t="s">
        <v>1200</v>
      </c>
      <c r="T941" s="1" t="s">
        <v>306</v>
      </c>
      <c r="V941" s="1" t="str">
        <f t="shared" si="220"/>
        <v>2.9\0.1:11</v>
      </c>
      <c r="W941" s="1" t="s">
        <v>1199</v>
      </c>
      <c r="X941" s="18">
        <v>0</v>
      </c>
      <c r="Z941" s="201" t="s">
        <v>1198</v>
      </c>
      <c r="AC941" s="7"/>
      <c r="AD941" s="7"/>
      <c r="AE941" s="7"/>
      <c r="AG941" s="3" t="s">
        <v>768</v>
      </c>
      <c r="AH941" s="3"/>
      <c r="AI941" s="3">
        <v>12</v>
      </c>
      <c r="AJ941" s="3"/>
      <c r="AM941" s="3"/>
    </row>
    <row r="942" spans="1:39" x14ac:dyDescent="0.3">
      <c r="A942" s="5" t="str">
        <f t="shared" si="221"/>
        <v>BCV130</v>
      </c>
      <c r="B942" s="1" t="s">
        <v>1061</v>
      </c>
      <c r="C942" s="2" t="str">
        <f t="shared" si="217"/>
        <v>DIO1</v>
      </c>
      <c r="D942" s="2">
        <v>130</v>
      </c>
      <c r="E942" s="3">
        <f t="shared" si="218"/>
        <v>2</v>
      </c>
      <c r="F942" s="3">
        <f t="shared" si="219"/>
        <v>9</v>
      </c>
      <c r="G942" s="3">
        <v>0</v>
      </c>
      <c r="H942" s="60">
        <f t="shared" si="223"/>
        <v>1</v>
      </c>
      <c r="I942" s="54">
        <f t="shared" si="222"/>
        <v>12</v>
      </c>
      <c r="J942" s="61"/>
      <c r="K942" s="30"/>
      <c r="L942" s="1" t="s">
        <v>21</v>
      </c>
      <c r="M942" s="2"/>
      <c r="O942" s="12"/>
      <c r="P942" s="12"/>
      <c r="Q942" s="12" t="s">
        <v>302</v>
      </c>
      <c r="R942" s="12" t="s">
        <v>302</v>
      </c>
      <c r="S942" s="13"/>
      <c r="V942" s="1" t="str">
        <f t="shared" si="220"/>
        <v>2.9\0.1:12</v>
      </c>
      <c r="Y942" s="7"/>
      <c r="Z942" s="206" t="s">
        <v>1062</v>
      </c>
      <c r="AA942" s="206"/>
      <c r="AC942" s="7"/>
      <c r="AD942" s="7"/>
      <c r="AE942" s="7"/>
      <c r="AG942" s="3" t="s">
        <v>768</v>
      </c>
      <c r="AH942" s="3"/>
      <c r="AI942" s="3">
        <v>13</v>
      </c>
      <c r="AJ942" s="3"/>
      <c r="AM942" s="3"/>
    </row>
    <row r="943" spans="1:39" x14ac:dyDescent="0.3">
      <c r="A943" s="5" t="str">
        <f t="shared" si="221"/>
        <v>BCV130</v>
      </c>
      <c r="B943" s="1" t="s">
        <v>1061</v>
      </c>
      <c r="C943" s="2" t="str">
        <f t="shared" si="217"/>
        <v>DIO1</v>
      </c>
      <c r="D943" s="2">
        <v>130</v>
      </c>
      <c r="E943" s="3">
        <f t="shared" si="218"/>
        <v>2</v>
      </c>
      <c r="F943" s="3">
        <f t="shared" si="219"/>
        <v>9</v>
      </c>
      <c r="G943" s="3">
        <v>0</v>
      </c>
      <c r="H943" s="60">
        <f t="shared" si="223"/>
        <v>1</v>
      </c>
      <c r="I943" s="54">
        <f t="shared" si="222"/>
        <v>13</v>
      </c>
      <c r="J943" s="61"/>
      <c r="K943" s="30"/>
      <c r="L943" s="1" t="s">
        <v>21</v>
      </c>
      <c r="M943" s="2"/>
      <c r="Q943" s="1" t="s">
        <v>302</v>
      </c>
      <c r="R943" s="1" t="s">
        <v>302</v>
      </c>
      <c r="S943" s="13"/>
      <c r="V943" s="1" t="str">
        <f t="shared" si="220"/>
        <v>2.9\0.1:13</v>
      </c>
      <c r="Y943" s="7"/>
      <c r="Z943" s="206" t="s">
        <v>1062</v>
      </c>
      <c r="AA943" s="206"/>
      <c r="AC943" s="7"/>
      <c r="AD943" s="7"/>
      <c r="AE943" s="7"/>
      <c r="AG943" s="3" t="s">
        <v>768</v>
      </c>
      <c r="AH943" s="3"/>
      <c r="AI943" s="3">
        <v>14</v>
      </c>
      <c r="AJ943" s="3"/>
      <c r="AM943" s="3"/>
    </row>
    <row r="944" spans="1:39" x14ac:dyDescent="0.3">
      <c r="A944" s="5" t="str">
        <f t="shared" si="221"/>
        <v>BCV130</v>
      </c>
      <c r="B944" s="1" t="s">
        <v>1061</v>
      </c>
      <c r="C944" s="2" t="str">
        <f t="shared" si="217"/>
        <v>DIO1</v>
      </c>
      <c r="D944" s="2">
        <v>130</v>
      </c>
      <c r="E944" s="3">
        <f t="shared" si="218"/>
        <v>2</v>
      </c>
      <c r="F944" s="3">
        <f t="shared" si="219"/>
        <v>9</v>
      </c>
      <c r="G944" s="3">
        <v>0</v>
      </c>
      <c r="H944" s="60">
        <f t="shared" si="223"/>
        <v>1</v>
      </c>
      <c r="I944" s="54">
        <f t="shared" si="222"/>
        <v>14</v>
      </c>
      <c r="J944" s="61"/>
      <c r="K944" s="30"/>
      <c r="L944" s="1" t="s">
        <v>21</v>
      </c>
      <c r="M944" s="2"/>
      <c r="Q944" s="1" t="s">
        <v>302</v>
      </c>
      <c r="R944" s="1" t="s">
        <v>302</v>
      </c>
      <c r="S944" s="13"/>
      <c r="V944" s="1" t="str">
        <f t="shared" si="220"/>
        <v>2.9\0.1:14</v>
      </c>
      <c r="Y944" s="7"/>
      <c r="Z944" s="206" t="s">
        <v>1062</v>
      </c>
      <c r="AA944" s="206"/>
      <c r="AC944" s="7"/>
      <c r="AD944" s="7"/>
      <c r="AE944" s="7"/>
      <c r="AG944" s="3" t="s">
        <v>768</v>
      </c>
      <c r="AH944" s="3"/>
      <c r="AI944" s="3">
        <v>15</v>
      </c>
      <c r="AJ944" s="3"/>
      <c r="AM944" s="3"/>
    </row>
    <row r="945" spans="1:39" x14ac:dyDescent="0.3">
      <c r="A945" s="5" t="str">
        <f t="shared" si="221"/>
        <v>BCV130</v>
      </c>
      <c r="B945" s="1" t="s">
        <v>1061</v>
      </c>
      <c r="C945" s="2" t="str">
        <f t="shared" si="217"/>
        <v>DIO1</v>
      </c>
      <c r="D945" s="2">
        <v>130</v>
      </c>
      <c r="E945" s="3">
        <f t="shared" si="218"/>
        <v>2</v>
      </c>
      <c r="F945" s="3">
        <f t="shared" si="219"/>
        <v>9</v>
      </c>
      <c r="G945" s="3">
        <v>0</v>
      </c>
      <c r="H945" s="60">
        <f t="shared" ref="H945:H961" si="224">H941</f>
        <v>1</v>
      </c>
      <c r="I945" s="54">
        <f t="shared" si="222"/>
        <v>15</v>
      </c>
      <c r="J945" s="61"/>
      <c r="K945" s="30"/>
      <c r="L945" s="1" t="s">
        <v>21</v>
      </c>
      <c r="M945" s="2"/>
      <c r="Q945" s="1" t="s">
        <v>302</v>
      </c>
      <c r="R945" s="1" t="s">
        <v>302</v>
      </c>
      <c r="S945" s="13"/>
      <c r="V945" s="1" t="str">
        <f t="shared" si="220"/>
        <v>2.9\0.1:15</v>
      </c>
      <c r="Y945" s="7"/>
      <c r="Z945" s="206" t="s">
        <v>1062</v>
      </c>
      <c r="AA945" s="206"/>
      <c r="AC945" s="7"/>
      <c r="AD945" s="7"/>
      <c r="AE945" s="7"/>
      <c r="AG945" s="3" t="s">
        <v>768</v>
      </c>
      <c r="AH945" s="3"/>
      <c r="AI945" s="3">
        <v>16</v>
      </c>
      <c r="AJ945" s="3"/>
      <c r="AM945" s="3"/>
    </row>
    <row r="946" spans="1:39" x14ac:dyDescent="0.3">
      <c r="A946" s="5" t="str">
        <f t="shared" si="221"/>
        <v>BCV130</v>
      </c>
      <c r="B946" s="1" t="s">
        <v>1061</v>
      </c>
      <c r="C946" s="2" t="str">
        <f t="shared" si="217"/>
        <v>DIO1</v>
      </c>
      <c r="D946" s="2">
        <v>130</v>
      </c>
      <c r="E946" s="3">
        <f t="shared" si="218"/>
        <v>2</v>
      </c>
      <c r="F946" s="3">
        <f t="shared" si="219"/>
        <v>9</v>
      </c>
      <c r="G946" s="3">
        <v>0</v>
      </c>
      <c r="H946" s="60">
        <f t="shared" si="224"/>
        <v>1</v>
      </c>
      <c r="I946" s="54">
        <f t="shared" si="222"/>
        <v>16</v>
      </c>
      <c r="J946" s="61"/>
      <c r="K946" s="30"/>
      <c r="L946" s="1" t="s">
        <v>21</v>
      </c>
      <c r="M946" s="2">
        <v>4</v>
      </c>
      <c r="N946" s="1" t="s">
        <v>1036</v>
      </c>
      <c r="O946" s="1" t="s">
        <v>962</v>
      </c>
      <c r="P946" s="1" t="s">
        <v>1034</v>
      </c>
      <c r="Q946" s="1" t="s">
        <v>963</v>
      </c>
      <c r="R946" s="1" t="s">
        <v>46</v>
      </c>
      <c r="S946" s="13" t="s">
        <v>962</v>
      </c>
      <c r="T946" s="1" t="s">
        <v>17</v>
      </c>
      <c r="V946" s="1" t="str">
        <f t="shared" si="220"/>
        <v>2.9\0.1:16</v>
      </c>
      <c r="W946" s="1" t="s">
        <v>1025</v>
      </c>
      <c r="X946" s="18">
        <v>0</v>
      </c>
      <c r="Y946" s="7"/>
      <c r="Z946" s="206" t="s">
        <v>1062</v>
      </c>
      <c r="AA946" s="206"/>
      <c r="AC946" s="7"/>
      <c r="AD946" s="7"/>
      <c r="AE946" s="7"/>
      <c r="AG946" s="3" t="s">
        <v>768</v>
      </c>
      <c r="AH946" s="3">
        <v>17</v>
      </c>
      <c r="AI946" s="3">
        <v>18</v>
      </c>
      <c r="AJ946" s="3"/>
      <c r="AM946" s="3"/>
    </row>
    <row r="947" spans="1:39" x14ac:dyDescent="0.3">
      <c r="A947" s="5" t="str">
        <f t="shared" si="221"/>
        <v>BCV130</v>
      </c>
      <c r="B947" s="1" t="s">
        <v>1061</v>
      </c>
      <c r="C947" s="2" t="str">
        <f t="shared" si="217"/>
        <v>DIO1</v>
      </c>
      <c r="D947" s="2">
        <v>130</v>
      </c>
      <c r="E947" s="3">
        <f t="shared" si="218"/>
        <v>2</v>
      </c>
      <c r="F947" s="3">
        <f t="shared" si="219"/>
        <v>9</v>
      </c>
      <c r="G947" s="3">
        <v>0</v>
      </c>
      <c r="H947" s="60">
        <f t="shared" si="224"/>
        <v>1</v>
      </c>
      <c r="I947" s="54">
        <f t="shared" si="222"/>
        <v>17</v>
      </c>
      <c r="J947" s="61"/>
      <c r="K947" s="30"/>
      <c r="L947" s="1" t="s">
        <v>21</v>
      </c>
      <c r="M947" s="2">
        <v>4</v>
      </c>
      <c r="N947" s="1" t="s">
        <v>1036</v>
      </c>
      <c r="O947" s="1" t="s">
        <v>959</v>
      </c>
      <c r="P947" s="1" t="s">
        <v>1034</v>
      </c>
      <c r="Q947" s="41" t="s">
        <v>960</v>
      </c>
      <c r="R947" s="1" t="s">
        <v>46</v>
      </c>
      <c r="S947" s="13" t="s">
        <v>959</v>
      </c>
      <c r="T947" s="1" t="s">
        <v>17</v>
      </c>
      <c r="V947" s="1" t="str">
        <f t="shared" si="220"/>
        <v>2.9\0.1:17</v>
      </c>
      <c r="W947" s="1" t="s">
        <v>1025</v>
      </c>
      <c r="X947" s="18">
        <v>0</v>
      </c>
      <c r="Y947" s="7"/>
      <c r="Z947" s="206" t="s">
        <v>1062</v>
      </c>
      <c r="AA947" s="206"/>
      <c r="AC947" s="7"/>
      <c r="AD947" s="7"/>
      <c r="AE947" s="7"/>
      <c r="AG947" s="3" t="s">
        <v>768</v>
      </c>
      <c r="AH947" s="3">
        <v>19</v>
      </c>
      <c r="AI947" s="3">
        <v>20</v>
      </c>
      <c r="AJ947" s="3"/>
      <c r="AM947" s="3"/>
    </row>
    <row r="948" spans="1:39" x14ac:dyDescent="0.3">
      <c r="A948" s="5" t="str">
        <f t="shared" si="221"/>
        <v>BCV130</v>
      </c>
      <c r="B948" s="1" t="s">
        <v>1061</v>
      </c>
      <c r="C948" s="2" t="str">
        <f t="shared" si="217"/>
        <v>DIO1</v>
      </c>
      <c r="D948" s="2">
        <v>130</v>
      </c>
      <c r="E948" s="3">
        <f t="shared" si="218"/>
        <v>2</v>
      </c>
      <c r="F948" s="3">
        <f t="shared" si="219"/>
        <v>9</v>
      </c>
      <c r="G948" s="3">
        <v>0</v>
      </c>
      <c r="H948" s="60">
        <f t="shared" si="224"/>
        <v>1</v>
      </c>
      <c r="I948" s="54">
        <f t="shared" si="222"/>
        <v>18</v>
      </c>
      <c r="J948" s="61"/>
      <c r="K948" s="30"/>
      <c r="L948" s="1" t="s">
        <v>21</v>
      </c>
      <c r="M948" s="2">
        <v>4</v>
      </c>
      <c r="N948" s="1" t="s">
        <v>1036</v>
      </c>
      <c r="O948" s="1" t="s">
        <v>61</v>
      </c>
      <c r="P948" s="1" t="s">
        <v>1034</v>
      </c>
      <c r="Q948" s="41" t="s">
        <v>1028</v>
      </c>
      <c r="R948" s="1" t="s">
        <v>18</v>
      </c>
      <c r="S948" s="13" t="s">
        <v>1033</v>
      </c>
      <c r="T948" s="1" t="s">
        <v>17</v>
      </c>
      <c r="V948" s="1" t="str">
        <f t="shared" si="220"/>
        <v>2.9\0.1:18</v>
      </c>
      <c r="W948" s="1" t="s">
        <v>1025</v>
      </c>
      <c r="X948" s="18">
        <v>0</v>
      </c>
      <c r="Y948" s="7"/>
      <c r="Z948" s="206" t="s">
        <v>1198</v>
      </c>
      <c r="AA948" s="206"/>
      <c r="AC948" s="7"/>
      <c r="AD948" s="7"/>
      <c r="AE948" s="7"/>
      <c r="AG948" s="3" t="s">
        <v>768</v>
      </c>
      <c r="AH948" s="3">
        <v>21</v>
      </c>
      <c r="AI948" s="3">
        <v>22</v>
      </c>
      <c r="AJ948" s="3"/>
      <c r="AM948" s="3"/>
    </row>
    <row r="949" spans="1:39" x14ac:dyDescent="0.3">
      <c r="A949" s="5" t="str">
        <f t="shared" si="221"/>
        <v>BCV130</v>
      </c>
      <c r="B949" s="1" t="s">
        <v>1061</v>
      </c>
      <c r="C949" s="2" t="str">
        <f t="shared" si="217"/>
        <v>DIO1</v>
      </c>
      <c r="D949" s="2">
        <v>130</v>
      </c>
      <c r="E949" s="3">
        <f t="shared" si="218"/>
        <v>2</v>
      </c>
      <c r="F949" s="3">
        <f t="shared" si="219"/>
        <v>9</v>
      </c>
      <c r="G949" s="3">
        <v>0</v>
      </c>
      <c r="H949" s="60">
        <f t="shared" si="224"/>
        <v>1</v>
      </c>
      <c r="I949" s="54">
        <f t="shared" si="222"/>
        <v>19</v>
      </c>
      <c r="J949" s="61"/>
      <c r="K949" s="30"/>
      <c r="L949" s="1" t="s">
        <v>21</v>
      </c>
      <c r="M949" s="2"/>
      <c r="O949" s="220"/>
      <c r="P949" s="220"/>
      <c r="Q949" s="221" t="s">
        <v>302</v>
      </c>
      <c r="R949" s="220" t="s">
        <v>302</v>
      </c>
      <c r="S949" s="13"/>
      <c r="V949" s="1" t="str">
        <f t="shared" si="220"/>
        <v>2.9\0.1:19</v>
      </c>
      <c r="Y949" s="7"/>
      <c r="Z949" s="206" t="s">
        <v>1062</v>
      </c>
      <c r="AA949" s="206"/>
      <c r="AC949" s="7"/>
      <c r="AD949" s="7"/>
      <c r="AE949" s="7"/>
      <c r="AG949" s="3" t="s">
        <v>768</v>
      </c>
      <c r="AH949" s="3">
        <v>23</v>
      </c>
      <c r="AI949" s="3">
        <v>24</v>
      </c>
      <c r="AJ949" s="3"/>
      <c r="AM949" s="3"/>
    </row>
    <row r="950" spans="1:39" x14ac:dyDescent="0.3">
      <c r="A950" s="5" t="str">
        <f t="shared" si="221"/>
        <v>BCV130</v>
      </c>
      <c r="B950" s="1" t="s">
        <v>1061</v>
      </c>
      <c r="C950" s="2" t="str">
        <f t="shared" si="217"/>
        <v>DIO1</v>
      </c>
      <c r="D950" s="2">
        <v>130</v>
      </c>
      <c r="E950" s="3">
        <f t="shared" si="218"/>
        <v>2</v>
      </c>
      <c r="F950" s="3">
        <f t="shared" si="219"/>
        <v>9</v>
      </c>
      <c r="G950" s="3">
        <v>0</v>
      </c>
      <c r="H950" s="60">
        <f t="shared" si="224"/>
        <v>1</v>
      </c>
      <c r="I950" s="54">
        <f t="shared" si="222"/>
        <v>20</v>
      </c>
      <c r="J950" s="61"/>
      <c r="K950" s="30"/>
      <c r="L950" s="1" t="s">
        <v>21</v>
      </c>
      <c r="M950" s="2"/>
      <c r="Q950" s="2"/>
      <c r="R950" s="2"/>
      <c r="S950" s="13"/>
      <c r="V950" s="1" t="str">
        <f t="shared" si="220"/>
        <v>2.9\0.1:20</v>
      </c>
      <c r="Y950" s="7"/>
      <c r="Z950" s="206" t="s">
        <v>1062</v>
      </c>
      <c r="AA950" s="206"/>
      <c r="AC950" s="7"/>
      <c r="AD950" s="7"/>
      <c r="AE950" s="7"/>
      <c r="AG950" s="3" t="s">
        <v>768</v>
      </c>
      <c r="AH950" s="3">
        <v>25</v>
      </c>
      <c r="AI950" s="3">
        <v>26</v>
      </c>
      <c r="AJ950" s="3"/>
      <c r="AM950" s="3"/>
    </row>
    <row r="951" spans="1:39" x14ac:dyDescent="0.3">
      <c r="A951" s="5" t="str">
        <f t="shared" si="221"/>
        <v>BCV130</v>
      </c>
      <c r="B951" s="1" t="s">
        <v>1061</v>
      </c>
      <c r="C951" s="2" t="str">
        <f t="shared" si="217"/>
        <v>DIO1</v>
      </c>
      <c r="D951" s="2">
        <v>130</v>
      </c>
      <c r="E951" s="3">
        <f t="shared" si="218"/>
        <v>2</v>
      </c>
      <c r="F951" s="3">
        <f t="shared" si="219"/>
        <v>9</v>
      </c>
      <c r="G951" s="3">
        <v>0</v>
      </c>
      <c r="H951" s="60">
        <f t="shared" si="224"/>
        <v>1</v>
      </c>
      <c r="I951" s="54">
        <f t="shared" si="222"/>
        <v>21</v>
      </c>
      <c r="J951" s="61"/>
      <c r="K951" s="30"/>
      <c r="L951" s="1" t="s">
        <v>21</v>
      </c>
      <c r="M951" s="2"/>
      <c r="Q951" s="2"/>
      <c r="R951" s="2"/>
      <c r="S951" s="13"/>
      <c r="V951" s="1" t="str">
        <f t="shared" si="220"/>
        <v>2.9\0.1:21</v>
      </c>
      <c r="Y951" s="7"/>
      <c r="Z951" s="206" t="s">
        <v>1062</v>
      </c>
      <c r="AA951" s="206"/>
      <c r="AC951" s="7"/>
      <c r="AD951" s="7"/>
      <c r="AE951" s="7"/>
      <c r="AG951" s="3" t="s">
        <v>768</v>
      </c>
      <c r="AH951" s="3">
        <v>27</v>
      </c>
      <c r="AI951" s="3">
        <v>28</v>
      </c>
      <c r="AJ951" s="3"/>
      <c r="AM951" s="3"/>
    </row>
    <row r="952" spans="1:39" x14ac:dyDescent="0.3">
      <c r="A952" s="5" t="str">
        <f t="shared" si="221"/>
        <v>BCV130</v>
      </c>
      <c r="B952" s="1" t="s">
        <v>1061</v>
      </c>
      <c r="C952" s="2" t="str">
        <f t="shared" si="217"/>
        <v>DIO1</v>
      </c>
      <c r="D952" s="2">
        <v>130</v>
      </c>
      <c r="E952" s="3">
        <f t="shared" si="218"/>
        <v>2</v>
      </c>
      <c r="F952" s="3">
        <f t="shared" si="219"/>
        <v>9</v>
      </c>
      <c r="G952" s="3">
        <v>0</v>
      </c>
      <c r="H952" s="60">
        <f t="shared" si="224"/>
        <v>1</v>
      </c>
      <c r="I952" s="54">
        <f t="shared" si="222"/>
        <v>22</v>
      </c>
      <c r="J952" s="61"/>
      <c r="K952" s="30"/>
      <c r="L952" s="1" t="s">
        <v>21</v>
      </c>
      <c r="M952" s="2"/>
      <c r="Q952" s="2" t="s">
        <v>302</v>
      </c>
      <c r="R952" s="2" t="s">
        <v>302</v>
      </c>
      <c r="S952" s="13"/>
      <c r="V952" s="1" t="str">
        <f t="shared" si="220"/>
        <v>2.9\0.1:22</v>
      </c>
      <c r="Z952" s="206" t="s">
        <v>1062</v>
      </c>
      <c r="AG952" s="3" t="s">
        <v>768</v>
      </c>
      <c r="AH952" s="3">
        <v>29</v>
      </c>
      <c r="AI952" s="3">
        <v>30</v>
      </c>
      <c r="AJ952" s="3"/>
      <c r="AM952" s="3"/>
    </row>
    <row r="953" spans="1:39" x14ac:dyDescent="0.3">
      <c r="A953" s="5" t="str">
        <f t="shared" si="221"/>
        <v>BCV130</v>
      </c>
      <c r="B953" s="1" t="s">
        <v>1061</v>
      </c>
      <c r="C953" s="2" t="str">
        <f t="shared" si="217"/>
        <v>DIO1</v>
      </c>
      <c r="D953" s="2">
        <v>130</v>
      </c>
      <c r="E953" s="3">
        <f t="shared" si="218"/>
        <v>2</v>
      </c>
      <c r="F953" s="3">
        <f t="shared" si="219"/>
        <v>9</v>
      </c>
      <c r="G953" s="3">
        <v>0</v>
      </c>
      <c r="H953" s="60">
        <f t="shared" si="224"/>
        <v>1</v>
      </c>
      <c r="I953" s="54">
        <f t="shared" si="222"/>
        <v>23</v>
      </c>
      <c r="J953" s="61"/>
      <c r="K953" s="30"/>
      <c r="L953" s="1" t="s">
        <v>21</v>
      </c>
      <c r="M953" s="2"/>
      <c r="Q953" s="2" t="s">
        <v>302</v>
      </c>
      <c r="R953" s="2" t="s">
        <v>302</v>
      </c>
      <c r="S953" s="13"/>
      <c r="V953" s="1" t="str">
        <f t="shared" si="220"/>
        <v>2.9\0.1:23</v>
      </c>
      <c r="Z953" s="206" t="s">
        <v>1062</v>
      </c>
      <c r="AG953" s="3" t="s">
        <v>768</v>
      </c>
      <c r="AH953" s="3">
        <v>31</v>
      </c>
      <c r="AI953" s="3">
        <v>32</v>
      </c>
      <c r="AJ953" s="3"/>
      <c r="AM953" s="3"/>
    </row>
    <row r="954" spans="1:39" x14ac:dyDescent="0.3">
      <c r="A954" s="5" t="str">
        <f t="shared" si="221"/>
        <v>BCV130</v>
      </c>
      <c r="B954" s="1" t="s">
        <v>1061</v>
      </c>
      <c r="C954" s="2" t="str">
        <f t="shared" si="217"/>
        <v>DIO1</v>
      </c>
      <c r="D954" s="2">
        <v>130</v>
      </c>
      <c r="E954" s="3">
        <f t="shared" si="218"/>
        <v>2</v>
      </c>
      <c r="F954" s="3">
        <f t="shared" si="219"/>
        <v>9</v>
      </c>
      <c r="G954" s="3">
        <v>0</v>
      </c>
      <c r="H954" s="60">
        <f t="shared" si="224"/>
        <v>1</v>
      </c>
      <c r="I954" s="54">
        <f t="shared" si="222"/>
        <v>24</v>
      </c>
      <c r="J954" s="61"/>
      <c r="K954" s="30"/>
      <c r="L954" s="1" t="s">
        <v>21</v>
      </c>
      <c r="M954" s="2">
        <v>4</v>
      </c>
      <c r="N954" s="1" t="s">
        <v>1051</v>
      </c>
      <c r="O954" s="1" t="s">
        <v>1050</v>
      </c>
      <c r="P954" s="1" t="s">
        <v>1034</v>
      </c>
      <c r="Q954" s="2" t="s">
        <v>1049</v>
      </c>
      <c r="R954" s="2" t="s">
        <v>18</v>
      </c>
      <c r="S954" s="13" t="s">
        <v>510</v>
      </c>
      <c r="T954" s="1" t="s">
        <v>17</v>
      </c>
      <c r="V954" s="1" t="str">
        <f t="shared" si="220"/>
        <v>2.9\0.1:24</v>
      </c>
      <c r="W954" s="1" t="s">
        <v>1025</v>
      </c>
      <c r="X954" s="18">
        <v>0</v>
      </c>
      <c r="Z954" s="206" t="s">
        <v>1198</v>
      </c>
      <c r="AG954" s="3" t="s">
        <v>768</v>
      </c>
      <c r="AH954" s="3">
        <v>33</v>
      </c>
      <c r="AI954" s="3">
        <v>34</v>
      </c>
      <c r="AJ954" s="3"/>
      <c r="AM954" s="3"/>
    </row>
    <row r="955" spans="1:39" x14ac:dyDescent="0.3">
      <c r="A955" s="5" t="str">
        <f t="shared" si="221"/>
        <v>BCV130</v>
      </c>
      <c r="B955" s="1" t="s">
        <v>1061</v>
      </c>
      <c r="C955" s="2" t="str">
        <f t="shared" si="217"/>
        <v>DIO1</v>
      </c>
      <c r="D955" s="2">
        <v>130</v>
      </c>
      <c r="E955" s="3">
        <f t="shared" si="218"/>
        <v>2</v>
      </c>
      <c r="F955" s="3">
        <f t="shared" si="219"/>
        <v>9</v>
      </c>
      <c r="G955" s="3">
        <v>0</v>
      </c>
      <c r="H955" s="60">
        <f t="shared" si="224"/>
        <v>1</v>
      </c>
      <c r="I955" s="54">
        <f t="shared" si="222"/>
        <v>25</v>
      </c>
      <c r="J955" s="61"/>
      <c r="K955" s="30"/>
      <c r="L955" s="1" t="s">
        <v>21</v>
      </c>
      <c r="M955" s="2">
        <v>4</v>
      </c>
      <c r="N955" s="1" t="s">
        <v>1048</v>
      </c>
      <c r="O955" s="1" t="s">
        <v>1047</v>
      </c>
      <c r="P955" s="1" t="s">
        <v>1034</v>
      </c>
      <c r="Q955" s="1" t="s">
        <v>1046</v>
      </c>
      <c r="R955" s="1" t="s">
        <v>18</v>
      </c>
      <c r="S955" s="13" t="s">
        <v>1045</v>
      </c>
      <c r="T955" s="1" t="s">
        <v>17</v>
      </c>
      <c r="V955" s="1" t="str">
        <f t="shared" si="220"/>
        <v>2.9\0.1:25</v>
      </c>
      <c r="W955" s="1" t="s">
        <v>1025</v>
      </c>
      <c r="X955" s="18">
        <v>0</v>
      </c>
      <c r="Z955" s="206" t="s">
        <v>1198</v>
      </c>
      <c r="AG955" s="3" t="s">
        <v>768</v>
      </c>
      <c r="AH955" s="3">
        <v>35</v>
      </c>
      <c r="AI955" s="3">
        <v>36</v>
      </c>
      <c r="AJ955" s="3"/>
      <c r="AM955" s="3"/>
    </row>
    <row r="956" spans="1:39" x14ac:dyDescent="0.3">
      <c r="A956" s="5" t="str">
        <f t="shared" si="221"/>
        <v>BCV130</v>
      </c>
      <c r="B956" s="1" t="s">
        <v>1061</v>
      </c>
      <c r="C956" s="2" t="str">
        <f t="shared" si="217"/>
        <v>DIO1</v>
      </c>
      <c r="D956" s="2">
        <v>130</v>
      </c>
      <c r="E956" s="3">
        <f t="shared" si="218"/>
        <v>2</v>
      </c>
      <c r="F956" s="3">
        <f t="shared" si="219"/>
        <v>9</v>
      </c>
      <c r="G956" s="3">
        <v>0</v>
      </c>
      <c r="H956" s="60">
        <f t="shared" si="224"/>
        <v>1</v>
      </c>
      <c r="I956" s="54">
        <f t="shared" si="222"/>
        <v>26</v>
      </c>
      <c r="J956" s="61"/>
      <c r="K956" s="30"/>
      <c r="L956" s="1" t="s">
        <v>21</v>
      </c>
      <c r="M956" s="2">
        <v>4</v>
      </c>
      <c r="N956" s="1" t="s">
        <v>1044</v>
      </c>
      <c r="O956" s="1" t="s">
        <v>1043</v>
      </c>
      <c r="P956" s="1" t="s">
        <v>1034</v>
      </c>
      <c r="Q956" s="1" t="s">
        <v>1042</v>
      </c>
      <c r="R956" s="1" t="s">
        <v>18</v>
      </c>
      <c r="S956" s="13" t="s">
        <v>1041</v>
      </c>
      <c r="T956" s="1" t="s">
        <v>17</v>
      </c>
      <c r="V956" s="1" t="str">
        <f t="shared" si="220"/>
        <v>2.9\0.1:26</v>
      </c>
      <c r="W956" s="1" t="s">
        <v>1025</v>
      </c>
      <c r="X956" s="18">
        <v>0</v>
      </c>
      <c r="Z956" s="206" t="s">
        <v>1198</v>
      </c>
      <c r="AG956" s="3" t="s">
        <v>768</v>
      </c>
      <c r="AH956" s="3">
        <v>37</v>
      </c>
      <c r="AI956" s="3">
        <v>38</v>
      </c>
      <c r="AJ956" s="3"/>
      <c r="AM956" s="3"/>
    </row>
    <row r="957" spans="1:39" x14ac:dyDescent="0.3">
      <c r="A957" s="5" t="str">
        <f t="shared" si="221"/>
        <v>BCV130</v>
      </c>
      <c r="B957" s="1" t="s">
        <v>1061</v>
      </c>
      <c r="C957" s="2" t="str">
        <f t="shared" si="217"/>
        <v>DIO1</v>
      </c>
      <c r="D957" s="2">
        <v>130</v>
      </c>
      <c r="E957" s="3">
        <f t="shared" si="218"/>
        <v>2</v>
      </c>
      <c r="F957" s="3">
        <f t="shared" si="219"/>
        <v>9</v>
      </c>
      <c r="G957" s="3">
        <v>0</v>
      </c>
      <c r="H957" s="60">
        <f t="shared" si="224"/>
        <v>1</v>
      </c>
      <c r="I957" s="54">
        <f t="shared" si="222"/>
        <v>27</v>
      </c>
      <c r="J957" s="61"/>
      <c r="K957" s="30"/>
      <c r="L957" s="1" t="s">
        <v>21</v>
      </c>
      <c r="M957" s="2">
        <v>4</v>
      </c>
      <c r="N957" s="1" t="s">
        <v>1040</v>
      </c>
      <c r="O957" s="1" t="s">
        <v>1039</v>
      </c>
      <c r="P957" s="1" t="s">
        <v>1034</v>
      </c>
      <c r="Q957" s="1" t="s">
        <v>1038</v>
      </c>
      <c r="R957" s="1" t="s">
        <v>18</v>
      </c>
      <c r="S957" s="13" t="s">
        <v>1037</v>
      </c>
      <c r="T957" s="1" t="s">
        <v>17</v>
      </c>
      <c r="V957" s="1" t="str">
        <f t="shared" si="220"/>
        <v>2.9\0.1:27</v>
      </c>
      <c r="W957" s="1" t="s">
        <v>1025</v>
      </c>
      <c r="X957" s="18">
        <v>0</v>
      </c>
      <c r="Z957" s="206" t="s">
        <v>1198</v>
      </c>
      <c r="AG957" s="3" t="s">
        <v>768</v>
      </c>
      <c r="AH957" s="3">
        <v>39</v>
      </c>
      <c r="AI957" s="3">
        <v>40</v>
      </c>
      <c r="AJ957" s="3"/>
      <c r="AM957" s="3"/>
    </row>
    <row r="958" spans="1:39" x14ac:dyDescent="0.3">
      <c r="A958" s="5" t="str">
        <f t="shared" si="221"/>
        <v>BCV130</v>
      </c>
      <c r="B958" s="1" t="s">
        <v>1061</v>
      </c>
      <c r="C958" s="2" t="str">
        <f t="shared" si="217"/>
        <v>DIO1</v>
      </c>
      <c r="D958" s="2">
        <v>130</v>
      </c>
      <c r="E958" s="3">
        <f t="shared" si="218"/>
        <v>2</v>
      </c>
      <c r="F958" s="3">
        <f t="shared" si="219"/>
        <v>9</v>
      </c>
      <c r="G958" s="3">
        <v>0</v>
      </c>
      <c r="H958" s="60">
        <f t="shared" si="224"/>
        <v>1</v>
      </c>
      <c r="I958" s="54">
        <f t="shared" si="222"/>
        <v>28</v>
      </c>
      <c r="J958" s="61"/>
      <c r="K958" s="30"/>
      <c r="L958" s="1" t="s">
        <v>21</v>
      </c>
      <c r="M958" s="2">
        <v>4</v>
      </c>
      <c r="N958" s="1" t="s">
        <v>1197</v>
      </c>
      <c r="O958" s="1" t="s">
        <v>736</v>
      </c>
      <c r="P958" s="1" t="s">
        <v>1034</v>
      </c>
      <c r="Q958" s="1" t="s">
        <v>1196</v>
      </c>
      <c r="R958" s="1" t="s">
        <v>18</v>
      </c>
      <c r="S958" s="13"/>
      <c r="T958" s="1" t="s">
        <v>17</v>
      </c>
      <c r="V958" s="1" t="str">
        <f t="shared" si="220"/>
        <v>2.9\0.1:28</v>
      </c>
      <c r="W958" s="1" t="s">
        <v>1105</v>
      </c>
      <c r="X958" s="18">
        <v>0</v>
      </c>
      <c r="Z958" s="206" t="s">
        <v>1062</v>
      </c>
      <c r="AG958" s="3" t="s">
        <v>768</v>
      </c>
      <c r="AH958" s="3">
        <v>41</v>
      </c>
      <c r="AI958" s="3">
        <v>42</v>
      </c>
      <c r="AJ958" s="3"/>
      <c r="AM958" s="3"/>
    </row>
    <row r="959" spans="1:39" x14ac:dyDescent="0.3">
      <c r="A959" s="5" t="str">
        <f t="shared" si="221"/>
        <v>BCV130</v>
      </c>
      <c r="B959" s="1" t="s">
        <v>1061</v>
      </c>
      <c r="C959" s="2" t="str">
        <f t="shared" ref="C959:C990" si="225">+C958</f>
        <v>DIO1</v>
      </c>
      <c r="D959" s="2">
        <v>130</v>
      </c>
      <c r="E959" s="3">
        <f t="shared" ref="E959:E990" si="226">+E958</f>
        <v>2</v>
      </c>
      <c r="F959" s="3">
        <f t="shared" ref="F959:F990" si="227">+F958</f>
        <v>9</v>
      </c>
      <c r="G959" s="3">
        <v>0</v>
      </c>
      <c r="H959" s="60">
        <f t="shared" si="224"/>
        <v>1</v>
      </c>
      <c r="I959" s="54">
        <f t="shared" si="222"/>
        <v>29</v>
      </c>
      <c r="J959" s="61"/>
      <c r="K959" s="30"/>
      <c r="L959" s="1" t="s">
        <v>21</v>
      </c>
      <c r="M959" s="2">
        <v>4</v>
      </c>
      <c r="N959" s="1" t="s">
        <v>1195</v>
      </c>
      <c r="O959" s="1" t="s">
        <v>953</v>
      </c>
      <c r="P959" s="1" t="s">
        <v>1034</v>
      </c>
      <c r="Q959" s="1" t="s">
        <v>1194</v>
      </c>
      <c r="R959" s="1" t="s">
        <v>18</v>
      </c>
      <c r="S959" s="13"/>
      <c r="T959" s="1" t="s">
        <v>17</v>
      </c>
      <c r="V959" s="1" t="str">
        <f t="shared" si="220"/>
        <v>2.9\0.1:29</v>
      </c>
      <c r="W959" s="1" t="s">
        <v>1105</v>
      </c>
      <c r="X959" s="18">
        <v>0</v>
      </c>
      <c r="Z959" s="206" t="s">
        <v>1062</v>
      </c>
      <c r="AG959" s="3" t="s">
        <v>768</v>
      </c>
      <c r="AH959" s="3">
        <v>43</v>
      </c>
      <c r="AI959" s="3">
        <v>44</v>
      </c>
      <c r="AJ959" s="3"/>
      <c r="AM959" s="3"/>
    </row>
    <row r="960" spans="1:39" x14ac:dyDescent="0.3">
      <c r="A960" s="5" t="str">
        <f t="shared" si="221"/>
        <v>BCV130</v>
      </c>
      <c r="B960" s="1" t="s">
        <v>1061</v>
      </c>
      <c r="C960" s="2" t="str">
        <f t="shared" si="225"/>
        <v>DIO1</v>
      </c>
      <c r="D960" s="2">
        <v>130</v>
      </c>
      <c r="E960" s="3">
        <f t="shared" si="226"/>
        <v>2</v>
      </c>
      <c r="F960" s="3">
        <f t="shared" si="227"/>
        <v>9</v>
      </c>
      <c r="G960" s="3">
        <v>0</v>
      </c>
      <c r="H960" s="60">
        <f t="shared" si="224"/>
        <v>1</v>
      </c>
      <c r="I960" s="54">
        <f t="shared" si="222"/>
        <v>30</v>
      </c>
      <c r="J960" s="61"/>
      <c r="K960" s="30"/>
      <c r="L960" s="1" t="s">
        <v>21</v>
      </c>
      <c r="M960" s="2">
        <v>4</v>
      </c>
      <c r="N960" s="1" t="s">
        <v>1193</v>
      </c>
      <c r="O960" s="1" t="s">
        <v>1192</v>
      </c>
      <c r="P960" s="1" t="s">
        <v>1034</v>
      </c>
      <c r="Q960" s="1" t="s">
        <v>1191</v>
      </c>
      <c r="R960" s="1" t="s">
        <v>18</v>
      </c>
      <c r="S960" s="13"/>
      <c r="T960" s="1" t="s">
        <v>17</v>
      </c>
      <c r="V960" s="1" t="str">
        <f t="shared" si="220"/>
        <v>2.9\0.1:30</v>
      </c>
      <c r="W960" s="1" t="s">
        <v>1105</v>
      </c>
      <c r="X960" s="18">
        <v>0</v>
      </c>
      <c r="Z960" s="206" t="s">
        <v>1062</v>
      </c>
      <c r="AG960" s="3" t="s">
        <v>768</v>
      </c>
      <c r="AH960" s="3">
        <v>45</v>
      </c>
      <c r="AI960" s="3">
        <v>46</v>
      </c>
      <c r="AJ960" s="3"/>
      <c r="AM960" s="3"/>
    </row>
    <row r="961" spans="1:39" ht="13.5" thickBot="1" x14ac:dyDescent="0.35">
      <c r="A961" s="5" t="str">
        <f t="shared" si="221"/>
        <v>BCV130</v>
      </c>
      <c r="B961" s="1" t="s">
        <v>1061</v>
      </c>
      <c r="C961" s="2" t="str">
        <f t="shared" si="225"/>
        <v>DIO1</v>
      </c>
      <c r="D961" s="2">
        <v>130</v>
      </c>
      <c r="E961" s="3">
        <f t="shared" si="226"/>
        <v>2</v>
      </c>
      <c r="F961" s="3">
        <f t="shared" si="227"/>
        <v>9</v>
      </c>
      <c r="G961" s="3">
        <v>0</v>
      </c>
      <c r="H961" s="60">
        <f t="shared" si="224"/>
        <v>1</v>
      </c>
      <c r="I961" s="59">
        <f t="shared" si="222"/>
        <v>31</v>
      </c>
      <c r="J961" s="58"/>
      <c r="K961" s="30"/>
      <c r="L961" s="1" t="s">
        <v>21</v>
      </c>
      <c r="M961" s="2">
        <v>4</v>
      </c>
      <c r="N961" s="1" t="s">
        <v>1190</v>
      </c>
      <c r="O961" s="1" t="s">
        <v>1189</v>
      </c>
      <c r="P961" s="1" t="s">
        <v>1034</v>
      </c>
      <c r="Q961" s="1" t="s">
        <v>1188</v>
      </c>
      <c r="R961" s="1" t="s">
        <v>18</v>
      </c>
      <c r="S961" s="13"/>
      <c r="T961" s="1" t="s">
        <v>17</v>
      </c>
      <c r="V961" s="1" t="str">
        <f t="shared" si="220"/>
        <v>2.9\0.1:31</v>
      </c>
      <c r="W961" s="1" t="s">
        <v>1105</v>
      </c>
      <c r="X961" s="18">
        <v>0</v>
      </c>
      <c r="Z961" s="206" t="s">
        <v>1062</v>
      </c>
      <c r="AG961" s="3" t="s">
        <v>768</v>
      </c>
      <c r="AH961" s="3">
        <v>47</v>
      </c>
      <c r="AI961" s="3">
        <v>48</v>
      </c>
      <c r="AJ961" s="3"/>
      <c r="AM961" s="3"/>
    </row>
    <row r="962" spans="1:39" x14ac:dyDescent="0.3">
      <c r="A962" s="76" t="s">
        <v>17</v>
      </c>
      <c r="B962" s="1" t="s">
        <v>1061</v>
      </c>
      <c r="C962" s="2" t="str">
        <f t="shared" si="225"/>
        <v>DIO1</v>
      </c>
      <c r="D962" s="2">
        <v>130</v>
      </c>
      <c r="E962" s="3">
        <f t="shared" si="226"/>
        <v>2</v>
      </c>
      <c r="F962" s="3">
        <f t="shared" si="227"/>
        <v>9</v>
      </c>
      <c r="G962" s="3">
        <v>0</v>
      </c>
      <c r="H962" s="57">
        <f>+H946+1</f>
        <v>2</v>
      </c>
      <c r="I962" s="56">
        <v>0</v>
      </c>
      <c r="J962" s="222" t="s">
        <v>316</v>
      </c>
      <c r="K962" s="2" t="s">
        <v>315</v>
      </c>
      <c r="L962" s="1" t="s">
        <v>21</v>
      </c>
      <c r="M962" s="2">
        <v>4</v>
      </c>
      <c r="N962" s="1" t="s">
        <v>1187</v>
      </c>
      <c r="O962" s="1" t="s">
        <v>1186</v>
      </c>
      <c r="P962" s="1" t="s">
        <v>1034</v>
      </c>
      <c r="Q962" s="1" t="s">
        <v>1185</v>
      </c>
      <c r="R962" s="1" t="s">
        <v>18</v>
      </c>
      <c r="S962" s="13"/>
      <c r="T962" s="1" t="s">
        <v>17</v>
      </c>
      <c r="V962" s="1" t="str">
        <f t="shared" ref="V962:V993" si="228">+CONCATENATE(E962,".",F962,"\",G962,".",H962,":",I962)</f>
        <v>2.9\0.2:0</v>
      </c>
      <c r="W962" s="1" t="s">
        <v>1105</v>
      </c>
      <c r="X962" s="18">
        <v>0</v>
      </c>
      <c r="Y962" s="7"/>
      <c r="Z962" s="206" t="s">
        <v>1062</v>
      </c>
      <c r="AA962" s="206"/>
      <c r="AC962" s="7"/>
      <c r="AD962" s="7"/>
      <c r="AE962" s="7"/>
      <c r="AG962" s="3" t="s">
        <v>732</v>
      </c>
      <c r="AH962" s="3">
        <v>1</v>
      </c>
      <c r="AI962" s="3">
        <v>2</v>
      </c>
      <c r="AJ962" s="3"/>
      <c r="AM962" s="3"/>
    </row>
    <row r="963" spans="1:39" x14ac:dyDescent="0.3">
      <c r="A963" s="5" t="str">
        <f t="shared" ref="A963:A993" si="229">A962</f>
        <v>BCV130</v>
      </c>
      <c r="B963" s="1" t="s">
        <v>1061</v>
      </c>
      <c r="C963" s="2" t="str">
        <f t="shared" si="225"/>
        <v>DIO1</v>
      </c>
      <c r="D963" s="2">
        <v>130</v>
      </c>
      <c r="E963" s="3">
        <f t="shared" si="226"/>
        <v>2</v>
      </c>
      <c r="F963" s="3">
        <f t="shared" si="227"/>
        <v>9</v>
      </c>
      <c r="G963" s="3">
        <v>0</v>
      </c>
      <c r="H963" s="60">
        <f>H962</f>
        <v>2</v>
      </c>
      <c r="I963" s="54">
        <f t="shared" ref="I963:I993" si="230">+I962+1</f>
        <v>1</v>
      </c>
      <c r="J963" s="61"/>
      <c r="L963" s="1" t="s">
        <v>21</v>
      </c>
      <c r="M963" s="2">
        <v>4</v>
      </c>
      <c r="N963" s="1" t="s">
        <v>1184</v>
      </c>
      <c r="O963" s="1" t="s">
        <v>1183</v>
      </c>
      <c r="P963" s="1" t="s">
        <v>1034</v>
      </c>
      <c r="Q963" s="1" t="s">
        <v>1182</v>
      </c>
      <c r="R963" s="1" t="s">
        <v>18</v>
      </c>
      <c r="S963" s="13"/>
      <c r="T963" s="1" t="s">
        <v>17</v>
      </c>
      <c r="V963" s="1" t="str">
        <f t="shared" si="228"/>
        <v>2.9\0.2:1</v>
      </c>
      <c r="W963" s="1" t="s">
        <v>1105</v>
      </c>
      <c r="X963" s="18">
        <v>0</v>
      </c>
      <c r="Y963" s="7"/>
      <c r="Z963" s="206" t="s">
        <v>1062</v>
      </c>
      <c r="AA963" s="206"/>
      <c r="AC963" s="7"/>
      <c r="AD963" s="7"/>
      <c r="AE963" s="7"/>
      <c r="AG963" s="3" t="s">
        <v>732</v>
      </c>
      <c r="AH963" s="3">
        <v>3</v>
      </c>
      <c r="AI963" s="3">
        <v>4</v>
      </c>
      <c r="AJ963" s="3"/>
      <c r="AM963" s="3"/>
    </row>
    <row r="964" spans="1:39" x14ac:dyDescent="0.3">
      <c r="A964" s="5" t="str">
        <f t="shared" si="229"/>
        <v>BCV130</v>
      </c>
      <c r="B964" s="1" t="s">
        <v>1061</v>
      </c>
      <c r="C964" s="2" t="str">
        <f t="shared" si="225"/>
        <v>DIO1</v>
      </c>
      <c r="D964" s="2">
        <v>130</v>
      </c>
      <c r="E964" s="3">
        <f t="shared" si="226"/>
        <v>2</v>
      </c>
      <c r="F964" s="3">
        <f t="shared" si="227"/>
        <v>9</v>
      </c>
      <c r="G964" s="3">
        <v>0</v>
      </c>
      <c r="H964" s="60">
        <f>H962</f>
        <v>2</v>
      </c>
      <c r="I964" s="54">
        <f t="shared" si="230"/>
        <v>2</v>
      </c>
      <c r="J964" s="61"/>
      <c r="K964" s="30"/>
      <c r="L964" s="1" t="s">
        <v>21</v>
      </c>
      <c r="M964" s="2">
        <v>4</v>
      </c>
      <c r="N964" s="1" t="s">
        <v>1181</v>
      </c>
      <c r="O964" s="1" t="s">
        <v>1180</v>
      </c>
      <c r="P964" s="1" t="s">
        <v>1034</v>
      </c>
      <c r="Q964" s="1" t="s">
        <v>1179</v>
      </c>
      <c r="R964" s="1" t="s">
        <v>18</v>
      </c>
      <c r="S964" s="13"/>
      <c r="T964" s="1" t="s">
        <v>17</v>
      </c>
      <c r="V964" s="1" t="str">
        <f t="shared" si="228"/>
        <v>2.9\0.2:2</v>
      </c>
      <c r="W964" s="1" t="s">
        <v>1105</v>
      </c>
      <c r="X964" s="18">
        <v>0</v>
      </c>
      <c r="Y964" s="7"/>
      <c r="Z964" s="206" t="s">
        <v>1062</v>
      </c>
      <c r="AA964" s="206"/>
      <c r="AC964" s="7"/>
      <c r="AD964" s="7"/>
      <c r="AE964" s="7"/>
      <c r="AG964" s="3" t="s">
        <v>732</v>
      </c>
      <c r="AH964" s="3">
        <v>5</v>
      </c>
      <c r="AI964" s="3">
        <v>6</v>
      </c>
      <c r="AJ964" s="3"/>
      <c r="AM964" s="3"/>
    </row>
    <row r="965" spans="1:39" x14ac:dyDescent="0.3">
      <c r="A965" s="5" t="str">
        <f t="shared" si="229"/>
        <v>BCV130</v>
      </c>
      <c r="B965" s="1" t="s">
        <v>1061</v>
      </c>
      <c r="C965" s="2" t="str">
        <f t="shared" si="225"/>
        <v>DIO1</v>
      </c>
      <c r="D965" s="2">
        <v>130</v>
      </c>
      <c r="E965" s="3">
        <f t="shared" si="226"/>
        <v>2</v>
      </c>
      <c r="F965" s="3">
        <f t="shared" si="227"/>
        <v>9</v>
      </c>
      <c r="G965" s="3">
        <v>0</v>
      </c>
      <c r="H965" s="60">
        <f t="shared" ref="H965:H976" si="231">H962</f>
        <v>2</v>
      </c>
      <c r="I965" s="54">
        <f t="shared" si="230"/>
        <v>3</v>
      </c>
      <c r="J965" s="61"/>
      <c r="K965" s="30"/>
      <c r="L965" s="1" t="s">
        <v>21</v>
      </c>
      <c r="M965" s="2">
        <v>4</v>
      </c>
      <c r="N965" s="1" t="s">
        <v>1178</v>
      </c>
      <c r="O965" s="1" t="s">
        <v>1177</v>
      </c>
      <c r="P965" s="1" t="s">
        <v>1034</v>
      </c>
      <c r="Q965" s="1" t="s">
        <v>1176</v>
      </c>
      <c r="R965" s="1" t="s">
        <v>18</v>
      </c>
      <c r="S965" s="13"/>
      <c r="T965" s="1" t="s">
        <v>17</v>
      </c>
      <c r="V965" s="1" t="str">
        <f t="shared" si="228"/>
        <v>2.9\0.2:3</v>
      </c>
      <c r="W965" s="1" t="s">
        <v>1105</v>
      </c>
      <c r="X965" s="18">
        <v>0</v>
      </c>
      <c r="Y965" s="7"/>
      <c r="Z965" s="206" t="s">
        <v>1062</v>
      </c>
      <c r="AA965" s="206"/>
      <c r="AC965" s="7"/>
      <c r="AD965" s="7"/>
      <c r="AE965" s="7"/>
      <c r="AG965" s="3" t="s">
        <v>732</v>
      </c>
      <c r="AH965" s="3">
        <v>7</v>
      </c>
      <c r="AI965" s="3">
        <v>8</v>
      </c>
      <c r="AJ965" s="3"/>
      <c r="AM965" s="3"/>
    </row>
    <row r="966" spans="1:39" x14ac:dyDescent="0.3">
      <c r="A966" s="5" t="str">
        <f t="shared" si="229"/>
        <v>BCV130</v>
      </c>
      <c r="B966" s="1" t="s">
        <v>1061</v>
      </c>
      <c r="C966" s="2" t="str">
        <f t="shared" si="225"/>
        <v>DIO1</v>
      </c>
      <c r="D966" s="2">
        <v>130</v>
      </c>
      <c r="E966" s="3">
        <f t="shared" si="226"/>
        <v>2</v>
      </c>
      <c r="F966" s="3">
        <f t="shared" si="227"/>
        <v>9</v>
      </c>
      <c r="G966" s="3">
        <v>0</v>
      </c>
      <c r="H966" s="60">
        <f t="shared" si="231"/>
        <v>2</v>
      </c>
      <c r="I966" s="54">
        <f t="shared" si="230"/>
        <v>4</v>
      </c>
      <c r="J966" s="61"/>
      <c r="K966" s="30"/>
      <c r="L966" s="1" t="s">
        <v>21</v>
      </c>
      <c r="M966" s="2">
        <v>4</v>
      </c>
      <c r="N966" s="1" t="s">
        <v>1175</v>
      </c>
      <c r="O966" s="1" t="s">
        <v>1174</v>
      </c>
      <c r="P966" s="1" t="s">
        <v>1034</v>
      </c>
      <c r="Q966" s="1" t="s">
        <v>1173</v>
      </c>
      <c r="R966" s="1" t="s">
        <v>18</v>
      </c>
      <c r="S966" s="13"/>
      <c r="T966" s="1" t="s">
        <v>1136</v>
      </c>
      <c r="V966" s="1" t="str">
        <f t="shared" si="228"/>
        <v>2.9\0.2:4</v>
      </c>
      <c r="W966" s="1" t="s">
        <v>1105</v>
      </c>
      <c r="X966" s="18">
        <v>0</v>
      </c>
      <c r="Y966" s="7"/>
      <c r="Z966" s="206" t="s">
        <v>1062</v>
      </c>
      <c r="AA966" s="206"/>
      <c r="AC966" s="7"/>
      <c r="AD966" s="7"/>
      <c r="AE966" s="7"/>
      <c r="AG966" s="3" t="s">
        <v>732</v>
      </c>
      <c r="AH966" s="3">
        <v>9</v>
      </c>
      <c r="AI966" s="3">
        <v>10</v>
      </c>
      <c r="AJ966" s="3"/>
      <c r="AM966" s="3"/>
    </row>
    <row r="967" spans="1:39" x14ac:dyDescent="0.3">
      <c r="A967" s="5" t="str">
        <f t="shared" si="229"/>
        <v>BCV130</v>
      </c>
      <c r="B967" s="1" t="s">
        <v>1061</v>
      </c>
      <c r="C967" s="2" t="str">
        <f t="shared" si="225"/>
        <v>DIO1</v>
      </c>
      <c r="D967" s="2">
        <v>130</v>
      </c>
      <c r="E967" s="3">
        <f t="shared" si="226"/>
        <v>2</v>
      </c>
      <c r="F967" s="3">
        <f t="shared" si="227"/>
        <v>9</v>
      </c>
      <c r="G967" s="3">
        <v>0</v>
      </c>
      <c r="H967" s="60">
        <f t="shared" si="231"/>
        <v>2</v>
      </c>
      <c r="I967" s="54">
        <f t="shared" si="230"/>
        <v>5</v>
      </c>
      <c r="J967" s="61"/>
      <c r="K967" s="30"/>
      <c r="L967" s="1" t="s">
        <v>21</v>
      </c>
      <c r="M967" s="2">
        <v>4</v>
      </c>
      <c r="N967" s="1" t="s">
        <v>1172</v>
      </c>
      <c r="O967" s="1" t="s">
        <v>1171</v>
      </c>
      <c r="P967" s="1" t="s">
        <v>1034</v>
      </c>
      <c r="Q967" s="1" t="s">
        <v>1170</v>
      </c>
      <c r="R967" s="1" t="s">
        <v>18</v>
      </c>
      <c r="S967" s="13"/>
      <c r="T967" s="1" t="s">
        <v>1136</v>
      </c>
      <c r="V967" s="1" t="str">
        <f t="shared" si="228"/>
        <v>2.9\0.2:5</v>
      </c>
      <c r="W967" s="1" t="s">
        <v>1105</v>
      </c>
      <c r="X967" s="18">
        <v>0</v>
      </c>
      <c r="Y967" s="7"/>
      <c r="Z967" s="206" t="s">
        <v>1062</v>
      </c>
      <c r="AA967" s="206"/>
      <c r="AC967" s="7"/>
      <c r="AD967" s="7"/>
      <c r="AE967" s="7"/>
      <c r="AG967" s="3" t="s">
        <v>732</v>
      </c>
      <c r="AH967" s="3">
        <v>11</v>
      </c>
      <c r="AI967" s="3">
        <v>12</v>
      </c>
      <c r="AJ967" s="3"/>
      <c r="AM967" s="3"/>
    </row>
    <row r="968" spans="1:39" x14ac:dyDescent="0.3">
      <c r="A968" s="5" t="str">
        <f t="shared" si="229"/>
        <v>BCV130</v>
      </c>
      <c r="B968" s="1" t="s">
        <v>1061</v>
      </c>
      <c r="C968" s="2" t="str">
        <f t="shared" si="225"/>
        <v>DIO1</v>
      </c>
      <c r="D968" s="2">
        <v>130</v>
      </c>
      <c r="E968" s="3">
        <f t="shared" si="226"/>
        <v>2</v>
      </c>
      <c r="F968" s="3">
        <f t="shared" si="227"/>
        <v>9</v>
      </c>
      <c r="G968" s="3">
        <v>0</v>
      </c>
      <c r="H968" s="60">
        <f t="shared" si="231"/>
        <v>2</v>
      </c>
      <c r="I968" s="54">
        <f t="shared" si="230"/>
        <v>6</v>
      </c>
      <c r="J968" s="61"/>
      <c r="K968" s="30"/>
      <c r="L968" s="1" t="s">
        <v>21</v>
      </c>
      <c r="M968" s="2"/>
      <c r="O968" s="220"/>
      <c r="P968" s="220"/>
      <c r="S968" s="13"/>
      <c r="V968" s="1" t="str">
        <f t="shared" si="228"/>
        <v>2.9\0.2:6</v>
      </c>
      <c r="Y968" s="7"/>
      <c r="Z968" s="206" t="s">
        <v>1062</v>
      </c>
      <c r="AA968" s="206"/>
      <c r="AC968" s="7"/>
      <c r="AD968" s="7"/>
      <c r="AE968" s="7"/>
      <c r="AG968" s="3" t="s">
        <v>732</v>
      </c>
      <c r="AH968" s="3">
        <v>13</v>
      </c>
      <c r="AI968" s="3">
        <v>14</v>
      </c>
      <c r="AJ968" s="3"/>
      <c r="AM968" s="3"/>
    </row>
    <row r="969" spans="1:39" x14ac:dyDescent="0.3">
      <c r="A969" s="5" t="str">
        <f t="shared" si="229"/>
        <v>BCV130</v>
      </c>
      <c r="B969" s="1" t="s">
        <v>1061</v>
      </c>
      <c r="C969" s="2" t="str">
        <f t="shared" si="225"/>
        <v>DIO1</v>
      </c>
      <c r="D969" s="2">
        <v>130</v>
      </c>
      <c r="E969" s="3">
        <f t="shared" si="226"/>
        <v>2</v>
      </c>
      <c r="F969" s="3">
        <f t="shared" si="227"/>
        <v>9</v>
      </c>
      <c r="G969" s="3">
        <v>0</v>
      </c>
      <c r="H969" s="60">
        <f t="shared" si="231"/>
        <v>2</v>
      </c>
      <c r="I969" s="54">
        <f t="shared" si="230"/>
        <v>7</v>
      </c>
      <c r="J969" s="61"/>
      <c r="K969" s="30"/>
      <c r="L969" s="1" t="s">
        <v>21</v>
      </c>
      <c r="M969" s="2">
        <v>5</v>
      </c>
      <c r="N969" s="1" t="s">
        <v>1031</v>
      </c>
      <c r="O969" s="220" t="s">
        <v>962</v>
      </c>
      <c r="P969" s="220" t="s">
        <v>1029</v>
      </c>
      <c r="Q969" s="1" t="s">
        <v>963</v>
      </c>
      <c r="R969" s="1" t="s">
        <v>46</v>
      </c>
      <c r="S969" s="13" t="s">
        <v>962</v>
      </c>
      <c r="T969" s="1" t="s">
        <v>1026</v>
      </c>
      <c r="V969" s="1" t="str">
        <f t="shared" si="228"/>
        <v>2.9\0.2:7</v>
      </c>
      <c r="W969" s="1" t="s">
        <v>94</v>
      </c>
      <c r="X969" s="3" t="s">
        <v>4</v>
      </c>
      <c r="Y969" s="7"/>
      <c r="Z969" s="206" t="s">
        <v>1062</v>
      </c>
      <c r="AA969" s="206"/>
      <c r="AC969" s="7"/>
      <c r="AD969" s="7"/>
      <c r="AE969" s="7"/>
      <c r="AG969" s="3" t="s">
        <v>732</v>
      </c>
      <c r="AH969" s="3">
        <v>15</v>
      </c>
      <c r="AI969" s="3">
        <v>16</v>
      </c>
      <c r="AJ969" s="3"/>
      <c r="AM969" s="3"/>
    </row>
    <row r="970" spans="1:39" x14ac:dyDescent="0.3">
      <c r="A970" s="5" t="str">
        <f t="shared" si="229"/>
        <v>BCV130</v>
      </c>
      <c r="B970" s="1" t="s">
        <v>1061</v>
      </c>
      <c r="C970" s="2" t="str">
        <f t="shared" si="225"/>
        <v>DIO1</v>
      </c>
      <c r="D970" s="2">
        <v>130</v>
      </c>
      <c r="E970" s="3">
        <f t="shared" si="226"/>
        <v>2</v>
      </c>
      <c r="F970" s="3">
        <f t="shared" si="227"/>
        <v>9</v>
      </c>
      <c r="G970" s="3">
        <v>0</v>
      </c>
      <c r="H970" s="60">
        <f t="shared" si="231"/>
        <v>2</v>
      </c>
      <c r="I970" s="54">
        <f t="shared" si="230"/>
        <v>8</v>
      </c>
      <c r="J970" s="61"/>
      <c r="K970" s="30"/>
      <c r="L970" s="1" t="s">
        <v>21</v>
      </c>
      <c r="M970" s="2">
        <v>5</v>
      </c>
      <c r="N970" s="1" t="s">
        <v>1031</v>
      </c>
      <c r="O970" s="1" t="s">
        <v>959</v>
      </c>
      <c r="P970" s="1" t="s">
        <v>1029</v>
      </c>
      <c r="Q970" s="1" t="s">
        <v>960</v>
      </c>
      <c r="R970" s="1" t="s">
        <v>46</v>
      </c>
      <c r="S970" s="13" t="s">
        <v>959</v>
      </c>
      <c r="T970" s="1" t="s">
        <v>1026</v>
      </c>
      <c r="V970" s="1" t="str">
        <f t="shared" si="228"/>
        <v>2.9\0.2:8</v>
      </c>
      <c r="W970" s="1" t="s">
        <v>94</v>
      </c>
      <c r="X970" s="3" t="s">
        <v>4</v>
      </c>
      <c r="Y970" s="7"/>
      <c r="Z970" s="206" t="s">
        <v>1062</v>
      </c>
      <c r="AA970" s="206"/>
      <c r="AC970" s="7"/>
      <c r="AD970" s="7"/>
      <c r="AE970" s="7"/>
      <c r="AG970" s="3" t="s">
        <v>732</v>
      </c>
      <c r="AH970" s="3">
        <v>17</v>
      </c>
      <c r="AI970" s="3">
        <v>18</v>
      </c>
      <c r="AJ970" s="3"/>
      <c r="AM970" s="3"/>
    </row>
    <row r="971" spans="1:39" x14ac:dyDescent="0.3">
      <c r="A971" s="5" t="str">
        <f t="shared" si="229"/>
        <v>BCV130</v>
      </c>
      <c r="B971" s="1" t="s">
        <v>1061</v>
      </c>
      <c r="C971" s="2" t="str">
        <f t="shared" si="225"/>
        <v>DIO1</v>
      </c>
      <c r="D971" s="2">
        <v>130</v>
      </c>
      <c r="E971" s="3">
        <f t="shared" si="226"/>
        <v>2</v>
      </c>
      <c r="F971" s="3">
        <f t="shared" si="227"/>
        <v>9</v>
      </c>
      <c r="G971" s="3">
        <v>0</v>
      </c>
      <c r="H971" s="60">
        <f t="shared" si="231"/>
        <v>2</v>
      </c>
      <c r="I971" s="54">
        <f t="shared" si="230"/>
        <v>9</v>
      </c>
      <c r="J971" s="61"/>
      <c r="K971" s="30"/>
      <c r="L971" s="1" t="s">
        <v>21</v>
      </c>
      <c r="M971" s="2">
        <v>5</v>
      </c>
      <c r="N971" s="1" t="s">
        <v>1031</v>
      </c>
      <c r="O971" s="1" t="s">
        <v>61</v>
      </c>
      <c r="P971" s="1" t="s">
        <v>1029</v>
      </c>
      <c r="Q971" s="1" t="s">
        <v>1028</v>
      </c>
      <c r="R971" s="1" t="s">
        <v>18</v>
      </c>
      <c r="S971" s="13" t="s">
        <v>1027</v>
      </c>
      <c r="T971" s="1" t="s">
        <v>1026</v>
      </c>
      <c r="V971" s="1" t="str">
        <f t="shared" si="228"/>
        <v>2.9\0.2:9</v>
      </c>
      <c r="W971" s="1" t="s">
        <v>1025</v>
      </c>
      <c r="X971" s="18">
        <v>0</v>
      </c>
      <c r="Y971" s="7"/>
      <c r="Z971" s="206" t="s">
        <v>1062</v>
      </c>
      <c r="AA971" s="206"/>
      <c r="AC971" s="7"/>
      <c r="AD971" s="7"/>
      <c r="AE971" s="7"/>
      <c r="AG971" s="3" t="s">
        <v>732</v>
      </c>
      <c r="AH971" s="3">
        <v>19</v>
      </c>
      <c r="AI971" s="3">
        <v>20</v>
      </c>
      <c r="AJ971" s="3"/>
      <c r="AM971" s="3"/>
    </row>
    <row r="972" spans="1:39" x14ac:dyDescent="0.3">
      <c r="A972" s="5" t="str">
        <f t="shared" si="229"/>
        <v>BCV130</v>
      </c>
      <c r="B972" s="1" t="s">
        <v>1061</v>
      </c>
      <c r="C972" s="2" t="str">
        <f t="shared" si="225"/>
        <v>DIO1</v>
      </c>
      <c r="D972" s="2">
        <v>130</v>
      </c>
      <c r="E972" s="3">
        <f t="shared" si="226"/>
        <v>2</v>
      </c>
      <c r="F972" s="3">
        <f t="shared" si="227"/>
        <v>9</v>
      </c>
      <c r="G972" s="3">
        <v>0</v>
      </c>
      <c r="H972" s="60">
        <f t="shared" si="231"/>
        <v>2</v>
      </c>
      <c r="I972" s="54">
        <f t="shared" si="230"/>
        <v>10</v>
      </c>
      <c r="J972" s="61"/>
      <c r="K972" s="30"/>
      <c r="L972" s="1" t="s">
        <v>21</v>
      </c>
      <c r="M972" s="2"/>
      <c r="O972" s="220"/>
      <c r="P972" s="220"/>
      <c r="S972" s="13"/>
      <c r="V972" s="1" t="str">
        <f t="shared" si="228"/>
        <v>2.9\0.2:10</v>
      </c>
      <c r="Z972" s="206" t="s">
        <v>1062</v>
      </c>
      <c r="AC972" s="7"/>
      <c r="AD972" s="7"/>
      <c r="AE972" s="7"/>
      <c r="AG972" s="3" t="s">
        <v>732</v>
      </c>
      <c r="AH972" s="3">
        <v>21</v>
      </c>
      <c r="AI972" s="3">
        <v>22</v>
      </c>
      <c r="AJ972" s="3"/>
      <c r="AM972" s="3"/>
    </row>
    <row r="973" spans="1:39" x14ac:dyDescent="0.3">
      <c r="A973" s="5" t="str">
        <f t="shared" si="229"/>
        <v>BCV130</v>
      </c>
      <c r="B973" s="1" t="s">
        <v>1061</v>
      </c>
      <c r="C973" s="2" t="str">
        <f t="shared" si="225"/>
        <v>DIO1</v>
      </c>
      <c r="D973" s="2">
        <v>130</v>
      </c>
      <c r="E973" s="3">
        <f t="shared" si="226"/>
        <v>2</v>
      </c>
      <c r="F973" s="3">
        <f t="shared" si="227"/>
        <v>9</v>
      </c>
      <c r="G973" s="3">
        <v>0</v>
      </c>
      <c r="H973" s="60">
        <f t="shared" si="231"/>
        <v>2</v>
      </c>
      <c r="I973" s="54">
        <f t="shared" si="230"/>
        <v>11</v>
      </c>
      <c r="J973" s="61"/>
      <c r="K973" s="30"/>
      <c r="L973" s="1" t="s">
        <v>21</v>
      </c>
      <c r="M973" s="2"/>
      <c r="O973" s="220"/>
      <c r="P973" s="220"/>
      <c r="S973" s="13"/>
      <c r="V973" s="1" t="str">
        <f t="shared" si="228"/>
        <v>2.9\0.2:11</v>
      </c>
      <c r="Z973" s="206" t="s">
        <v>1062</v>
      </c>
      <c r="AC973" s="7"/>
      <c r="AD973" s="7"/>
      <c r="AE973" s="7"/>
      <c r="AG973" s="3" t="s">
        <v>732</v>
      </c>
      <c r="AH973" s="3">
        <v>23</v>
      </c>
      <c r="AI973" s="3">
        <v>24</v>
      </c>
      <c r="AJ973" s="3"/>
      <c r="AM973" s="3"/>
    </row>
    <row r="974" spans="1:39" x14ac:dyDescent="0.3">
      <c r="A974" s="5" t="str">
        <f t="shared" si="229"/>
        <v>BCV130</v>
      </c>
      <c r="B974" s="1" t="s">
        <v>1061</v>
      </c>
      <c r="C974" s="2" t="str">
        <f t="shared" si="225"/>
        <v>DIO1</v>
      </c>
      <c r="D974" s="2">
        <v>130</v>
      </c>
      <c r="E974" s="3">
        <f t="shared" si="226"/>
        <v>2</v>
      </c>
      <c r="F974" s="3">
        <f t="shared" si="227"/>
        <v>9</v>
      </c>
      <c r="G974" s="3">
        <v>0</v>
      </c>
      <c r="H974" s="60">
        <f t="shared" si="231"/>
        <v>2</v>
      </c>
      <c r="I974" s="54">
        <f t="shared" si="230"/>
        <v>12</v>
      </c>
      <c r="J974" s="61"/>
      <c r="K974" s="30"/>
      <c r="L974" s="1" t="s">
        <v>21</v>
      </c>
      <c r="M974" s="2">
        <v>5</v>
      </c>
      <c r="N974" s="1" t="s">
        <v>1059</v>
      </c>
      <c r="O974" s="12" t="s">
        <v>962</v>
      </c>
      <c r="P974" s="12" t="s">
        <v>1058</v>
      </c>
      <c r="Q974" s="12" t="s">
        <v>963</v>
      </c>
      <c r="R974" s="12" t="s">
        <v>46</v>
      </c>
      <c r="S974" s="13" t="s">
        <v>962</v>
      </c>
      <c r="T974" s="1" t="s">
        <v>97</v>
      </c>
      <c r="V974" s="1" t="str">
        <f t="shared" si="228"/>
        <v>2.9\0.2:12</v>
      </c>
      <c r="W974" s="1" t="s">
        <v>96</v>
      </c>
      <c r="X974" s="3">
        <v>0</v>
      </c>
      <c r="Y974" s="7"/>
      <c r="Z974" s="206" t="s">
        <v>1062</v>
      </c>
      <c r="AA974" s="206"/>
      <c r="AC974" s="7"/>
      <c r="AD974" s="7"/>
      <c r="AE974" s="7"/>
      <c r="AG974" s="3" t="s">
        <v>732</v>
      </c>
      <c r="AH974" s="3">
        <v>25</v>
      </c>
      <c r="AI974" s="3">
        <v>26</v>
      </c>
      <c r="AJ974" s="3"/>
      <c r="AM974" s="3"/>
    </row>
    <row r="975" spans="1:39" x14ac:dyDescent="0.3">
      <c r="A975" s="5" t="str">
        <f t="shared" si="229"/>
        <v>BCV130</v>
      </c>
      <c r="B975" s="1" t="s">
        <v>1061</v>
      </c>
      <c r="C975" s="2" t="str">
        <f t="shared" si="225"/>
        <v>DIO1</v>
      </c>
      <c r="D975" s="2">
        <v>130</v>
      </c>
      <c r="E975" s="3">
        <f t="shared" si="226"/>
        <v>2</v>
      </c>
      <c r="F975" s="3">
        <f t="shared" si="227"/>
        <v>9</v>
      </c>
      <c r="G975" s="3">
        <v>0</v>
      </c>
      <c r="H975" s="60">
        <f t="shared" si="231"/>
        <v>2</v>
      </c>
      <c r="I975" s="54">
        <f t="shared" si="230"/>
        <v>13</v>
      </c>
      <c r="J975" s="61"/>
      <c r="K975" s="30"/>
      <c r="L975" s="1" t="s">
        <v>21</v>
      </c>
      <c r="M975" s="2">
        <v>5</v>
      </c>
      <c r="N975" s="1" t="s">
        <v>1059</v>
      </c>
      <c r="O975" s="1" t="s">
        <v>959</v>
      </c>
      <c r="P975" s="1" t="s">
        <v>1058</v>
      </c>
      <c r="Q975" s="1" t="s">
        <v>960</v>
      </c>
      <c r="R975" s="1" t="s">
        <v>46</v>
      </c>
      <c r="S975" s="13" t="s">
        <v>959</v>
      </c>
      <c r="T975" s="1" t="s">
        <v>97</v>
      </c>
      <c r="V975" s="1" t="str">
        <f t="shared" si="228"/>
        <v>2.9\0.2:13</v>
      </c>
      <c r="W975" s="1" t="s">
        <v>96</v>
      </c>
      <c r="X975" s="3">
        <v>0</v>
      </c>
      <c r="Y975" s="7"/>
      <c r="Z975" s="206" t="s">
        <v>1062</v>
      </c>
      <c r="AA975" s="206"/>
      <c r="AC975" s="7"/>
      <c r="AD975" s="7"/>
      <c r="AE975" s="7"/>
      <c r="AG975" s="3" t="s">
        <v>732</v>
      </c>
      <c r="AH975" s="3">
        <v>27</v>
      </c>
      <c r="AI975" s="3">
        <v>28</v>
      </c>
      <c r="AJ975" s="3"/>
      <c r="AM975" s="3"/>
    </row>
    <row r="976" spans="1:39" x14ac:dyDescent="0.3">
      <c r="A976" s="5" t="str">
        <f t="shared" si="229"/>
        <v>BCV130</v>
      </c>
      <c r="B976" s="1" t="s">
        <v>1061</v>
      </c>
      <c r="C976" s="2" t="str">
        <f t="shared" si="225"/>
        <v>DIO1</v>
      </c>
      <c r="D976" s="2">
        <v>130</v>
      </c>
      <c r="E976" s="3">
        <f t="shared" si="226"/>
        <v>2</v>
      </c>
      <c r="F976" s="3">
        <f t="shared" si="227"/>
        <v>9</v>
      </c>
      <c r="G976" s="3">
        <v>0</v>
      </c>
      <c r="H976" s="60">
        <f t="shared" si="231"/>
        <v>2</v>
      </c>
      <c r="I976" s="54">
        <f t="shared" si="230"/>
        <v>14</v>
      </c>
      <c r="J976" s="61"/>
      <c r="K976" s="30"/>
      <c r="L976" s="1" t="s">
        <v>21</v>
      </c>
      <c r="M976" s="2">
        <v>5</v>
      </c>
      <c r="N976" s="6" t="s">
        <v>1169</v>
      </c>
      <c r="O976" s="1" t="s">
        <v>962</v>
      </c>
      <c r="P976" s="1" t="s">
        <v>1056</v>
      </c>
      <c r="Q976" s="1" t="s">
        <v>963</v>
      </c>
      <c r="R976" s="1" t="s">
        <v>46</v>
      </c>
      <c r="S976" s="13" t="s">
        <v>962</v>
      </c>
      <c r="T976" s="6" t="s">
        <v>95</v>
      </c>
      <c r="V976" s="1" t="str">
        <f t="shared" si="228"/>
        <v>2.9\0.2:14</v>
      </c>
      <c r="W976" s="1" t="s">
        <v>94</v>
      </c>
      <c r="X976" s="3">
        <v>0</v>
      </c>
      <c r="Y976" s="7"/>
      <c r="Z976" s="206" t="s">
        <v>1062</v>
      </c>
      <c r="AA976" s="206"/>
      <c r="AC976" s="7"/>
      <c r="AD976" s="7"/>
      <c r="AE976" s="7"/>
      <c r="AG976" s="3" t="s">
        <v>732</v>
      </c>
      <c r="AH976" s="3">
        <v>29</v>
      </c>
      <c r="AI976" s="3">
        <v>30</v>
      </c>
      <c r="AJ976" s="3"/>
      <c r="AM976" s="3"/>
    </row>
    <row r="977" spans="1:39" x14ac:dyDescent="0.3">
      <c r="A977" s="5" t="str">
        <f t="shared" si="229"/>
        <v>BCV130</v>
      </c>
      <c r="B977" s="1" t="s">
        <v>1061</v>
      </c>
      <c r="C977" s="2" t="str">
        <f t="shared" si="225"/>
        <v>DIO1</v>
      </c>
      <c r="D977" s="2">
        <v>130</v>
      </c>
      <c r="E977" s="3">
        <f t="shared" si="226"/>
        <v>2</v>
      </c>
      <c r="F977" s="3">
        <f t="shared" si="227"/>
        <v>9</v>
      </c>
      <c r="G977" s="3">
        <v>0</v>
      </c>
      <c r="H977" s="60">
        <f t="shared" ref="H977:H993" si="232">H973</f>
        <v>2</v>
      </c>
      <c r="I977" s="54">
        <f t="shared" si="230"/>
        <v>15</v>
      </c>
      <c r="J977" s="61"/>
      <c r="K977" s="30"/>
      <c r="L977" s="1" t="s">
        <v>21</v>
      </c>
      <c r="M977" s="2">
        <v>5</v>
      </c>
      <c r="N977" s="6" t="s">
        <v>1169</v>
      </c>
      <c r="O977" s="1" t="s">
        <v>959</v>
      </c>
      <c r="P977" s="1" t="s">
        <v>1056</v>
      </c>
      <c r="Q977" s="1" t="s">
        <v>960</v>
      </c>
      <c r="R977" s="1" t="s">
        <v>46</v>
      </c>
      <c r="S977" s="13" t="s">
        <v>959</v>
      </c>
      <c r="T977" s="6" t="s">
        <v>95</v>
      </c>
      <c r="V977" s="1" t="str">
        <f t="shared" si="228"/>
        <v>2.9\0.2:15</v>
      </c>
      <c r="W977" s="1" t="s">
        <v>94</v>
      </c>
      <c r="X977" s="3">
        <v>0</v>
      </c>
      <c r="Y977" s="7"/>
      <c r="Z977" s="206" t="s">
        <v>1062</v>
      </c>
      <c r="AA977" s="206"/>
      <c r="AC977" s="7"/>
      <c r="AD977" s="7"/>
      <c r="AE977" s="7"/>
      <c r="AG977" s="3" t="s">
        <v>732</v>
      </c>
      <c r="AH977" s="3">
        <v>31</v>
      </c>
      <c r="AI977" s="3">
        <v>32</v>
      </c>
      <c r="AJ977" s="3"/>
      <c r="AM977" s="3"/>
    </row>
    <row r="978" spans="1:39" x14ac:dyDescent="0.3">
      <c r="A978" s="5" t="str">
        <f t="shared" si="229"/>
        <v>BCV130</v>
      </c>
      <c r="B978" s="1" t="s">
        <v>1061</v>
      </c>
      <c r="C978" s="2" t="str">
        <f t="shared" si="225"/>
        <v>DIO1</v>
      </c>
      <c r="D978" s="2">
        <v>130</v>
      </c>
      <c r="E978" s="3">
        <f t="shared" si="226"/>
        <v>2</v>
      </c>
      <c r="F978" s="3">
        <f t="shared" si="227"/>
        <v>9</v>
      </c>
      <c r="G978" s="3">
        <v>0</v>
      </c>
      <c r="H978" s="60">
        <f t="shared" si="232"/>
        <v>2</v>
      </c>
      <c r="I978" s="54">
        <f t="shared" si="230"/>
        <v>16</v>
      </c>
      <c r="J978" s="61"/>
      <c r="K978" s="2"/>
      <c r="L978" s="1" t="s">
        <v>21</v>
      </c>
      <c r="M978" s="2"/>
      <c r="S978" s="13"/>
      <c r="V978" s="1" t="str">
        <f t="shared" si="228"/>
        <v>2.9\0.2:16</v>
      </c>
      <c r="Y978" s="7"/>
      <c r="Z978" s="206" t="s">
        <v>1062</v>
      </c>
      <c r="AA978" s="206"/>
      <c r="AC978" s="7"/>
      <c r="AD978" s="7"/>
      <c r="AE978" s="7"/>
      <c r="AG978" s="3" t="s">
        <v>668</v>
      </c>
      <c r="AH978" s="3">
        <v>1</v>
      </c>
      <c r="AI978" s="3">
        <v>2</v>
      </c>
      <c r="AJ978" s="3"/>
      <c r="AM978" s="3"/>
    </row>
    <row r="979" spans="1:39" x14ac:dyDescent="0.3">
      <c r="A979" s="5" t="str">
        <f t="shared" si="229"/>
        <v>BCV130</v>
      </c>
      <c r="B979" s="1" t="s">
        <v>1061</v>
      </c>
      <c r="C979" s="2" t="str">
        <f t="shared" si="225"/>
        <v>DIO1</v>
      </c>
      <c r="D979" s="2">
        <v>130</v>
      </c>
      <c r="E979" s="3">
        <f t="shared" si="226"/>
        <v>2</v>
      </c>
      <c r="F979" s="3">
        <f t="shared" si="227"/>
        <v>9</v>
      </c>
      <c r="G979" s="3">
        <v>0</v>
      </c>
      <c r="H979" s="60">
        <f t="shared" si="232"/>
        <v>2</v>
      </c>
      <c r="I979" s="54">
        <f t="shared" si="230"/>
        <v>17</v>
      </c>
      <c r="J979" s="61"/>
      <c r="K979" s="30"/>
      <c r="L979" s="1" t="s">
        <v>21</v>
      </c>
      <c r="M979" s="2">
        <v>4</v>
      </c>
      <c r="N979" s="1" t="s">
        <v>1167</v>
      </c>
      <c r="O979" s="1" t="s">
        <v>650</v>
      </c>
      <c r="P979" s="1" t="s">
        <v>1154</v>
      </c>
      <c r="Q979" s="41" t="s">
        <v>1168</v>
      </c>
      <c r="R979" s="1" t="s">
        <v>1157</v>
      </c>
      <c r="S979" s="13"/>
      <c r="T979" s="13" t="s">
        <v>1026</v>
      </c>
      <c r="V979" s="1" t="str">
        <f t="shared" si="228"/>
        <v>2.9\0.2:17</v>
      </c>
      <c r="W979" s="1" t="s">
        <v>1115</v>
      </c>
      <c r="X979" s="18">
        <v>0</v>
      </c>
      <c r="Y979" s="7"/>
      <c r="Z979" s="206" t="s">
        <v>1062</v>
      </c>
      <c r="AA979" s="206"/>
      <c r="AC979" s="7"/>
      <c r="AD979" s="7"/>
      <c r="AE979" s="7"/>
      <c r="AG979" s="3" t="s">
        <v>668</v>
      </c>
      <c r="AH979" s="3">
        <v>3</v>
      </c>
      <c r="AI979" s="3">
        <v>4</v>
      </c>
      <c r="AJ979" s="3"/>
      <c r="AM979" s="3"/>
    </row>
    <row r="980" spans="1:39" x14ac:dyDescent="0.3">
      <c r="A980" s="5" t="str">
        <f t="shared" si="229"/>
        <v>BCV130</v>
      </c>
      <c r="B980" s="1" t="s">
        <v>1061</v>
      </c>
      <c r="C980" s="2" t="str">
        <f t="shared" si="225"/>
        <v>DIO1</v>
      </c>
      <c r="D980" s="2">
        <v>130</v>
      </c>
      <c r="E980" s="3">
        <f t="shared" si="226"/>
        <v>2</v>
      </c>
      <c r="F980" s="3">
        <f t="shared" si="227"/>
        <v>9</v>
      </c>
      <c r="G980" s="3">
        <v>0</v>
      </c>
      <c r="H980" s="60">
        <f t="shared" si="232"/>
        <v>2</v>
      </c>
      <c r="I980" s="54">
        <f t="shared" si="230"/>
        <v>18</v>
      </c>
      <c r="J980" s="61"/>
      <c r="K980" s="30"/>
      <c r="L980" s="1" t="s">
        <v>21</v>
      </c>
      <c r="M980" s="2">
        <v>4</v>
      </c>
      <c r="N980" s="1" t="s">
        <v>1167</v>
      </c>
      <c r="O980" s="1" t="s">
        <v>1166</v>
      </c>
      <c r="P980" s="1" t="s">
        <v>1154</v>
      </c>
      <c r="Q980" s="41" t="s">
        <v>1165</v>
      </c>
      <c r="R980" s="1" t="s">
        <v>1151</v>
      </c>
      <c r="S980" s="13"/>
      <c r="T980" s="13" t="s">
        <v>1026</v>
      </c>
      <c r="V980" s="1" t="str">
        <f t="shared" si="228"/>
        <v>2.9\0.2:18</v>
      </c>
      <c r="W980" s="1" t="s">
        <v>1115</v>
      </c>
      <c r="X980" s="18">
        <v>0</v>
      </c>
      <c r="Y980" s="7"/>
      <c r="Z980" s="206" t="s">
        <v>1062</v>
      </c>
      <c r="AA980" s="206"/>
      <c r="AC980" s="7"/>
      <c r="AD980" s="7"/>
      <c r="AE980" s="7"/>
      <c r="AG980" s="3" t="s">
        <v>668</v>
      </c>
      <c r="AH980" s="3">
        <v>5</v>
      </c>
      <c r="AI980" s="3">
        <v>6</v>
      </c>
      <c r="AJ980" s="3"/>
      <c r="AM980" s="3"/>
    </row>
    <row r="981" spans="1:39" ht="14.5" x14ac:dyDescent="0.35">
      <c r="A981" s="5" t="str">
        <f t="shared" si="229"/>
        <v>BCV130</v>
      </c>
      <c r="B981" s="1" t="s">
        <v>1061</v>
      </c>
      <c r="C981" s="2" t="str">
        <f t="shared" si="225"/>
        <v>DIO1</v>
      </c>
      <c r="D981" s="2">
        <v>130</v>
      </c>
      <c r="E981" s="3">
        <f t="shared" si="226"/>
        <v>2</v>
      </c>
      <c r="F981" s="3">
        <f t="shared" si="227"/>
        <v>9</v>
      </c>
      <c r="G981" s="3">
        <v>0</v>
      </c>
      <c r="H981" s="60">
        <f t="shared" si="232"/>
        <v>2</v>
      </c>
      <c r="I981" s="54">
        <f t="shared" si="230"/>
        <v>19</v>
      </c>
      <c r="J981" s="61"/>
      <c r="K981" s="30"/>
      <c r="L981" s="1" t="s">
        <v>21</v>
      </c>
      <c r="M981" s="2">
        <v>4</v>
      </c>
      <c r="N981" s="1" t="s">
        <v>1162</v>
      </c>
      <c r="O981" s="220" t="s">
        <v>1164</v>
      </c>
      <c r="P981" s="220" t="s">
        <v>1154</v>
      </c>
      <c r="Q981" s="221" t="s">
        <v>1163</v>
      </c>
      <c r="R981" s="220" t="s">
        <v>1157</v>
      </c>
      <c r="S981" s="13"/>
      <c r="T981" s="13" t="s">
        <v>1026</v>
      </c>
      <c r="V981" s="1" t="str">
        <f t="shared" si="228"/>
        <v>2.9\0.2:19</v>
      </c>
      <c r="W981" s="1" t="s">
        <v>1115</v>
      </c>
      <c r="X981" s="18">
        <v>0</v>
      </c>
      <c r="Y981" s="219"/>
      <c r="Z981" s="206" t="s">
        <v>1062</v>
      </c>
      <c r="AA981" s="206"/>
      <c r="AC981" s="7"/>
      <c r="AD981" s="7"/>
      <c r="AE981" s="7"/>
      <c r="AG981" s="3" t="s">
        <v>668</v>
      </c>
      <c r="AH981" s="3">
        <v>7</v>
      </c>
      <c r="AI981" s="3">
        <v>8</v>
      </c>
      <c r="AJ981" s="3"/>
      <c r="AM981" s="3"/>
    </row>
    <row r="982" spans="1:39" x14ac:dyDescent="0.3">
      <c r="A982" s="5" t="str">
        <f t="shared" si="229"/>
        <v>BCV130</v>
      </c>
      <c r="B982" s="1" t="s">
        <v>1061</v>
      </c>
      <c r="C982" s="2" t="str">
        <f t="shared" si="225"/>
        <v>DIO1</v>
      </c>
      <c r="D982" s="2">
        <v>130</v>
      </c>
      <c r="E982" s="3">
        <f t="shared" si="226"/>
        <v>2</v>
      </c>
      <c r="F982" s="3">
        <f t="shared" si="227"/>
        <v>9</v>
      </c>
      <c r="G982" s="3">
        <v>0</v>
      </c>
      <c r="H982" s="60">
        <f t="shared" si="232"/>
        <v>2</v>
      </c>
      <c r="I982" s="54">
        <f t="shared" si="230"/>
        <v>20</v>
      </c>
      <c r="J982" s="61"/>
      <c r="K982" s="30"/>
      <c r="L982" s="1" t="s">
        <v>21</v>
      </c>
      <c r="M982" s="2">
        <v>4</v>
      </c>
      <c r="N982" s="1" t="s">
        <v>1162</v>
      </c>
      <c r="O982" s="1" t="s">
        <v>1161</v>
      </c>
      <c r="P982" s="1" t="s">
        <v>1154</v>
      </c>
      <c r="Q982" s="2" t="s">
        <v>1160</v>
      </c>
      <c r="R982" s="2" t="s">
        <v>18</v>
      </c>
      <c r="S982" s="13"/>
      <c r="T982" s="13" t="s">
        <v>1026</v>
      </c>
      <c r="V982" s="1" t="str">
        <f t="shared" si="228"/>
        <v>2.9\0.2:20</v>
      </c>
      <c r="W982" s="1" t="s">
        <v>1115</v>
      </c>
      <c r="X982" s="18">
        <v>0</v>
      </c>
      <c r="Y982" s="7"/>
      <c r="Z982" s="206" t="s">
        <v>1062</v>
      </c>
      <c r="AA982" s="206"/>
      <c r="AC982" s="7"/>
      <c r="AD982" s="7"/>
      <c r="AE982" s="7"/>
      <c r="AG982" s="3" t="s">
        <v>668</v>
      </c>
      <c r="AH982" s="3">
        <v>9</v>
      </c>
      <c r="AI982" s="3">
        <v>10</v>
      </c>
      <c r="AJ982" s="3"/>
      <c r="AM982" s="3"/>
    </row>
    <row r="983" spans="1:39" x14ac:dyDescent="0.3">
      <c r="A983" s="5" t="str">
        <f t="shared" si="229"/>
        <v>BCV130</v>
      </c>
      <c r="B983" s="1" t="s">
        <v>1061</v>
      </c>
      <c r="C983" s="2" t="str">
        <f t="shared" si="225"/>
        <v>DIO1</v>
      </c>
      <c r="D983" s="2">
        <v>130</v>
      </c>
      <c r="E983" s="3">
        <f t="shared" si="226"/>
        <v>2</v>
      </c>
      <c r="F983" s="3">
        <f t="shared" si="227"/>
        <v>9</v>
      </c>
      <c r="G983" s="3">
        <v>0</v>
      </c>
      <c r="H983" s="60">
        <f t="shared" si="232"/>
        <v>2</v>
      </c>
      <c r="I983" s="54">
        <f t="shared" si="230"/>
        <v>21</v>
      </c>
      <c r="J983" s="61"/>
      <c r="K983" s="30"/>
      <c r="L983" s="1" t="s">
        <v>21</v>
      </c>
      <c r="M983" s="2">
        <v>4</v>
      </c>
      <c r="N983" s="1" t="s">
        <v>1156</v>
      </c>
      <c r="O983" s="1" t="s">
        <v>1159</v>
      </c>
      <c r="P983" s="1" t="s">
        <v>1154</v>
      </c>
      <c r="Q983" s="2" t="s">
        <v>1158</v>
      </c>
      <c r="R983" s="2" t="s">
        <v>1157</v>
      </c>
      <c r="S983" s="13"/>
      <c r="T983" s="13" t="s">
        <v>1026</v>
      </c>
      <c r="V983" s="1" t="str">
        <f t="shared" si="228"/>
        <v>2.9\0.2:21</v>
      </c>
      <c r="W983" s="1" t="s">
        <v>1115</v>
      </c>
      <c r="X983" s="18">
        <v>0</v>
      </c>
      <c r="Y983" s="7"/>
      <c r="Z983" s="206" t="s">
        <v>1062</v>
      </c>
      <c r="AA983" s="206"/>
      <c r="AC983" s="7"/>
      <c r="AD983" s="7"/>
      <c r="AE983" s="7"/>
      <c r="AG983" s="3" t="s">
        <v>668</v>
      </c>
      <c r="AH983" s="3">
        <v>11</v>
      </c>
      <c r="AI983" s="3">
        <v>12</v>
      </c>
      <c r="AJ983" s="3"/>
      <c r="AM983" s="3"/>
    </row>
    <row r="984" spans="1:39" x14ac:dyDescent="0.3">
      <c r="A984" s="5" t="str">
        <f t="shared" si="229"/>
        <v>BCV130</v>
      </c>
      <c r="B984" s="1" t="s">
        <v>1061</v>
      </c>
      <c r="C984" s="2" t="str">
        <f t="shared" si="225"/>
        <v>DIO1</v>
      </c>
      <c r="D984" s="2">
        <v>130</v>
      </c>
      <c r="E984" s="3">
        <f t="shared" si="226"/>
        <v>2</v>
      </c>
      <c r="F984" s="3">
        <f t="shared" si="227"/>
        <v>9</v>
      </c>
      <c r="G984" s="3">
        <v>0</v>
      </c>
      <c r="H984" s="60">
        <f t="shared" si="232"/>
        <v>2</v>
      </c>
      <c r="I984" s="54">
        <f t="shared" si="230"/>
        <v>22</v>
      </c>
      <c r="J984" s="61"/>
      <c r="K984" s="30"/>
      <c r="L984" s="1" t="s">
        <v>21</v>
      </c>
      <c r="M984" s="2">
        <v>4</v>
      </c>
      <c r="N984" s="1" t="s">
        <v>1156</v>
      </c>
      <c r="O984" s="1" t="s">
        <v>1155</v>
      </c>
      <c r="P984" s="1" t="s">
        <v>1154</v>
      </c>
      <c r="Q984" s="2" t="s">
        <v>1153</v>
      </c>
      <c r="R984" s="2" t="s">
        <v>18</v>
      </c>
      <c r="S984" s="13"/>
      <c r="T984" s="13" t="s">
        <v>1026</v>
      </c>
      <c r="V984" s="1" t="str">
        <f t="shared" si="228"/>
        <v>2.9\0.2:22</v>
      </c>
      <c r="W984" s="1" t="s">
        <v>1115</v>
      </c>
      <c r="X984" s="18">
        <v>0</v>
      </c>
      <c r="Z984" s="206" t="s">
        <v>1062</v>
      </c>
      <c r="AG984" s="3" t="s">
        <v>668</v>
      </c>
      <c r="AH984" s="3">
        <v>13</v>
      </c>
      <c r="AI984" s="3">
        <v>14</v>
      </c>
      <c r="AJ984" s="3"/>
      <c r="AM984" s="3"/>
    </row>
    <row r="985" spans="1:39" x14ac:dyDescent="0.3">
      <c r="A985" s="5" t="str">
        <f t="shared" si="229"/>
        <v>BCV130</v>
      </c>
      <c r="B985" s="1" t="s">
        <v>1061</v>
      </c>
      <c r="C985" s="2" t="str">
        <f t="shared" si="225"/>
        <v>DIO1</v>
      </c>
      <c r="D985" s="2">
        <v>130</v>
      </c>
      <c r="E985" s="3">
        <f t="shared" si="226"/>
        <v>2</v>
      </c>
      <c r="F985" s="3">
        <f t="shared" si="227"/>
        <v>9</v>
      </c>
      <c r="G985" s="3">
        <v>0</v>
      </c>
      <c r="H985" s="60">
        <f t="shared" si="232"/>
        <v>2</v>
      </c>
      <c r="I985" s="54">
        <f t="shared" si="230"/>
        <v>23</v>
      </c>
      <c r="J985" s="61"/>
      <c r="K985" s="30"/>
      <c r="L985" s="1" t="s">
        <v>21</v>
      </c>
      <c r="M985" s="2">
        <v>4</v>
      </c>
      <c r="N985" s="1" t="s">
        <v>1150</v>
      </c>
      <c r="O985" s="1" t="s">
        <v>994</v>
      </c>
      <c r="P985" s="1" t="s">
        <v>1149</v>
      </c>
      <c r="Q985" s="2" t="s">
        <v>1152</v>
      </c>
      <c r="R985" s="2" t="s">
        <v>1151</v>
      </c>
      <c r="S985" s="13"/>
      <c r="T985" s="13" t="s">
        <v>1026</v>
      </c>
      <c r="V985" s="1" t="str">
        <f t="shared" si="228"/>
        <v>2.9\0.2:23</v>
      </c>
      <c r="W985" s="1" t="s">
        <v>1115</v>
      </c>
      <c r="X985" s="18">
        <v>0</v>
      </c>
      <c r="Z985" s="206" t="s">
        <v>1062</v>
      </c>
      <c r="AG985" s="3" t="s">
        <v>668</v>
      </c>
      <c r="AH985" s="3">
        <v>15</v>
      </c>
      <c r="AI985" s="3">
        <v>16</v>
      </c>
      <c r="AJ985" s="3"/>
      <c r="AM985" s="3"/>
    </row>
    <row r="986" spans="1:39" x14ac:dyDescent="0.3">
      <c r="A986" s="5" t="str">
        <f t="shared" si="229"/>
        <v>BCV130</v>
      </c>
      <c r="B986" s="1" t="s">
        <v>1061</v>
      </c>
      <c r="C986" s="2" t="str">
        <f t="shared" si="225"/>
        <v>DIO1</v>
      </c>
      <c r="D986" s="2">
        <v>130</v>
      </c>
      <c r="E986" s="3">
        <f t="shared" si="226"/>
        <v>2</v>
      </c>
      <c r="F986" s="3">
        <f t="shared" si="227"/>
        <v>9</v>
      </c>
      <c r="G986" s="3">
        <v>0</v>
      </c>
      <c r="H986" s="60">
        <f t="shared" si="232"/>
        <v>2</v>
      </c>
      <c r="I986" s="54">
        <f t="shared" si="230"/>
        <v>24</v>
      </c>
      <c r="J986" s="61"/>
      <c r="K986" s="30"/>
      <c r="L986" s="1" t="s">
        <v>21</v>
      </c>
      <c r="M986" s="2">
        <v>4</v>
      </c>
      <c r="N986" s="1" t="s">
        <v>1150</v>
      </c>
      <c r="O986" s="1" t="s">
        <v>655</v>
      </c>
      <c r="P986" s="1" t="s">
        <v>1149</v>
      </c>
      <c r="Q986" s="2" t="s">
        <v>1148</v>
      </c>
      <c r="R986" s="2" t="s">
        <v>1147</v>
      </c>
      <c r="S986" s="13"/>
      <c r="T986" s="13" t="s">
        <v>1026</v>
      </c>
      <c r="V986" s="1" t="str">
        <f t="shared" si="228"/>
        <v>2.9\0.2:24</v>
      </c>
      <c r="W986" s="1" t="s">
        <v>1115</v>
      </c>
      <c r="X986" s="18">
        <v>0</v>
      </c>
      <c r="Z986" s="206" t="s">
        <v>1062</v>
      </c>
      <c r="AG986" s="3" t="s">
        <v>668</v>
      </c>
      <c r="AH986" s="3">
        <v>17</v>
      </c>
      <c r="AI986" s="3">
        <v>18</v>
      </c>
      <c r="AJ986" s="3"/>
      <c r="AM986" s="3"/>
    </row>
    <row r="987" spans="1:39" x14ac:dyDescent="0.3">
      <c r="A987" s="5" t="str">
        <f t="shared" si="229"/>
        <v>BCV130</v>
      </c>
      <c r="B987" s="1" t="s">
        <v>1061</v>
      </c>
      <c r="C987" s="2" t="str">
        <f t="shared" si="225"/>
        <v>DIO1</v>
      </c>
      <c r="D987" s="2">
        <v>130</v>
      </c>
      <c r="E987" s="3">
        <f t="shared" si="226"/>
        <v>2</v>
      </c>
      <c r="F987" s="3">
        <f t="shared" si="227"/>
        <v>9</v>
      </c>
      <c r="G987" s="3">
        <v>0</v>
      </c>
      <c r="H987" s="60">
        <f t="shared" si="232"/>
        <v>2</v>
      </c>
      <c r="I987" s="54">
        <f t="shared" si="230"/>
        <v>25</v>
      </c>
      <c r="J987" s="61"/>
      <c r="K987" s="30"/>
      <c r="L987" s="1" t="s">
        <v>21</v>
      </c>
      <c r="M987" s="24">
        <v>4</v>
      </c>
      <c r="N987" s="1" t="s">
        <v>1057</v>
      </c>
      <c r="O987" s="1" t="s">
        <v>962</v>
      </c>
      <c r="P987" s="1" t="s">
        <v>1100</v>
      </c>
      <c r="Q987" s="1" t="s">
        <v>963</v>
      </c>
      <c r="R987" s="1" t="s">
        <v>46</v>
      </c>
      <c r="S987" s="13" t="s">
        <v>962</v>
      </c>
      <c r="T987" s="1" t="s">
        <v>200</v>
      </c>
      <c r="V987" s="1" t="str">
        <f t="shared" si="228"/>
        <v>2.9\0.2:25</v>
      </c>
      <c r="W987" s="1" t="s">
        <v>98</v>
      </c>
      <c r="X987" s="3" t="s">
        <v>4</v>
      </c>
      <c r="Z987" s="206" t="s">
        <v>1062</v>
      </c>
      <c r="AG987" s="3" t="s">
        <v>668</v>
      </c>
      <c r="AH987" s="3">
        <v>19</v>
      </c>
      <c r="AI987" s="3">
        <v>20</v>
      </c>
      <c r="AJ987" s="3"/>
      <c r="AM987" s="3"/>
    </row>
    <row r="988" spans="1:39" x14ac:dyDescent="0.3">
      <c r="A988" s="5" t="str">
        <f t="shared" si="229"/>
        <v>BCV130</v>
      </c>
      <c r="B988" s="1" t="s">
        <v>1061</v>
      </c>
      <c r="C988" s="2" t="str">
        <f t="shared" si="225"/>
        <v>DIO1</v>
      </c>
      <c r="D988" s="2">
        <v>130</v>
      </c>
      <c r="E988" s="3">
        <f t="shared" si="226"/>
        <v>2</v>
      </c>
      <c r="F988" s="3">
        <f t="shared" si="227"/>
        <v>9</v>
      </c>
      <c r="G988" s="3">
        <v>0</v>
      </c>
      <c r="H988" s="60">
        <f t="shared" si="232"/>
        <v>2</v>
      </c>
      <c r="I988" s="54">
        <f t="shared" si="230"/>
        <v>26</v>
      </c>
      <c r="J988" s="61"/>
      <c r="K988" s="30"/>
      <c r="L988" s="1" t="s">
        <v>21</v>
      </c>
      <c r="M988" s="24">
        <v>4</v>
      </c>
      <c r="N988" s="1" t="s">
        <v>1057</v>
      </c>
      <c r="O988" s="1" t="s">
        <v>959</v>
      </c>
      <c r="P988" s="1" t="s">
        <v>1100</v>
      </c>
      <c r="Q988" s="1" t="s">
        <v>960</v>
      </c>
      <c r="R988" s="1" t="s">
        <v>46</v>
      </c>
      <c r="S988" s="13" t="s">
        <v>959</v>
      </c>
      <c r="T988" s="1" t="s">
        <v>200</v>
      </c>
      <c r="V988" s="1" t="str">
        <f t="shared" si="228"/>
        <v>2.9\0.2:26</v>
      </c>
      <c r="W988" s="1" t="s">
        <v>98</v>
      </c>
      <c r="X988" s="3" t="s">
        <v>4</v>
      </c>
      <c r="Z988" s="206" t="s">
        <v>1062</v>
      </c>
      <c r="AG988" s="3" t="s">
        <v>668</v>
      </c>
      <c r="AH988" s="3">
        <v>21</v>
      </c>
      <c r="AI988" s="3">
        <v>22</v>
      </c>
      <c r="AJ988" s="3"/>
      <c r="AM988" s="3"/>
    </row>
    <row r="989" spans="1:39" x14ac:dyDescent="0.3">
      <c r="A989" s="5" t="str">
        <f t="shared" si="229"/>
        <v>BCV130</v>
      </c>
      <c r="B989" s="1" t="s">
        <v>1061</v>
      </c>
      <c r="C989" s="2" t="str">
        <f t="shared" si="225"/>
        <v>DIO1</v>
      </c>
      <c r="D989" s="2">
        <v>130</v>
      </c>
      <c r="E989" s="3">
        <f t="shared" si="226"/>
        <v>2</v>
      </c>
      <c r="F989" s="3">
        <f t="shared" si="227"/>
        <v>9</v>
      </c>
      <c r="G989" s="3">
        <v>0</v>
      </c>
      <c r="H989" s="60">
        <f t="shared" si="232"/>
        <v>2</v>
      </c>
      <c r="I989" s="54">
        <f t="shared" si="230"/>
        <v>27</v>
      </c>
      <c r="J989" s="61"/>
      <c r="K989" s="30"/>
      <c r="L989" s="1" t="s">
        <v>21</v>
      </c>
      <c r="M989" s="2"/>
      <c r="Q989" s="1" t="s">
        <v>302</v>
      </c>
      <c r="R989" s="1" t="s">
        <v>302</v>
      </c>
      <c r="S989" s="13"/>
      <c r="V989" s="1" t="str">
        <f t="shared" si="228"/>
        <v>2.9\0.2:27</v>
      </c>
      <c r="Z989" s="206" t="s">
        <v>1062</v>
      </c>
      <c r="AG989" s="3" t="s">
        <v>668</v>
      </c>
      <c r="AH989" s="3">
        <v>23</v>
      </c>
      <c r="AI989" s="3">
        <v>24</v>
      </c>
      <c r="AJ989" s="3"/>
      <c r="AM989" s="3"/>
    </row>
    <row r="990" spans="1:39" x14ac:dyDescent="0.3">
      <c r="A990" s="5" t="str">
        <f t="shared" si="229"/>
        <v>BCV130</v>
      </c>
      <c r="B990" s="1" t="s">
        <v>1061</v>
      </c>
      <c r="C990" s="2" t="str">
        <f t="shared" si="225"/>
        <v>DIO1</v>
      </c>
      <c r="D990" s="2">
        <v>130</v>
      </c>
      <c r="E990" s="3">
        <f t="shared" si="226"/>
        <v>2</v>
      </c>
      <c r="F990" s="3">
        <f t="shared" si="227"/>
        <v>9</v>
      </c>
      <c r="G990" s="3">
        <v>0</v>
      </c>
      <c r="H990" s="60">
        <f t="shared" si="232"/>
        <v>2</v>
      </c>
      <c r="I990" s="54">
        <f t="shared" si="230"/>
        <v>28</v>
      </c>
      <c r="J990" s="61"/>
      <c r="K990" s="30"/>
      <c r="L990" s="1" t="s">
        <v>21</v>
      </c>
      <c r="M990" s="2">
        <v>4</v>
      </c>
      <c r="N990" s="1" t="s">
        <v>1104</v>
      </c>
      <c r="O990" s="1" t="s">
        <v>1146</v>
      </c>
      <c r="P990" s="1" t="s">
        <v>1102</v>
      </c>
      <c r="Q990" s="1" t="s">
        <v>998</v>
      </c>
      <c r="R990" s="1" t="s">
        <v>734</v>
      </c>
      <c r="S990" s="13"/>
      <c r="T990" s="1" t="s">
        <v>17</v>
      </c>
      <c r="V990" s="1" t="str">
        <f t="shared" si="228"/>
        <v>2.9\0.2:28</v>
      </c>
      <c r="W990" s="1" t="s">
        <v>1098</v>
      </c>
      <c r="X990" s="3">
        <v>0</v>
      </c>
      <c r="Z990" s="206" t="s">
        <v>1062</v>
      </c>
      <c r="AG990" s="3" t="s">
        <v>668</v>
      </c>
      <c r="AH990" s="3">
        <v>25</v>
      </c>
      <c r="AI990" s="3">
        <v>26</v>
      </c>
      <c r="AJ990" s="3"/>
      <c r="AM990" s="3"/>
    </row>
    <row r="991" spans="1:39" x14ac:dyDescent="0.3">
      <c r="A991" s="5" t="str">
        <f t="shared" si="229"/>
        <v>BCV130</v>
      </c>
      <c r="B991" s="1" t="s">
        <v>1061</v>
      </c>
      <c r="C991" s="2" t="str">
        <f t="shared" ref="C991:C1022" si="233">+C990</f>
        <v>DIO1</v>
      </c>
      <c r="D991" s="2">
        <v>130</v>
      </c>
      <c r="E991" s="3">
        <f t="shared" ref="E991:E1022" si="234">+E990</f>
        <v>2</v>
      </c>
      <c r="F991" s="3">
        <f t="shared" ref="F991:F1022" si="235">+F990</f>
        <v>9</v>
      </c>
      <c r="G991" s="3">
        <v>0</v>
      </c>
      <c r="H991" s="60">
        <f t="shared" si="232"/>
        <v>2</v>
      </c>
      <c r="I991" s="54">
        <f t="shared" si="230"/>
        <v>29</v>
      </c>
      <c r="J991" s="61"/>
      <c r="K991" s="30"/>
      <c r="L991" s="1" t="s">
        <v>21</v>
      </c>
      <c r="M991" s="2">
        <v>5</v>
      </c>
      <c r="N991" s="1" t="s">
        <v>1053</v>
      </c>
      <c r="O991" s="1" t="s">
        <v>962</v>
      </c>
      <c r="P991" s="1" t="s">
        <v>1052</v>
      </c>
      <c r="Q991" s="1" t="s">
        <v>963</v>
      </c>
      <c r="R991" s="1" t="s">
        <v>46</v>
      </c>
      <c r="S991" s="13" t="s">
        <v>962</v>
      </c>
      <c r="T991" s="1" t="s">
        <v>105</v>
      </c>
      <c r="V991" s="1" t="str">
        <f t="shared" si="228"/>
        <v>2.9\0.2:29</v>
      </c>
      <c r="W991" s="1" t="s">
        <v>104</v>
      </c>
      <c r="X991" s="3">
        <v>0</v>
      </c>
      <c r="Z991" s="206" t="s">
        <v>1062</v>
      </c>
      <c r="AG991" s="3" t="s">
        <v>668</v>
      </c>
      <c r="AH991" s="3">
        <v>27</v>
      </c>
      <c r="AI991" s="3">
        <v>28</v>
      </c>
      <c r="AJ991" s="3"/>
      <c r="AM991" s="3"/>
    </row>
    <row r="992" spans="1:39" x14ac:dyDescent="0.3">
      <c r="A992" s="5" t="str">
        <f t="shared" si="229"/>
        <v>BCV130</v>
      </c>
      <c r="B992" s="1" t="s">
        <v>1061</v>
      </c>
      <c r="C992" s="2" t="str">
        <f t="shared" si="233"/>
        <v>DIO1</v>
      </c>
      <c r="D992" s="2">
        <v>130</v>
      </c>
      <c r="E992" s="3">
        <f t="shared" si="234"/>
        <v>2</v>
      </c>
      <c r="F992" s="3">
        <f t="shared" si="235"/>
        <v>9</v>
      </c>
      <c r="G992" s="3">
        <v>0</v>
      </c>
      <c r="H992" s="60">
        <f t="shared" si="232"/>
        <v>2</v>
      </c>
      <c r="I992" s="54">
        <f t="shared" si="230"/>
        <v>30</v>
      </c>
      <c r="J992" s="61"/>
      <c r="K992" s="30"/>
      <c r="L992" s="1" t="s">
        <v>21</v>
      </c>
      <c r="M992" s="2">
        <v>5</v>
      </c>
      <c r="N992" s="1" t="s">
        <v>1053</v>
      </c>
      <c r="O992" s="1" t="s">
        <v>959</v>
      </c>
      <c r="P992" s="1" t="s">
        <v>1052</v>
      </c>
      <c r="Q992" s="1" t="s">
        <v>960</v>
      </c>
      <c r="R992" s="1" t="s">
        <v>46</v>
      </c>
      <c r="S992" s="13" t="s">
        <v>959</v>
      </c>
      <c r="T992" s="1" t="s">
        <v>105</v>
      </c>
      <c r="V992" s="1" t="str">
        <f t="shared" si="228"/>
        <v>2.9\0.2:30</v>
      </c>
      <c r="W992" s="1" t="s">
        <v>104</v>
      </c>
      <c r="X992" s="3">
        <v>0</v>
      </c>
      <c r="Z992" s="206" t="s">
        <v>1062</v>
      </c>
      <c r="AG992" s="3" t="s">
        <v>668</v>
      </c>
      <c r="AH992" s="3">
        <v>29</v>
      </c>
      <c r="AI992" s="3">
        <v>30</v>
      </c>
      <c r="AJ992" s="3"/>
      <c r="AM992" s="3"/>
    </row>
    <row r="993" spans="1:39" ht="13.5" thickBot="1" x14ac:dyDescent="0.35">
      <c r="A993" s="5" t="str">
        <f t="shared" si="229"/>
        <v>BCV130</v>
      </c>
      <c r="B993" s="1" t="s">
        <v>1061</v>
      </c>
      <c r="C993" s="2" t="str">
        <f t="shared" si="233"/>
        <v>DIO1</v>
      </c>
      <c r="D993" s="2">
        <v>130</v>
      </c>
      <c r="E993" s="3">
        <f t="shared" si="234"/>
        <v>2</v>
      </c>
      <c r="F993" s="3">
        <f t="shared" si="235"/>
        <v>9</v>
      </c>
      <c r="G993" s="3">
        <v>0</v>
      </c>
      <c r="H993" s="60">
        <f t="shared" si="232"/>
        <v>2</v>
      </c>
      <c r="I993" s="59">
        <f t="shared" si="230"/>
        <v>31</v>
      </c>
      <c r="J993" s="58"/>
      <c r="K993" s="30"/>
      <c r="L993" s="1" t="s">
        <v>21</v>
      </c>
      <c r="M993" s="2">
        <v>5</v>
      </c>
      <c r="N993" s="1" t="s">
        <v>1053</v>
      </c>
      <c r="O993" s="1" t="s">
        <v>26</v>
      </c>
      <c r="P993" s="1" t="s">
        <v>1052</v>
      </c>
      <c r="Q993" s="1" t="s">
        <v>1145</v>
      </c>
      <c r="R993" s="6" t="s">
        <v>24</v>
      </c>
      <c r="S993" s="13" t="s">
        <v>26</v>
      </c>
      <c r="T993" s="1" t="s">
        <v>105</v>
      </c>
      <c r="V993" s="1" t="str">
        <f t="shared" si="228"/>
        <v>2.9\0.2:31</v>
      </c>
      <c r="W993" s="1" t="s">
        <v>104</v>
      </c>
      <c r="X993" s="3">
        <v>0</v>
      </c>
      <c r="Z993" s="206" t="s">
        <v>1062</v>
      </c>
      <c r="AG993" s="3" t="s">
        <v>668</v>
      </c>
      <c r="AH993" s="3">
        <v>31</v>
      </c>
      <c r="AI993" s="3">
        <v>32</v>
      </c>
      <c r="AJ993" s="3"/>
      <c r="AM993" s="3"/>
    </row>
    <row r="994" spans="1:39" x14ac:dyDescent="0.3">
      <c r="A994" s="76" t="s">
        <v>17</v>
      </c>
      <c r="B994" s="1" t="s">
        <v>1061</v>
      </c>
      <c r="C994" s="2" t="str">
        <f t="shared" si="233"/>
        <v>DIO1</v>
      </c>
      <c r="D994" s="2">
        <v>130</v>
      </c>
      <c r="E994" s="3">
        <f t="shared" si="234"/>
        <v>2</v>
      </c>
      <c r="F994" s="3">
        <f t="shared" si="235"/>
        <v>9</v>
      </c>
      <c r="G994" s="3">
        <v>0</v>
      </c>
      <c r="H994" s="62">
        <f>+H978+1</f>
        <v>3</v>
      </c>
      <c r="I994" s="56">
        <v>0</v>
      </c>
      <c r="J994" s="222" t="s">
        <v>316</v>
      </c>
      <c r="K994" s="2" t="s">
        <v>315</v>
      </c>
      <c r="L994" s="1" t="s">
        <v>21</v>
      </c>
      <c r="M994" s="2">
        <v>4</v>
      </c>
      <c r="N994" s="1" t="s">
        <v>1144</v>
      </c>
      <c r="O994" s="1" t="s">
        <v>736</v>
      </c>
      <c r="P994" s="1" t="s">
        <v>1034</v>
      </c>
      <c r="Q994" s="1" t="s">
        <v>1142</v>
      </c>
      <c r="R994" s="1" t="s">
        <v>1141</v>
      </c>
      <c r="S994" s="13"/>
      <c r="T994" s="1" t="s">
        <v>1140</v>
      </c>
      <c r="V994" s="1" t="str">
        <f t="shared" ref="V994:V1025" si="236">+CONCATENATE(E994,".",F994,"\",G994,".",H994,":",I994)</f>
        <v>2.9\0.3:0</v>
      </c>
      <c r="W994" s="1" t="s">
        <v>1105</v>
      </c>
      <c r="X994" s="18">
        <v>0</v>
      </c>
      <c r="Y994" s="7"/>
      <c r="Z994" s="206" t="s">
        <v>1062</v>
      </c>
      <c r="AA994" s="206"/>
      <c r="AC994" s="7"/>
      <c r="AD994" s="7"/>
      <c r="AE994" s="7"/>
      <c r="AG994" s="3" t="s">
        <v>612</v>
      </c>
      <c r="AH994" s="3">
        <v>1</v>
      </c>
      <c r="AI994" s="3">
        <v>2</v>
      </c>
      <c r="AJ994" s="3"/>
      <c r="AM994" s="3"/>
    </row>
    <row r="995" spans="1:39" x14ac:dyDescent="0.3">
      <c r="A995" s="5" t="str">
        <f t="shared" ref="A995:A1025" si="237">A994</f>
        <v>BCV130</v>
      </c>
      <c r="B995" s="1" t="s">
        <v>1061</v>
      </c>
      <c r="C995" s="2" t="str">
        <f t="shared" si="233"/>
        <v>DIO1</v>
      </c>
      <c r="D995" s="2">
        <v>130</v>
      </c>
      <c r="E995" s="3">
        <f t="shared" si="234"/>
        <v>2</v>
      </c>
      <c r="F995" s="3">
        <f t="shared" si="235"/>
        <v>9</v>
      </c>
      <c r="G995" s="3">
        <v>0</v>
      </c>
      <c r="H995" s="60">
        <f>H994</f>
        <v>3</v>
      </c>
      <c r="I995" s="54">
        <f t="shared" ref="I995:I1025" si="238">+I994+1</f>
        <v>1</v>
      </c>
      <c r="J995" s="61"/>
      <c r="L995" s="1" t="s">
        <v>21</v>
      </c>
      <c r="M995" s="2">
        <v>4</v>
      </c>
      <c r="N995" s="1" t="s">
        <v>1143</v>
      </c>
      <c r="O995" s="1" t="s">
        <v>953</v>
      </c>
      <c r="P995" s="1" t="s">
        <v>1034</v>
      </c>
      <c r="Q995" s="1" t="s">
        <v>1142</v>
      </c>
      <c r="R995" s="1" t="s">
        <v>1141</v>
      </c>
      <c r="S995" s="13"/>
      <c r="T995" s="1" t="s">
        <v>1140</v>
      </c>
      <c r="V995" s="1" t="str">
        <f t="shared" si="236"/>
        <v>2.9\0.3:1</v>
      </c>
      <c r="W995" s="1" t="s">
        <v>1105</v>
      </c>
      <c r="X995" s="18">
        <v>0</v>
      </c>
      <c r="Y995" s="7"/>
      <c r="Z995" s="206" t="s">
        <v>1062</v>
      </c>
      <c r="AA995" s="206"/>
      <c r="AC995" s="7"/>
      <c r="AD995" s="7"/>
      <c r="AE995" s="7"/>
      <c r="AG995" s="3" t="s">
        <v>612</v>
      </c>
      <c r="AH995" s="3">
        <v>3</v>
      </c>
      <c r="AI995" s="3">
        <v>4</v>
      </c>
      <c r="AJ995" s="3"/>
      <c r="AM995" s="3"/>
    </row>
    <row r="996" spans="1:39" x14ac:dyDescent="0.3">
      <c r="A996" s="5" t="str">
        <f t="shared" si="237"/>
        <v>BCV130</v>
      </c>
      <c r="B996" s="1" t="s">
        <v>1061</v>
      </c>
      <c r="C996" s="2" t="str">
        <f t="shared" si="233"/>
        <v>DIO1</v>
      </c>
      <c r="D996" s="2">
        <v>130</v>
      </c>
      <c r="E996" s="3">
        <f t="shared" si="234"/>
        <v>2</v>
      </c>
      <c r="F996" s="3">
        <f t="shared" si="235"/>
        <v>9</v>
      </c>
      <c r="G996" s="3">
        <v>0</v>
      </c>
      <c r="H996" s="60">
        <f>H994</f>
        <v>3</v>
      </c>
      <c r="I996" s="54">
        <f t="shared" si="238"/>
        <v>2</v>
      </c>
      <c r="J996" s="61"/>
      <c r="K996" s="30"/>
      <c r="L996" s="1" t="s">
        <v>21</v>
      </c>
      <c r="M996" s="2">
        <v>4</v>
      </c>
      <c r="N996" s="1" t="s">
        <v>1139</v>
      </c>
      <c r="O996" s="1" t="s">
        <v>736</v>
      </c>
      <c r="P996" s="1" t="s">
        <v>1034</v>
      </c>
      <c r="Q996" s="1" t="s">
        <v>1138</v>
      </c>
      <c r="R996" s="1" t="s">
        <v>1137</v>
      </c>
      <c r="S996" s="13"/>
      <c r="T996" s="1" t="s">
        <v>1136</v>
      </c>
      <c r="V996" s="1" t="str">
        <f t="shared" si="236"/>
        <v>2.9\0.3:2</v>
      </c>
      <c r="W996" s="1" t="s">
        <v>1105</v>
      </c>
      <c r="X996" s="18">
        <v>0</v>
      </c>
      <c r="Y996" s="7"/>
      <c r="Z996" s="206" t="s">
        <v>1062</v>
      </c>
      <c r="AA996" s="206"/>
      <c r="AC996" s="7"/>
      <c r="AD996" s="7"/>
      <c r="AE996" s="7"/>
      <c r="AG996" s="3" t="s">
        <v>612</v>
      </c>
      <c r="AH996" s="3">
        <v>5</v>
      </c>
      <c r="AI996" s="3">
        <v>6</v>
      </c>
      <c r="AJ996" s="3"/>
      <c r="AM996" s="3"/>
    </row>
    <row r="997" spans="1:39" x14ac:dyDescent="0.3">
      <c r="A997" s="5" t="str">
        <f t="shared" si="237"/>
        <v>BCV130</v>
      </c>
      <c r="B997" s="1" t="s">
        <v>1061</v>
      </c>
      <c r="C997" s="2" t="str">
        <f t="shared" si="233"/>
        <v>DIO1</v>
      </c>
      <c r="D997" s="2">
        <v>130</v>
      </c>
      <c r="E997" s="3">
        <f t="shared" si="234"/>
        <v>2</v>
      </c>
      <c r="F997" s="3">
        <f t="shared" si="235"/>
        <v>9</v>
      </c>
      <c r="G997" s="3">
        <v>0</v>
      </c>
      <c r="H997" s="60">
        <f t="shared" ref="H997:H1008" si="239">H994</f>
        <v>3</v>
      </c>
      <c r="I997" s="54">
        <f t="shared" si="238"/>
        <v>3</v>
      </c>
      <c r="J997" s="61"/>
      <c r="K997" s="30"/>
      <c r="L997" s="1" t="s">
        <v>21</v>
      </c>
      <c r="M997" s="2"/>
      <c r="N997" s="40"/>
      <c r="Q997" s="1" t="s">
        <v>302</v>
      </c>
      <c r="S997" s="13"/>
      <c r="V997" s="1" t="str">
        <f t="shared" si="236"/>
        <v>2.9\0.3:3</v>
      </c>
      <c r="Y997" s="7"/>
      <c r="Z997" s="206" t="s">
        <v>1062</v>
      </c>
      <c r="AA997" s="206"/>
      <c r="AC997" s="7"/>
      <c r="AD997" s="7"/>
      <c r="AE997" s="7"/>
      <c r="AG997" s="3" t="s">
        <v>612</v>
      </c>
      <c r="AH997" s="3">
        <v>7</v>
      </c>
      <c r="AI997" s="3">
        <v>8</v>
      </c>
      <c r="AJ997" s="3"/>
      <c r="AM997" s="3"/>
    </row>
    <row r="998" spans="1:39" x14ac:dyDescent="0.3">
      <c r="A998" s="5" t="str">
        <f t="shared" si="237"/>
        <v>BCV130</v>
      </c>
      <c r="B998" s="1" t="s">
        <v>1061</v>
      </c>
      <c r="C998" s="2" t="str">
        <f t="shared" si="233"/>
        <v>DIO1</v>
      </c>
      <c r="D998" s="2">
        <v>130</v>
      </c>
      <c r="E998" s="3">
        <f t="shared" si="234"/>
        <v>2</v>
      </c>
      <c r="F998" s="3">
        <f t="shared" si="235"/>
        <v>9</v>
      </c>
      <c r="G998" s="3">
        <v>0</v>
      </c>
      <c r="H998" s="60">
        <f t="shared" si="239"/>
        <v>3</v>
      </c>
      <c r="I998" s="54">
        <f t="shared" si="238"/>
        <v>4</v>
      </c>
      <c r="J998" s="61"/>
      <c r="K998" s="30"/>
      <c r="L998" s="1" t="s">
        <v>21</v>
      </c>
      <c r="M998" s="2"/>
      <c r="N998" s="2"/>
      <c r="Q998" s="1" t="s">
        <v>302</v>
      </c>
      <c r="S998" s="13"/>
      <c r="V998" s="1" t="str">
        <f t="shared" si="236"/>
        <v>2.9\0.3:4</v>
      </c>
      <c r="Y998" s="7"/>
      <c r="Z998" s="206" t="s">
        <v>1062</v>
      </c>
      <c r="AA998" s="206"/>
      <c r="AC998" s="7"/>
      <c r="AD998" s="7"/>
      <c r="AE998" s="7"/>
      <c r="AG998" s="3" t="s">
        <v>612</v>
      </c>
      <c r="AH998" s="3">
        <v>9</v>
      </c>
      <c r="AI998" s="3">
        <v>10</v>
      </c>
      <c r="AJ998" s="3"/>
      <c r="AM998" s="3"/>
    </row>
    <row r="999" spans="1:39" x14ac:dyDescent="0.3">
      <c r="A999" s="5" t="str">
        <f t="shared" si="237"/>
        <v>BCV130</v>
      </c>
      <c r="B999" s="1" t="s">
        <v>1061</v>
      </c>
      <c r="C999" s="2" t="str">
        <f t="shared" si="233"/>
        <v>DIO1</v>
      </c>
      <c r="D999" s="2">
        <v>130</v>
      </c>
      <c r="E999" s="3">
        <f t="shared" si="234"/>
        <v>2</v>
      </c>
      <c r="F999" s="3">
        <f t="shared" si="235"/>
        <v>9</v>
      </c>
      <c r="G999" s="3">
        <v>0</v>
      </c>
      <c r="H999" s="60">
        <f t="shared" si="239"/>
        <v>3</v>
      </c>
      <c r="I999" s="54">
        <f t="shared" si="238"/>
        <v>5</v>
      </c>
      <c r="J999" s="61"/>
      <c r="K999" s="30"/>
      <c r="L999" s="1" t="s">
        <v>21</v>
      </c>
      <c r="M999" s="2"/>
      <c r="N999" s="2"/>
      <c r="Q999" s="1" t="s">
        <v>302</v>
      </c>
      <c r="S999" s="13"/>
      <c r="V999" s="1" t="str">
        <f t="shared" si="236"/>
        <v>2.9\0.3:5</v>
      </c>
      <c r="Y999" s="7"/>
      <c r="Z999" s="206" t="s">
        <v>1062</v>
      </c>
      <c r="AA999" s="206"/>
      <c r="AC999" s="7"/>
      <c r="AD999" s="7"/>
      <c r="AE999" s="7"/>
      <c r="AG999" s="3" t="s">
        <v>612</v>
      </c>
      <c r="AH999" s="3">
        <v>11</v>
      </c>
      <c r="AI999" s="3">
        <v>12</v>
      </c>
      <c r="AJ999" s="3"/>
      <c r="AM999" s="3"/>
    </row>
    <row r="1000" spans="1:39" x14ac:dyDescent="0.3">
      <c r="A1000" s="5" t="str">
        <f t="shared" si="237"/>
        <v>BCV130</v>
      </c>
      <c r="B1000" s="1" t="s">
        <v>1061</v>
      </c>
      <c r="C1000" s="2" t="str">
        <f t="shared" si="233"/>
        <v>DIO1</v>
      </c>
      <c r="D1000" s="2">
        <v>130</v>
      </c>
      <c r="E1000" s="3">
        <f t="shared" si="234"/>
        <v>2</v>
      </c>
      <c r="F1000" s="3">
        <f t="shared" si="235"/>
        <v>9</v>
      </c>
      <c r="G1000" s="3">
        <v>0</v>
      </c>
      <c r="H1000" s="60">
        <f t="shared" si="239"/>
        <v>3</v>
      </c>
      <c r="I1000" s="54">
        <f t="shared" si="238"/>
        <v>6</v>
      </c>
      <c r="J1000" s="61"/>
      <c r="K1000" s="30"/>
      <c r="L1000" s="1" t="s">
        <v>21</v>
      </c>
      <c r="M1000" s="2"/>
      <c r="N1000" s="2"/>
      <c r="O1000" s="220"/>
      <c r="P1000" s="220"/>
      <c r="Q1000" s="1" t="s">
        <v>302</v>
      </c>
      <c r="S1000" s="13"/>
      <c r="V1000" s="1" t="str">
        <f t="shared" si="236"/>
        <v>2.9\0.3:6</v>
      </c>
      <c r="Y1000" s="7"/>
      <c r="Z1000" s="206" t="s">
        <v>1062</v>
      </c>
      <c r="AA1000" s="206"/>
      <c r="AC1000" s="7"/>
      <c r="AD1000" s="7"/>
      <c r="AE1000" s="7"/>
      <c r="AG1000" s="3" t="s">
        <v>612</v>
      </c>
      <c r="AH1000" s="3">
        <v>13</v>
      </c>
      <c r="AI1000" s="3">
        <v>14</v>
      </c>
      <c r="AJ1000" s="3"/>
      <c r="AM1000" s="3"/>
    </row>
    <row r="1001" spans="1:39" x14ac:dyDescent="0.3">
      <c r="A1001" s="5" t="str">
        <f t="shared" si="237"/>
        <v>BCV130</v>
      </c>
      <c r="B1001" s="1" t="s">
        <v>1061</v>
      </c>
      <c r="C1001" s="2" t="str">
        <f t="shared" si="233"/>
        <v>DIO1</v>
      </c>
      <c r="D1001" s="2">
        <v>130</v>
      </c>
      <c r="E1001" s="3">
        <f t="shared" si="234"/>
        <v>2</v>
      </c>
      <c r="F1001" s="3">
        <f t="shared" si="235"/>
        <v>9</v>
      </c>
      <c r="G1001" s="3">
        <v>0</v>
      </c>
      <c r="H1001" s="60">
        <f t="shared" si="239"/>
        <v>3</v>
      </c>
      <c r="I1001" s="54">
        <f t="shared" si="238"/>
        <v>7</v>
      </c>
      <c r="J1001" s="61"/>
      <c r="K1001" s="30"/>
      <c r="L1001" s="1" t="s">
        <v>21</v>
      </c>
      <c r="M1001" s="2"/>
      <c r="N1001" s="2"/>
      <c r="O1001" s="220"/>
      <c r="P1001" s="220"/>
      <c r="Q1001" s="1" t="s">
        <v>302</v>
      </c>
      <c r="S1001" s="13"/>
      <c r="V1001" s="1" t="str">
        <f t="shared" si="236"/>
        <v>2.9\0.3:7</v>
      </c>
      <c r="Y1001" s="7"/>
      <c r="Z1001" s="206" t="s">
        <v>1062</v>
      </c>
      <c r="AA1001" s="206"/>
      <c r="AC1001" s="7"/>
      <c r="AD1001" s="7"/>
      <c r="AE1001" s="7"/>
      <c r="AG1001" s="3" t="s">
        <v>612</v>
      </c>
      <c r="AH1001" s="3">
        <v>15</v>
      </c>
      <c r="AI1001" s="3">
        <v>16</v>
      </c>
      <c r="AJ1001" s="3"/>
      <c r="AM1001" s="3"/>
    </row>
    <row r="1002" spans="1:39" x14ac:dyDescent="0.3">
      <c r="A1002" s="5" t="str">
        <f t="shared" si="237"/>
        <v>BCV130</v>
      </c>
      <c r="B1002" s="1" t="s">
        <v>1061</v>
      </c>
      <c r="C1002" s="2" t="str">
        <f t="shared" si="233"/>
        <v>DIO1</v>
      </c>
      <c r="D1002" s="2">
        <v>130</v>
      </c>
      <c r="E1002" s="3">
        <f t="shared" si="234"/>
        <v>2</v>
      </c>
      <c r="F1002" s="3">
        <f t="shared" si="235"/>
        <v>9</v>
      </c>
      <c r="G1002" s="3">
        <v>0</v>
      </c>
      <c r="H1002" s="60">
        <f t="shared" si="239"/>
        <v>3</v>
      </c>
      <c r="I1002" s="54">
        <f t="shared" si="238"/>
        <v>8</v>
      </c>
      <c r="J1002" s="61"/>
      <c r="K1002" s="30"/>
      <c r="L1002" s="1" t="s">
        <v>21</v>
      </c>
      <c r="M1002" s="2"/>
      <c r="N1002" s="2"/>
      <c r="Q1002" s="1" t="s">
        <v>302</v>
      </c>
      <c r="S1002" s="13"/>
      <c r="V1002" s="1" t="str">
        <f t="shared" si="236"/>
        <v>2.9\0.3:8</v>
      </c>
      <c r="Y1002" s="7"/>
      <c r="Z1002" s="206" t="s">
        <v>1062</v>
      </c>
      <c r="AA1002" s="206"/>
      <c r="AC1002" s="7"/>
      <c r="AD1002" s="7"/>
      <c r="AE1002" s="7"/>
      <c r="AG1002" s="3" t="s">
        <v>612</v>
      </c>
      <c r="AH1002" s="3">
        <v>17</v>
      </c>
      <c r="AI1002" s="3">
        <v>18</v>
      </c>
      <c r="AJ1002" s="3"/>
      <c r="AM1002" s="3"/>
    </row>
    <row r="1003" spans="1:39" x14ac:dyDescent="0.3">
      <c r="A1003" s="5" t="str">
        <f t="shared" si="237"/>
        <v>BCV130</v>
      </c>
      <c r="B1003" s="1" t="s">
        <v>1061</v>
      </c>
      <c r="C1003" s="2" t="str">
        <f t="shared" si="233"/>
        <v>DIO1</v>
      </c>
      <c r="D1003" s="2">
        <v>130</v>
      </c>
      <c r="E1003" s="3">
        <f t="shared" si="234"/>
        <v>2</v>
      </c>
      <c r="F1003" s="3">
        <f t="shared" si="235"/>
        <v>9</v>
      </c>
      <c r="G1003" s="3">
        <v>0</v>
      </c>
      <c r="H1003" s="60">
        <f t="shared" si="239"/>
        <v>3</v>
      </c>
      <c r="I1003" s="54">
        <f t="shared" si="238"/>
        <v>9</v>
      </c>
      <c r="J1003" s="61"/>
      <c r="K1003" s="30"/>
      <c r="L1003" s="1" t="s">
        <v>21</v>
      </c>
      <c r="M1003" s="2"/>
      <c r="N1003" s="2"/>
      <c r="Q1003" s="1" t="s">
        <v>302</v>
      </c>
      <c r="S1003" s="13"/>
      <c r="V1003" s="1" t="str">
        <f t="shared" si="236"/>
        <v>2.9\0.3:9</v>
      </c>
      <c r="Y1003" s="7"/>
      <c r="Z1003" s="206" t="s">
        <v>1062</v>
      </c>
      <c r="AA1003" s="206"/>
      <c r="AC1003" s="7"/>
      <c r="AD1003" s="7"/>
      <c r="AE1003" s="7"/>
      <c r="AG1003" s="3" t="s">
        <v>612</v>
      </c>
      <c r="AH1003" s="3">
        <v>19</v>
      </c>
      <c r="AI1003" s="3">
        <v>20</v>
      </c>
      <c r="AJ1003" s="3"/>
      <c r="AM1003" s="3"/>
    </row>
    <row r="1004" spans="1:39" x14ac:dyDescent="0.3">
      <c r="A1004" s="5" t="str">
        <f t="shared" si="237"/>
        <v>BCV130</v>
      </c>
      <c r="B1004" s="1" t="s">
        <v>1061</v>
      </c>
      <c r="C1004" s="2" t="str">
        <f t="shared" si="233"/>
        <v>DIO1</v>
      </c>
      <c r="D1004" s="2">
        <v>130</v>
      </c>
      <c r="E1004" s="3">
        <f t="shared" si="234"/>
        <v>2</v>
      </c>
      <c r="F1004" s="3">
        <f t="shared" si="235"/>
        <v>9</v>
      </c>
      <c r="G1004" s="3">
        <v>0</v>
      </c>
      <c r="H1004" s="60">
        <f t="shared" si="239"/>
        <v>3</v>
      </c>
      <c r="I1004" s="54">
        <f t="shared" si="238"/>
        <v>10</v>
      </c>
      <c r="J1004" s="61"/>
      <c r="K1004" s="30"/>
      <c r="L1004" s="1" t="s">
        <v>21</v>
      </c>
      <c r="M1004" s="2"/>
      <c r="N1004" s="2"/>
      <c r="O1004" s="220"/>
      <c r="P1004" s="220"/>
      <c r="Q1004" s="1" t="s">
        <v>302</v>
      </c>
      <c r="S1004" s="13"/>
      <c r="V1004" s="1" t="str">
        <f t="shared" si="236"/>
        <v>2.9\0.3:10</v>
      </c>
      <c r="Z1004" s="206" t="s">
        <v>1062</v>
      </c>
      <c r="AC1004" s="7"/>
      <c r="AD1004" s="7"/>
      <c r="AE1004" s="7"/>
      <c r="AG1004" s="3" t="s">
        <v>612</v>
      </c>
      <c r="AH1004" s="3">
        <v>21</v>
      </c>
      <c r="AI1004" s="3">
        <v>22</v>
      </c>
      <c r="AJ1004" s="3"/>
      <c r="AM1004" s="3"/>
    </row>
    <row r="1005" spans="1:39" x14ac:dyDescent="0.3">
      <c r="A1005" s="5" t="str">
        <f t="shared" si="237"/>
        <v>BCV130</v>
      </c>
      <c r="B1005" s="1" t="s">
        <v>1061</v>
      </c>
      <c r="C1005" s="2" t="str">
        <f t="shared" si="233"/>
        <v>DIO1</v>
      </c>
      <c r="D1005" s="2">
        <v>130</v>
      </c>
      <c r="E1005" s="3">
        <f t="shared" si="234"/>
        <v>2</v>
      </c>
      <c r="F1005" s="3">
        <f t="shared" si="235"/>
        <v>9</v>
      </c>
      <c r="G1005" s="3">
        <v>0</v>
      </c>
      <c r="H1005" s="60">
        <f t="shared" si="239"/>
        <v>3</v>
      </c>
      <c r="I1005" s="54">
        <f t="shared" si="238"/>
        <v>11</v>
      </c>
      <c r="J1005" s="61"/>
      <c r="K1005" s="30"/>
      <c r="L1005" s="1" t="s">
        <v>21</v>
      </c>
      <c r="M1005" s="2"/>
      <c r="N1005" s="2"/>
      <c r="O1005" s="220"/>
      <c r="P1005" s="220"/>
      <c r="Q1005" s="1" t="s">
        <v>302</v>
      </c>
      <c r="S1005" s="13"/>
      <c r="V1005" s="1" t="str">
        <f t="shared" si="236"/>
        <v>2.9\0.3:11</v>
      </c>
      <c r="Z1005" s="206" t="s">
        <v>1062</v>
      </c>
      <c r="AC1005" s="7"/>
      <c r="AD1005" s="7"/>
      <c r="AE1005" s="7"/>
      <c r="AG1005" s="3" t="s">
        <v>612</v>
      </c>
      <c r="AH1005" s="3">
        <v>23</v>
      </c>
      <c r="AI1005" s="3">
        <v>24</v>
      </c>
      <c r="AJ1005" s="3"/>
      <c r="AM1005" s="3"/>
    </row>
    <row r="1006" spans="1:39" x14ac:dyDescent="0.3">
      <c r="A1006" s="5" t="str">
        <f t="shared" si="237"/>
        <v>BCV130</v>
      </c>
      <c r="B1006" s="1" t="s">
        <v>1061</v>
      </c>
      <c r="C1006" s="2" t="str">
        <f t="shared" si="233"/>
        <v>DIO1</v>
      </c>
      <c r="D1006" s="2">
        <v>130</v>
      </c>
      <c r="E1006" s="3">
        <f t="shared" si="234"/>
        <v>2</v>
      </c>
      <c r="F1006" s="3">
        <f t="shared" si="235"/>
        <v>9</v>
      </c>
      <c r="G1006" s="3">
        <v>0</v>
      </c>
      <c r="H1006" s="60">
        <f t="shared" si="239"/>
        <v>3</v>
      </c>
      <c r="I1006" s="54">
        <f t="shared" si="238"/>
        <v>12</v>
      </c>
      <c r="J1006" s="61"/>
      <c r="K1006" s="30"/>
      <c r="L1006" s="1" t="s">
        <v>21</v>
      </c>
      <c r="M1006" s="2"/>
      <c r="N1006" s="2"/>
      <c r="O1006" s="12"/>
      <c r="P1006" s="12"/>
      <c r="Q1006" s="12" t="s">
        <v>302</v>
      </c>
      <c r="R1006" s="12"/>
      <c r="S1006" s="13"/>
      <c r="V1006" s="1" t="str">
        <f t="shared" si="236"/>
        <v>2.9\0.3:12</v>
      </c>
      <c r="Y1006" s="7"/>
      <c r="Z1006" s="206" t="s">
        <v>1062</v>
      </c>
      <c r="AA1006" s="206"/>
      <c r="AC1006" s="7"/>
      <c r="AD1006" s="7"/>
      <c r="AE1006" s="7"/>
      <c r="AG1006" s="3" t="s">
        <v>612</v>
      </c>
      <c r="AH1006" s="3">
        <v>25</v>
      </c>
      <c r="AI1006" s="3">
        <v>26</v>
      </c>
      <c r="AJ1006" s="3"/>
      <c r="AM1006" s="3"/>
    </row>
    <row r="1007" spans="1:39" x14ac:dyDescent="0.3">
      <c r="A1007" s="5" t="str">
        <f t="shared" si="237"/>
        <v>BCV130</v>
      </c>
      <c r="B1007" s="1" t="s">
        <v>1061</v>
      </c>
      <c r="C1007" s="2" t="str">
        <f t="shared" si="233"/>
        <v>DIO1</v>
      </c>
      <c r="D1007" s="2">
        <v>130</v>
      </c>
      <c r="E1007" s="3">
        <f t="shared" si="234"/>
        <v>2</v>
      </c>
      <c r="F1007" s="3">
        <f t="shared" si="235"/>
        <v>9</v>
      </c>
      <c r="G1007" s="3">
        <v>0</v>
      </c>
      <c r="H1007" s="60">
        <f t="shared" si="239"/>
        <v>3</v>
      </c>
      <c r="I1007" s="54">
        <f t="shared" si="238"/>
        <v>13</v>
      </c>
      <c r="J1007" s="61"/>
      <c r="K1007" s="30"/>
      <c r="L1007" s="1" t="s">
        <v>21</v>
      </c>
      <c r="M1007" s="2"/>
      <c r="N1007" s="2"/>
      <c r="Q1007" s="1" t="s">
        <v>302</v>
      </c>
      <c r="S1007" s="13"/>
      <c r="V1007" s="1" t="str">
        <f t="shared" si="236"/>
        <v>2.9\0.3:13</v>
      </c>
      <c r="Y1007" s="7"/>
      <c r="Z1007" s="206" t="s">
        <v>1062</v>
      </c>
      <c r="AA1007" s="206"/>
      <c r="AC1007" s="7"/>
      <c r="AD1007" s="7"/>
      <c r="AE1007" s="7"/>
      <c r="AG1007" s="3" t="s">
        <v>612</v>
      </c>
      <c r="AH1007" s="3">
        <v>27</v>
      </c>
      <c r="AI1007" s="3">
        <v>28</v>
      </c>
      <c r="AJ1007" s="3"/>
      <c r="AM1007" s="3"/>
    </row>
    <row r="1008" spans="1:39" x14ac:dyDescent="0.3">
      <c r="A1008" s="5" t="str">
        <f t="shared" si="237"/>
        <v>BCV130</v>
      </c>
      <c r="B1008" s="1" t="s">
        <v>1061</v>
      </c>
      <c r="C1008" s="2" t="str">
        <f t="shared" si="233"/>
        <v>DIO1</v>
      </c>
      <c r="D1008" s="2">
        <v>130</v>
      </c>
      <c r="E1008" s="3">
        <f t="shared" si="234"/>
        <v>2</v>
      </c>
      <c r="F1008" s="3">
        <f t="shared" si="235"/>
        <v>9</v>
      </c>
      <c r="G1008" s="3">
        <v>0</v>
      </c>
      <c r="H1008" s="60">
        <f t="shared" si="239"/>
        <v>3</v>
      </c>
      <c r="I1008" s="54">
        <f t="shared" si="238"/>
        <v>14</v>
      </c>
      <c r="J1008" s="61"/>
      <c r="K1008" s="30"/>
      <c r="L1008" s="1" t="s">
        <v>21</v>
      </c>
      <c r="M1008" s="2"/>
      <c r="N1008" s="2"/>
      <c r="Q1008" s="1" t="s">
        <v>302</v>
      </c>
      <c r="S1008" s="13"/>
      <c r="V1008" s="1" t="str">
        <f t="shared" si="236"/>
        <v>2.9\0.3:14</v>
      </c>
      <c r="Y1008" s="7"/>
      <c r="Z1008" s="206" t="s">
        <v>1062</v>
      </c>
      <c r="AA1008" s="206"/>
      <c r="AC1008" s="7"/>
      <c r="AD1008" s="7"/>
      <c r="AE1008" s="7"/>
      <c r="AG1008" s="3" t="s">
        <v>612</v>
      </c>
      <c r="AH1008" s="3">
        <v>29</v>
      </c>
      <c r="AI1008" s="3">
        <v>30</v>
      </c>
      <c r="AJ1008" s="3"/>
      <c r="AM1008" s="3"/>
    </row>
    <row r="1009" spans="1:39" x14ac:dyDescent="0.3">
      <c r="A1009" s="5" t="str">
        <f t="shared" si="237"/>
        <v>BCV130</v>
      </c>
      <c r="B1009" s="1" t="s">
        <v>1061</v>
      </c>
      <c r="C1009" s="2" t="str">
        <f t="shared" si="233"/>
        <v>DIO1</v>
      </c>
      <c r="D1009" s="2">
        <v>130</v>
      </c>
      <c r="E1009" s="3">
        <f t="shared" si="234"/>
        <v>2</v>
      </c>
      <c r="F1009" s="3">
        <f t="shared" si="235"/>
        <v>9</v>
      </c>
      <c r="G1009" s="3">
        <v>0</v>
      </c>
      <c r="H1009" s="60">
        <f t="shared" ref="H1009:H1025" si="240">H1005</f>
        <v>3</v>
      </c>
      <c r="I1009" s="54">
        <f t="shared" si="238"/>
        <v>15</v>
      </c>
      <c r="J1009" s="61"/>
      <c r="K1009" s="30"/>
      <c r="L1009" s="1" t="s">
        <v>21</v>
      </c>
      <c r="M1009" s="2"/>
      <c r="N1009" s="2"/>
      <c r="Q1009" s="1" t="s">
        <v>302</v>
      </c>
      <c r="S1009" s="13"/>
      <c r="V1009" s="1" t="str">
        <f t="shared" si="236"/>
        <v>2.9\0.3:15</v>
      </c>
      <c r="Y1009" s="7"/>
      <c r="Z1009" s="206" t="s">
        <v>1062</v>
      </c>
      <c r="AA1009" s="206"/>
      <c r="AC1009" s="7"/>
      <c r="AD1009" s="7"/>
      <c r="AE1009" s="7"/>
      <c r="AG1009" s="3" t="s">
        <v>612</v>
      </c>
      <c r="AH1009" s="3">
        <v>31</v>
      </c>
      <c r="AI1009" s="3">
        <v>32</v>
      </c>
      <c r="AJ1009" s="3"/>
      <c r="AM1009" s="3"/>
    </row>
    <row r="1010" spans="1:39" x14ac:dyDescent="0.3">
      <c r="A1010" s="5" t="str">
        <f t="shared" si="237"/>
        <v>BCV130</v>
      </c>
      <c r="B1010" s="1" t="s">
        <v>1061</v>
      </c>
      <c r="C1010" s="2" t="str">
        <f t="shared" si="233"/>
        <v>DIO1</v>
      </c>
      <c r="D1010" s="2">
        <v>130</v>
      </c>
      <c r="E1010" s="3">
        <f t="shared" si="234"/>
        <v>2</v>
      </c>
      <c r="F1010" s="3">
        <f t="shared" si="235"/>
        <v>9</v>
      </c>
      <c r="G1010" s="3">
        <v>0</v>
      </c>
      <c r="H1010" s="60">
        <f t="shared" si="240"/>
        <v>3</v>
      </c>
      <c r="I1010" s="54">
        <f t="shared" si="238"/>
        <v>16</v>
      </c>
      <c r="J1010" s="61"/>
      <c r="K1010" s="2"/>
      <c r="L1010" s="1" t="s">
        <v>21</v>
      </c>
      <c r="M1010" s="2"/>
      <c r="N1010" s="2"/>
      <c r="Q1010" s="1" t="s">
        <v>302</v>
      </c>
      <c r="S1010" s="13"/>
      <c r="V1010" s="1" t="str">
        <f t="shared" si="236"/>
        <v>2.9\0.3:16</v>
      </c>
      <c r="Y1010" s="7"/>
      <c r="Z1010" s="206" t="s">
        <v>1062</v>
      </c>
      <c r="AA1010" s="206"/>
      <c r="AC1010" s="7"/>
      <c r="AD1010" s="7"/>
      <c r="AE1010" s="7"/>
      <c r="AG1010" s="3" t="s">
        <v>612</v>
      </c>
      <c r="AH1010" s="3">
        <v>33</v>
      </c>
      <c r="AI1010" s="3">
        <v>34</v>
      </c>
      <c r="AJ1010" s="3"/>
      <c r="AM1010" s="3"/>
    </row>
    <row r="1011" spans="1:39" x14ac:dyDescent="0.3">
      <c r="A1011" s="5" t="str">
        <f t="shared" si="237"/>
        <v>BCV130</v>
      </c>
      <c r="B1011" s="1" t="s">
        <v>1061</v>
      </c>
      <c r="C1011" s="2" t="str">
        <f t="shared" si="233"/>
        <v>DIO1</v>
      </c>
      <c r="D1011" s="2">
        <v>130</v>
      </c>
      <c r="E1011" s="3">
        <f t="shared" si="234"/>
        <v>2</v>
      </c>
      <c r="F1011" s="3">
        <f t="shared" si="235"/>
        <v>9</v>
      </c>
      <c r="G1011" s="3">
        <v>0</v>
      </c>
      <c r="H1011" s="60">
        <f t="shared" si="240"/>
        <v>3</v>
      </c>
      <c r="I1011" s="54">
        <f t="shared" si="238"/>
        <v>17</v>
      </c>
      <c r="J1011" s="61"/>
      <c r="K1011" s="30"/>
      <c r="L1011" s="1" t="s">
        <v>21</v>
      </c>
      <c r="M1011" s="2"/>
      <c r="N1011" s="2"/>
      <c r="Q1011" s="41" t="s">
        <v>302</v>
      </c>
      <c r="S1011" s="13"/>
      <c r="V1011" s="1" t="str">
        <f t="shared" si="236"/>
        <v>2.9\0.3:17</v>
      </c>
      <c r="Y1011" s="7"/>
      <c r="Z1011" s="206" t="s">
        <v>1062</v>
      </c>
      <c r="AA1011" s="206"/>
      <c r="AC1011" s="7"/>
      <c r="AD1011" s="7"/>
      <c r="AE1011" s="7"/>
      <c r="AG1011" s="3" t="s">
        <v>612</v>
      </c>
      <c r="AH1011" s="3">
        <v>35</v>
      </c>
      <c r="AI1011" s="3">
        <v>36</v>
      </c>
      <c r="AJ1011" s="3"/>
      <c r="AM1011" s="3"/>
    </row>
    <row r="1012" spans="1:39" x14ac:dyDescent="0.3">
      <c r="A1012" s="5" t="str">
        <f t="shared" si="237"/>
        <v>BCV130</v>
      </c>
      <c r="B1012" s="1" t="s">
        <v>1061</v>
      </c>
      <c r="C1012" s="2" t="str">
        <f t="shared" si="233"/>
        <v>DIO1</v>
      </c>
      <c r="D1012" s="2">
        <v>130</v>
      </c>
      <c r="E1012" s="3">
        <f t="shared" si="234"/>
        <v>2</v>
      </c>
      <c r="F1012" s="3">
        <f t="shared" si="235"/>
        <v>9</v>
      </c>
      <c r="G1012" s="3">
        <v>0</v>
      </c>
      <c r="H1012" s="60">
        <f t="shared" si="240"/>
        <v>3</v>
      </c>
      <c r="I1012" s="54">
        <f t="shared" si="238"/>
        <v>18</v>
      </c>
      <c r="J1012" s="61"/>
      <c r="K1012" s="30"/>
      <c r="L1012" s="1" t="s">
        <v>21</v>
      </c>
      <c r="M1012" s="2"/>
      <c r="N1012" s="2"/>
      <c r="Q1012" s="41" t="s">
        <v>302</v>
      </c>
      <c r="S1012" s="13"/>
      <c r="V1012" s="1" t="str">
        <f t="shared" si="236"/>
        <v>2.9\0.3:18</v>
      </c>
      <c r="Y1012" s="7"/>
      <c r="Z1012" s="206" t="s">
        <v>1062</v>
      </c>
      <c r="AA1012" s="206"/>
      <c r="AC1012" s="7"/>
      <c r="AD1012" s="7"/>
      <c r="AE1012" s="7"/>
      <c r="AG1012" s="3" t="s">
        <v>612</v>
      </c>
      <c r="AH1012" s="3">
        <v>37</v>
      </c>
      <c r="AI1012" s="3">
        <v>38</v>
      </c>
      <c r="AJ1012" s="3"/>
      <c r="AM1012" s="3"/>
    </row>
    <row r="1013" spans="1:39" ht="14.5" x14ac:dyDescent="0.35">
      <c r="A1013" s="5" t="str">
        <f t="shared" si="237"/>
        <v>BCV130</v>
      </c>
      <c r="B1013" s="1" t="s">
        <v>1061</v>
      </c>
      <c r="C1013" s="2" t="str">
        <f t="shared" si="233"/>
        <v>DIO1</v>
      </c>
      <c r="D1013" s="2">
        <v>130</v>
      </c>
      <c r="E1013" s="3">
        <f t="shared" si="234"/>
        <v>2</v>
      </c>
      <c r="F1013" s="3">
        <f t="shared" si="235"/>
        <v>9</v>
      </c>
      <c r="G1013" s="3">
        <v>0</v>
      </c>
      <c r="H1013" s="60">
        <f t="shared" si="240"/>
        <v>3</v>
      </c>
      <c r="I1013" s="54">
        <f t="shared" si="238"/>
        <v>19</v>
      </c>
      <c r="J1013" s="61"/>
      <c r="K1013" s="30"/>
      <c r="L1013" s="1" t="s">
        <v>21</v>
      </c>
      <c r="M1013" s="2"/>
      <c r="N1013" s="2"/>
      <c r="O1013" s="220"/>
      <c r="P1013" s="220"/>
      <c r="Q1013" s="221" t="s">
        <v>302</v>
      </c>
      <c r="R1013" s="220"/>
      <c r="S1013" s="13"/>
      <c r="V1013" s="1" t="str">
        <f t="shared" si="236"/>
        <v>2.9\0.3:19</v>
      </c>
      <c r="Y1013" s="219"/>
      <c r="Z1013" s="206" t="s">
        <v>1062</v>
      </c>
      <c r="AA1013" s="206"/>
      <c r="AC1013" s="7"/>
      <c r="AD1013" s="7"/>
      <c r="AE1013" s="7"/>
      <c r="AG1013" s="3" t="s">
        <v>612</v>
      </c>
      <c r="AH1013" s="3">
        <v>39</v>
      </c>
      <c r="AI1013" s="3">
        <v>40</v>
      </c>
      <c r="AJ1013" s="3"/>
      <c r="AM1013" s="3"/>
    </row>
    <row r="1014" spans="1:39" x14ac:dyDescent="0.3">
      <c r="A1014" s="5" t="str">
        <f t="shared" si="237"/>
        <v>BCV130</v>
      </c>
      <c r="B1014" s="1" t="s">
        <v>1061</v>
      </c>
      <c r="C1014" s="2" t="str">
        <f t="shared" si="233"/>
        <v>DIO1</v>
      </c>
      <c r="D1014" s="2">
        <v>130</v>
      </c>
      <c r="E1014" s="3">
        <f t="shared" si="234"/>
        <v>2</v>
      </c>
      <c r="F1014" s="3">
        <f t="shared" si="235"/>
        <v>9</v>
      </c>
      <c r="G1014" s="3">
        <v>0</v>
      </c>
      <c r="H1014" s="60">
        <f t="shared" si="240"/>
        <v>3</v>
      </c>
      <c r="I1014" s="54">
        <f t="shared" si="238"/>
        <v>20</v>
      </c>
      <c r="J1014" s="61"/>
      <c r="K1014" s="30"/>
      <c r="L1014" s="1" t="s">
        <v>21</v>
      </c>
      <c r="M1014" s="2"/>
      <c r="N1014" s="2"/>
      <c r="O1014" s="2"/>
      <c r="P1014" s="2"/>
      <c r="Q1014" s="2" t="s">
        <v>302</v>
      </c>
      <c r="R1014" s="2"/>
      <c r="S1014" s="13"/>
      <c r="V1014" s="1" t="str">
        <f t="shared" si="236"/>
        <v>2.9\0.3:20</v>
      </c>
      <c r="Y1014" s="7"/>
      <c r="Z1014" s="206" t="s">
        <v>1062</v>
      </c>
      <c r="AA1014" s="206"/>
      <c r="AC1014" s="7"/>
      <c r="AD1014" s="7"/>
      <c r="AE1014" s="7"/>
      <c r="AG1014" s="3" t="s">
        <v>612</v>
      </c>
      <c r="AH1014" s="3">
        <v>41</v>
      </c>
      <c r="AI1014" s="3">
        <v>42</v>
      </c>
      <c r="AJ1014" s="3"/>
      <c r="AM1014" s="3"/>
    </row>
    <row r="1015" spans="1:39" x14ac:dyDescent="0.3">
      <c r="A1015" s="5" t="str">
        <f t="shared" si="237"/>
        <v>BCV130</v>
      </c>
      <c r="B1015" s="1" t="s">
        <v>1061</v>
      </c>
      <c r="C1015" s="2" t="str">
        <f t="shared" si="233"/>
        <v>DIO1</v>
      </c>
      <c r="D1015" s="2">
        <v>130</v>
      </c>
      <c r="E1015" s="3">
        <f t="shared" si="234"/>
        <v>2</v>
      </c>
      <c r="F1015" s="3">
        <f t="shared" si="235"/>
        <v>9</v>
      </c>
      <c r="G1015" s="3">
        <v>0</v>
      </c>
      <c r="H1015" s="60">
        <f t="shared" si="240"/>
        <v>3</v>
      </c>
      <c r="I1015" s="54">
        <f t="shared" si="238"/>
        <v>21</v>
      </c>
      <c r="J1015" s="61"/>
      <c r="K1015" s="30"/>
      <c r="L1015" s="1" t="s">
        <v>21</v>
      </c>
      <c r="M1015" s="2"/>
      <c r="N1015" s="2"/>
      <c r="O1015" s="2"/>
      <c r="P1015" s="2"/>
      <c r="Q1015" s="2" t="s">
        <v>302</v>
      </c>
      <c r="R1015" s="2"/>
      <c r="S1015" s="13"/>
      <c r="V1015" s="1" t="str">
        <f t="shared" si="236"/>
        <v>2.9\0.3:21</v>
      </c>
      <c r="Y1015" s="7"/>
      <c r="Z1015" s="206" t="s">
        <v>1062</v>
      </c>
      <c r="AA1015" s="206"/>
      <c r="AC1015" s="7"/>
      <c r="AD1015" s="7"/>
      <c r="AE1015" s="7"/>
      <c r="AG1015" s="3" t="s">
        <v>612</v>
      </c>
      <c r="AH1015" s="3">
        <v>43</v>
      </c>
      <c r="AI1015" s="3">
        <v>44</v>
      </c>
      <c r="AJ1015" s="3"/>
      <c r="AM1015" s="3"/>
    </row>
    <row r="1016" spans="1:39" x14ac:dyDescent="0.3">
      <c r="A1016" s="5" t="str">
        <f t="shared" si="237"/>
        <v>BCV130</v>
      </c>
      <c r="B1016" s="1" t="s">
        <v>1061</v>
      </c>
      <c r="C1016" s="2" t="str">
        <f t="shared" si="233"/>
        <v>DIO1</v>
      </c>
      <c r="D1016" s="2">
        <v>130</v>
      </c>
      <c r="E1016" s="3">
        <f t="shared" si="234"/>
        <v>2</v>
      </c>
      <c r="F1016" s="3">
        <f t="shared" si="235"/>
        <v>9</v>
      </c>
      <c r="G1016" s="3">
        <v>0</v>
      </c>
      <c r="H1016" s="60">
        <f t="shared" si="240"/>
        <v>3</v>
      </c>
      <c r="I1016" s="54">
        <f t="shared" si="238"/>
        <v>22</v>
      </c>
      <c r="J1016" s="61"/>
      <c r="K1016" s="30"/>
      <c r="L1016" s="1" t="s">
        <v>21</v>
      </c>
      <c r="M1016" s="2"/>
      <c r="N1016" s="2"/>
      <c r="O1016" s="2"/>
      <c r="P1016" s="2"/>
      <c r="Q1016" s="2" t="s">
        <v>302</v>
      </c>
      <c r="R1016" s="2"/>
      <c r="S1016" s="13"/>
      <c r="V1016" s="1" t="str">
        <f t="shared" si="236"/>
        <v>2.9\0.3:22</v>
      </c>
      <c r="Z1016" s="206" t="s">
        <v>1062</v>
      </c>
      <c r="AG1016" s="3" t="s">
        <v>612</v>
      </c>
      <c r="AH1016" s="3">
        <v>45</v>
      </c>
      <c r="AI1016" s="3">
        <v>46</v>
      </c>
      <c r="AJ1016" s="3"/>
      <c r="AM1016" s="3"/>
    </row>
    <row r="1017" spans="1:39" x14ac:dyDescent="0.3">
      <c r="A1017" s="5" t="str">
        <f t="shared" si="237"/>
        <v>BCV130</v>
      </c>
      <c r="B1017" s="1" t="s">
        <v>1061</v>
      </c>
      <c r="C1017" s="2" t="str">
        <f t="shared" si="233"/>
        <v>DIO1</v>
      </c>
      <c r="D1017" s="2">
        <v>130</v>
      </c>
      <c r="E1017" s="3">
        <f t="shared" si="234"/>
        <v>2</v>
      </c>
      <c r="F1017" s="3">
        <f t="shared" si="235"/>
        <v>9</v>
      </c>
      <c r="G1017" s="3">
        <v>0</v>
      </c>
      <c r="H1017" s="60">
        <f t="shared" si="240"/>
        <v>3</v>
      </c>
      <c r="I1017" s="54">
        <f t="shared" si="238"/>
        <v>23</v>
      </c>
      <c r="J1017" s="61"/>
      <c r="K1017" s="30"/>
      <c r="L1017" s="1" t="s">
        <v>21</v>
      </c>
      <c r="M1017" s="2"/>
      <c r="N1017" s="2"/>
      <c r="O1017" s="2"/>
      <c r="P1017" s="2"/>
      <c r="Q1017" s="2" t="s">
        <v>302</v>
      </c>
      <c r="R1017" s="2"/>
      <c r="S1017" s="13"/>
      <c r="V1017" s="1" t="str">
        <f t="shared" si="236"/>
        <v>2.9\0.3:23</v>
      </c>
      <c r="Z1017" s="206" t="s">
        <v>1062</v>
      </c>
      <c r="AG1017" s="3" t="s">
        <v>612</v>
      </c>
      <c r="AH1017" s="3">
        <v>47</v>
      </c>
      <c r="AI1017" s="3">
        <v>48</v>
      </c>
      <c r="AJ1017" s="3"/>
      <c r="AM1017" s="3"/>
    </row>
    <row r="1018" spans="1:39" x14ac:dyDescent="0.3">
      <c r="A1018" s="5" t="str">
        <f t="shared" si="237"/>
        <v>BCV130</v>
      </c>
      <c r="B1018" s="1" t="s">
        <v>1061</v>
      </c>
      <c r="C1018" s="2" t="str">
        <f t="shared" si="233"/>
        <v>DIO1</v>
      </c>
      <c r="D1018" s="2">
        <v>130</v>
      </c>
      <c r="E1018" s="3">
        <f t="shared" si="234"/>
        <v>2</v>
      </c>
      <c r="F1018" s="3">
        <f t="shared" si="235"/>
        <v>9</v>
      </c>
      <c r="G1018" s="3">
        <v>0</v>
      </c>
      <c r="H1018" s="60">
        <f t="shared" si="240"/>
        <v>3</v>
      </c>
      <c r="I1018" s="54">
        <f t="shared" si="238"/>
        <v>24</v>
      </c>
      <c r="J1018" s="61"/>
      <c r="K1018" s="30"/>
      <c r="L1018" s="1" t="s">
        <v>21</v>
      </c>
      <c r="M1018" s="2"/>
      <c r="N1018" s="2"/>
      <c r="O1018" s="2"/>
      <c r="P1018" s="2"/>
      <c r="Q1018" s="2" t="s">
        <v>302</v>
      </c>
      <c r="R1018" s="2"/>
      <c r="S1018" s="13"/>
      <c r="V1018" s="1" t="str">
        <f t="shared" si="236"/>
        <v>2.9\0.3:24</v>
      </c>
      <c r="Z1018" s="206" t="s">
        <v>1062</v>
      </c>
      <c r="AG1018" s="3" t="s">
        <v>612</v>
      </c>
      <c r="AH1018" s="3">
        <v>49</v>
      </c>
      <c r="AI1018" s="3">
        <v>50</v>
      </c>
      <c r="AJ1018" s="3"/>
      <c r="AM1018" s="3"/>
    </row>
    <row r="1019" spans="1:39" x14ac:dyDescent="0.3">
      <c r="A1019" s="5" t="str">
        <f t="shared" si="237"/>
        <v>BCV130</v>
      </c>
      <c r="B1019" s="1" t="s">
        <v>1061</v>
      </c>
      <c r="C1019" s="2" t="str">
        <f t="shared" si="233"/>
        <v>DIO1</v>
      </c>
      <c r="D1019" s="2">
        <v>130</v>
      </c>
      <c r="E1019" s="3">
        <f t="shared" si="234"/>
        <v>2</v>
      </c>
      <c r="F1019" s="3">
        <f t="shared" si="235"/>
        <v>9</v>
      </c>
      <c r="G1019" s="3">
        <v>0</v>
      </c>
      <c r="H1019" s="60">
        <f t="shared" si="240"/>
        <v>3</v>
      </c>
      <c r="I1019" s="54">
        <f t="shared" si="238"/>
        <v>25</v>
      </c>
      <c r="J1019" s="61"/>
      <c r="K1019" s="30"/>
      <c r="L1019" s="1" t="s">
        <v>21</v>
      </c>
      <c r="M1019" s="2"/>
      <c r="N1019" s="2"/>
      <c r="Q1019" s="1" t="s">
        <v>302</v>
      </c>
      <c r="S1019" s="13"/>
      <c r="V1019" s="1" t="str">
        <f t="shared" si="236"/>
        <v>2.9\0.3:25</v>
      </c>
      <c r="Z1019" s="206" t="s">
        <v>1062</v>
      </c>
      <c r="AG1019" s="3" t="s">
        <v>612</v>
      </c>
      <c r="AH1019" s="3">
        <v>51</v>
      </c>
      <c r="AI1019" s="3">
        <v>52</v>
      </c>
      <c r="AJ1019" s="3"/>
      <c r="AM1019" s="3"/>
    </row>
    <row r="1020" spans="1:39" x14ac:dyDescent="0.3">
      <c r="A1020" s="5" t="str">
        <f t="shared" si="237"/>
        <v>BCV130</v>
      </c>
      <c r="B1020" s="1" t="s">
        <v>1061</v>
      </c>
      <c r="C1020" s="2" t="str">
        <f t="shared" si="233"/>
        <v>DIO1</v>
      </c>
      <c r="D1020" s="2">
        <v>130</v>
      </c>
      <c r="E1020" s="3">
        <f t="shared" si="234"/>
        <v>2</v>
      </c>
      <c r="F1020" s="3">
        <f t="shared" si="235"/>
        <v>9</v>
      </c>
      <c r="G1020" s="3">
        <v>0</v>
      </c>
      <c r="H1020" s="60">
        <f t="shared" si="240"/>
        <v>3</v>
      </c>
      <c r="I1020" s="54">
        <f t="shared" si="238"/>
        <v>26</v>
      </c>
      <c r="J1020" s="61"/>
      <c r="K1020" s="30"/>
      <c r="L1020" s="1" t="s">
        <v>21</v>
      </c>
      <c r="M1020" s="2"/>
      <c r="N1020" s="2"/>
      <c r="Q1020" s="1" t="s">
        <v>302</v>
      </c>
      <c r="S1020" s="13"/>
      <c r="V1020" s="1" t="str">
        <f t="shared" si="236"/>
        <v>2.9\0.3:26</v>
      </c>
      <c r="Z1020" s="206" t="s">
        <v>1062</v>
      </c>
      <c r="AG1020" s="3" t="s">
        <v>668</v>
      </c>
      <c r="AH1020" s="3">
        <v>41</v>
      </c>
      <c r="AI1020" s="3">
        <v>42</v>
      </c>
      <c r="AJ1020" s="3"/>
      <c r="AM1020" s="3"/>
    </row>
    <row r="1021" spans="1:39" x14ac:dyDescent="0.3">
      <c r="A1021" s="5" t="str">
        <f t="shared" si="237"/>
        <v>BCV130</v>
      </c>
      <c r="B1021" s="1" t="s">
        <v>1061</v>
      </c>
      <c r="C1021" s="2" t="str">
        <f t="shared" si="233"/>
        <v>DIO1</v>
      </c>
      <c r="D1021" s="2">
        <v>130</v>
      </c>
      <c r="E1021" s="3">
        <f t="shared" si="234"/>
        <v>2</v>
      </c>
      <c r="F1021" s="3">
        <f t="shared" si="235"/>
        <v>9</v>
      </c>
      <c r="G1021" s="3">
        <v>0</v>
      </c>
      <c r="H1021" s="60">
        <f t="shared" si="240"/>
        <v>3</v>
      </c>
      <c r="I1021" s="54">
        <f t="shared" si="238"/>
        <v>27</v>
      </c>
      <c r="J1021" s="61"/>
      <c r="K1021" s="30"/>
      <c r="L1021" s="1" t="s">
        <v>21</v>
      </c>
      <c r="M1021" s="2"/>
      <c r="N1021" s="2"/>
      <c r="Q1021" s="1" t="s">
        <v>302</v>
      </c>
      <c r="S1021" s="13"/>
      <c r="V1021" s="1" t="str">
        <f t="shared" si="236"/>
        <v>2.9\0.3:27</v>
      </c>
      <c r="Z1021" s="206" t="s">
        <v>1062</v>
      </c>
      <c r="AG1021" s="3" t="s">
        <v>668</v>
      </c>
      <c r="AH1021" s="3">
        <v>43</v>
      </c>
      <c r="AI1021" s="3">
        <v>44</v>
      </c>
      <c r="AJ1021" s="3"/>
      <c r="AM1021" s="3"/>
    </row>
    <row r="1022" spans="1:39" x14ac:dyDescent="0.3">
      <c r="A1022" s="5" t="str">
        <f t="shared" si="237"/>
        <v>BCV130</v>
      </c>
      <c r="B1022" s="1" t="s">
        <v>1061</v>
      </c>
      <c r="C1022" s="2" t="str">
        <f t="shared" si="233"/>
        <v>DIO1</v>
      </c>
      <c r="D1022" s="2">
        <v>130</v>
      </c>
      <c r="E1022" s="3">
        <f t="shared" si="234"/>
        <v>2</v>
      </c>
      <c r="F1022" s="3">
        <f t="shared" si="235"/>
        <v>9</v>
      </c>
      <c r="G1022" s="3">
        <v>0</v>
      </c>
      <c r="H1022" s="60">
        <f t="shared" si="240"/>
        <v>3</v>
      </c>
      <c r="I1022" s="54">
        <f t="shared" si="238"/>
        <v>28</v>
      </c>
      <c r="J1022" s="61"/>
      <c r="K1022" s="30"/>
      <c r="L1022" s="1" t="s">
        <v>21</v>
      </c>
      <c r="M1022" s="2"/>
      <c r="N1022" s="2"/>
      <c r="Q1022" s="1" t="s">
        <v>302</v>
      </c>
      <c r="S1022" s="13"/>
      <c r="V1022" s="1" t="str">
        <f t="shared" si="236"/>
        <v>2.9\0.3:28</v>
      </c>
      <c r="Z1022" s="206" t="s">
        <v>1062</v>
      </c>
      <c r="AG1022" s="3" t="s">
        <v>668</v>
      </c>
      <c r="AH1022" s="3">
        <v>45</v>
      </c>
      <c r="AI1022" s="3">
        <v>46</v>
      </c>
      <c r="AJ1022" s="3"/>
      <c r="AM1022" s="3"/>
    </row>
    <row r="1023" spans="1:39" x14ac:dyDescent="0.3">
      <c r="A1023" s="5" t="str">
        <f t="shared" si="237"/>
        <v>BCV130</v>
      </c>
      <c r="B1023" s="1" t="s">
        <v>1061</v>
      </c>
      <c r="C1023" s="2" t="str">
        <f t="shared" ref="C1023:C1054" si="241">+C1022</f>
        <v>DIO1</v>
      </c>
      <c r="D1023" s="2">
        <v>130</v>
      </c>
      <c r="E1023" s="3">
        <f t="shared" ref="E1023:E1054" si="242">+E1022</f>
        <v>2</v>
      </c>
      <c r="F1023" s="3">
        <f t="shared" ref="F1023:F1054" si="243">+F1022</f>
        <v>9</v>
      </c>
      <c r="G1023" s="3">
        <v>0</v>
      </c>
      <c r="H1023" s="60">
        <f t="shared" si="240"/>
        <v>3</v>
      </c>
      <c r="I1023" s="54">
        <f t="shared" si="238"/>
        <v>29</v>
      </c>
      <c r="J1023" s="61"/>
      <c r="K1023" s="30"/>
      <c r="L1023" s="1" t="s">
        <v>21</v>
      </c>
      <c r="M1023" s="2"/>
      <c r="N1023" s="2"/>
      <c r="Q1023" s="1" t="s">
        <v>302</v>
      </c>
      <c r="S1023" s="13"/>
      <c r="V1023" s="1" t="str">
        <f t="shared" si="236"/>
        <v>2.9\0.3:29</v>
      </c>
      <c r="Z1023" s="206" t="s">
        <v>1062</v>
      </c>
      <c r="AG1023" s="3" t="s">
        <v>668</v>
      </c>
      <c r="AH1023" s="3">
        <v>47</v>
      </c>
      <c r="AI1023" s="3">
        <v>48</v>
      </c>
      <c r="AJ1023" s="3"/>
      <c r="AM1023" s="3"/>
    </row>
    <row r="1024" spans="1:39" x14ac:dyDescent="0.3">
      <c r="A1024" s="5" t="str">
        <f t="shared" si="237"/>
        <v>BCV130</v>
      </c>
      <c r="B1024" s="1" t="s">
        <v>1061</v>
      </c>
      <c r="C1024" s="2" t="str">
        <f t="shared" si="241"/>
        <v>DIO1</v>
      </c>
      <c r="D1024" s="2">
        <v>130</v>
      </c>
      <c r="E1024" s="3">
        <f t="shared" si="242"/>
        <v>2</v>
      </c>
      <c r="F1024" s="3">
        <f t="shared" si="243"/>
        <v>9</v>
      </c>
      <c r="G1024" s="3">
        <v>0</v>
      </c>
      <c r="H1024" s="60">
        <f t="shared" si="240"/>
        <v>3</v>
      </c>
      <c r="I1024" s="54">
        <f t="shared" si="238"/>
        <v>30</v>
      </c>
      <c r="J1024" s="61"/>
      <c r="K1024" s="30"/>
      <c r="L1024" s="1" t="s">
        <v>21</v>
      </c>
      <c r="M1024" s="2"/>
      <c r="N1024" s="2"/>
      <c r="Q1024" s="1" t="s">
        <v>302</v>
      </c>
      <c r="S1024" s="13"/>
      <c r="V1024" s="1" t="str">
        <f t="shared" si="236"/>
        <v>2.9\0.3:30</v>
      </c>
      <c r="Z1024" s="206" t="s">
        <v>1062</v>
      </c>
      <c r="AG1024" s="3" t="s">
        <v>668</v>
      </c>
      <c r="AH1024" s="3">
        <v>49</v>
      </c>
      <c r="AI1024" s="3">
        <v>50</v>
      </c>
      <c r="AJ1024" s="3"/>
      <c r="AM1024" s="3"/>
    </row>
    <row r="1025" spans="1:39" ht="13.5" thickBot="1" x14ac:dyDescent="0.35">
      <c r="A1025" s="5" t="str">
        <f t="shared" si="237"/>
        <v>BCV130</v>
      </c>
      <c r="B1025" s="1" t="s">
        <v>1061</v>
      </c>
      <c r="C1025" s="2" t="str">
        <f t="shared" si="241"/>
        <v>DIO1</v>
      </c>
      <c r="D1025" s="2">
        <v>130</v>
      </c>
      <c r="E1025" s="3">
        <f t="shared" si="242"/>
        <v>2</v>
      </c>
      <c r="F1025" s="3">
        <f t="shared" si="243"/>
        <v>9</v>
      </c>
      <c r="G1025" s="3">
        <v>0</v>
      </c>
      <c r="H1025" s="60">
        <f t="shared" si="240"/>
        <v>3</v>
      </c>
      <c r="I1025" s="59">
        <f t="shared" si="238"/>
        <v>31</v>
      </c>
      <c r="J1025" s="58"/>
      <c r="K1025" s="30"/>
      <c r="L1025" s="1" t="s">
        <v>21</v>
      </c>
      <c r="M1025" s="2"/>
      <c r="N1025" s="2"/>
      <c r="Q1025" s="1" t="s">
        <v>302</v>
      </c>
      <c r="S1025" s="13"/>
      <c r="V1025" s="1" t="str">
        <f t="shared" si="236"/>
        <v>2.9\0.3:31</v>
      </c>
      <c r="Z1025" s="206" t="s">
        <v>1062</v>
      </c>
      <c r="AG1025" s="3" t="s">
        <v>668</v>
      </c>
      <c r="AH1025" s="3">
        <v>51</v>
      </c>
      <c r="AI1025" s="3">
        <v>52</v>
      </c>
      <c r="AJ1025" s="3"/>
      <c r="AM1025" s="3"/>
    </row>
    <row r="1026" spans="1:39" x14ac:dyDescent="0.3">
      <c r="A1026" s="76" t="s">
        <v>17</v>
      </c>
      <c r="B1026" s="1" t="s">
        <v>1061</v>
      </c>
      <c r="C1026" s="2" t="str">
        <f t="shared" si="241"/>
        <v>DIO1</v>
      </c>
      <c r="D1026" s="2">
        <v>130</v>
      </c>
      <c r="E1026" s="3">
        <f t="shared" si="242"/>
        <v>2</v>
      </c>
      <c r="F1026" s="3">
        <f t="shared" si="243"/>
        <v>9</v>
      </c>
      <c r="G1026" s="3">
        <v>0</v>
      </c>
      <c r="H1026" s="62">
        <v>4</v>
      </c>
      <c r="I1026" s="56">
        <v>0</v>
      </c>
      <c r="J1026" s="79" t="s">
        <v>549</v>
      </c>
      <c r="K1026" s="2" t="s">
        <v>548</v>
      </c>
      <c r="L1026" s="30" t="s">
        <v>42</v>
      </c>
      <c r="M1026" s="2">
        <v>4</v>
      </c>
      <c r="N1026" s="1" t="s">
        <v>1135</v>
      </c>
      <c r="O1026" s="1" t="s">
        <v>1134</v>
      </c>
      <c r="P1026" s="1" t="s">
        <v>1034</v>
      </c>
      <c r="Q1026" s="1" t="s">
        <v>1133</v>
      </c>
      <c r="S1026" s="13"/>
      <c r="T1026" s="1" t="s">
        <v>1026</v>
      </c>
      <c r="V1026" s="1" t="str">
        <f t="shared" ref="V1026:V1057" si="244">+CONCATENATE(E1026,".",F1026,"\",G1026,".",H1026,":",I1026)</f>
        <v>2.9\0.4:0</v>
      </c>
      <c r="W1026" s="1" t="s">
        <v>1115</v>
      </c>
      <c r="X1026" s="18">
        <v>0</v>
      </c>
      <c r="Z1026" s="206" t="s">
        <v>1062</v>
      </c>
      <c r="AG1026" s="3" t="s">
        <v>588</v>
      </c>
      <c r="AH1026" s="3">
        <v>1</v>
      </c>
      <c r="AI1026" s="3">
        <v>2</v>
      </c>
      <c r="AJ1026" s="3"/>
      <c r="AM1026" s="3"/>
    </row>
    <row r="1027" spans="1:39" x14ac:dyDescent="0.3">
      <c r="A1027" s="5" t="str">
        <f t="shared" ref="A1027:A1041" si="245">A1026</f>
        <v>BCV130</v>
      </c>
      <c r="B1027" s="1" t="s">
        <v>1061</v>
      </c>
      <c r="C1027" s="2" t="str">
        <f t="shared" si="241"/>
        <v>DIO1</v>
      </c>
      <c r="D1027" s="2">
        <v>130</v>
      </c>
      <c r="E1027" s="3">
        <f t="shared" si="242"/>
        <v>2</v>
      </c>
      <c r="F1027" s="3">
        <f t="shared" si="243"/>
        <v>9</v>
      </c>
      <c r="G1027" s="3">
        <v>0</v>
      </c>
      <c r="H1027" s="60">
        <f>H1026</f>
        <v>4</v>
      </c>
      <c r="I1027" s="54">
        <f t="shared" ref="I1027:I1041" si="246">+I1026+1</f>
        <v>1</v>
      </c>
      <c r="J1027" s="78"/>
      <c r="K1027" s="30"/>
      <c r="L1027" s="30" t="s">
        <v>42</v>
      </c>
      <c r="M1027" s="2">
        <v>4</v>
      </c>
      <c r="N1027" s="1" t="s">
        <v>1132</v>
      </c>
      <c r="O1027" s="1" t="s">
        <v>1126</v>
      </c>
      <c r="P1027" s="1" t="s">
        <v>1034</v>
      </c>
      <c r="Q1027" s="1" t="s">
        <v>1131</v>
      </c>
      <c r="S1027" s="13"/>
      <c r="T1027" s="1" t="s">
        <v>1026</v>
      </c>
      <c r="V1027" s="1" t="str">
        <f t="shared" si="244"/>
        <v>2.9\0.4:1</v>
      </c>
      <c r="W1027" s="1" t="s">
        <v>1115</v>
      </c>
      <c r="X1027" s="18">
        <v>0</v>
      </c>
      <c r="Z1027" s="206" t="s">
        <v>1062</v>
      </c>
      <c r="AG1027" s="3" t="s">
        <v>588</v>
      </c>
      <c r="AH1027" s="3">
        <v>3</v>
      </c>
      <c r="AI1027" s="3">
        <v>4</v>
      </c>
      <c r="AJ1027" s="3"/>
      <c r="AM1027" s="3"/>
    </row>
    <row r="1028" spans="1:39" x14ac:dyDescent="0.3">
      <c r="A1028" s="5" t="str">
        <f t="shared" si="245"/>
        <v>BCV130</v>
      </c>
      <c r="B1028" s="1" t="s">
        <v>1061</v>
      </c>
      <c r="C1028" s="2" t="str">
        <f t="shared" si="241"/>
        <v>DIO1</v>
      </c>
      <c r="D1028" s="2">
        <v>130</v>
      </c>
      <c r="E1028" s="3">
        <f t="shared" si="242"/>
        <v>2</v>
      </c>
      <c r="F1028" s="3">
        <f t="shared" si="243"/>
        <v>9</v>
      </c>
      <c r="G1028" s="3">
        <v>0</v>
      </c>
      <c r="H1028" s="55">
        <f t="shared" ref="H1028:H1041" si="247">+H1027</f>
        <v>4</v>
      </c>
      <c r="I1028" s="54">
        <f t="shared" si="246"/>
        <v>2</v>
      </c>
      <c r="J1028" s="78"/>
      <c r="K1028" s="27"/>
      <c r="L1028" s="30" t="s">
        <v>42</v>
      </c>
      <c r="M1028" s="2">
        <v>4</v>
      </c>
      <c r="N1028" s="1" t="s">
        <v>1130</v>
      </c>
      <c r="O1028" s="1" t="s">
        <v>282</v>
      </c>
      <c r="P1028" s="1" t="s">
        <v>1034</v>
      </c>
      <c r="Q1028" s="1" t="s">
        <v>1129</v>
      </c>
      <c r="S1028" s="13"/>
      <c r="T1028" s="1" t="s">
        <v>17</v>
      </c>
      <c r="V1028" s="1" t="str">
        <f t="shared" si="244"/>
        <v>2.9\0.4:2</v>
      </c>
      <c r="W1028" s="1" t="s">
        <v>1115</v>
      </c>
      <c r="X1028" s="18">
        <v>0</v>
      </c>
      <c r="Z1028" s="206" t="s">
        <v>1062</v>
      </c>
      <c r="AG1028" s="3" t="s">
        <v>588</v>
      </c>
      <c r="AH1028" s="3">
        <v>5</v>
      </c>
      <c r="AI1028" s="3">
        <v>6</v>
      </c>
      <c r="AJ1028" s="3"/>
      <c r="AM1028" s="3"/>
    </row>
    <row r="1029" spans="1:39" x14ac:dyDescent="0.3">
      <c r="A1029" s="5" t="str">
        <f t="shared" si="245"/>
        <v>BCV130</v>
      </c>
      <c r="B1029" s="1" t="s">
        <v>1061</v>
      </c>
      <c r="C1029" s="2" t="str">
        <f t="shared" si="241"/>
        <v>DIO1</v>
      </c>
      <c r="D1029" s="2">
        <v>130</v>
      </c>
      <c r="E1029" s="3">
        <f t="shared" si="242"/>
        <v>2</v>
      </c>
      <c r="F1029" s="3">
        <f t="shared" si="243"/>
        <v>9</v>
      </c>
      <c r="G1029" s="3">
        <v>0</v>
      </c>
      <c r="H1029" s="55">
        <f t="shared" si="247"/>
        <v>4</v>
      </c>
      <c r="I1029" s="54">
        <f t="shared" si="246"/>
        <v>3</v>
      </c>
      <c r="J1029" s="78"/>
      <c r="K1029" s="27"/>
      <c r="L1029" s="30" t="s">
        <v>42</v>
      </c>
      <c r="M1029" s="2">
        <v>4</v>
      </c>
      <c r="N1029" s="1" t="s">
        <v>385</v>
      </c>
      <c r="O1029" s="1" t="s">
        <v>52</v>
      </c>
      <c r="P1029" s="1" t="s">
        <v>1108</v>
      </c>
      <c r="Q1029" s="1" t="s">
        <v>1128</v>
      </c>
      <c r="S1029" s="13"/>
      <c r="T1029" s="1" t="s">
        <v>385</v>
      </c>
      <c r="V1029" s="1" t="str">
        <f t="shared" si="244"/>
        <v>2.9\0.4:3</v>
      </c>
      <c r="W1029" s="1" t="s">
        <v>1115</v>
      </c>
      <c r="X1029" s="18">
        <v>0</v>
      </c>
      <c r="Z1029" s="206" t="s">
        <v>1062</v>
      </c>
      <c r="AG1029" s="3" t="s">
        <v>588</v>
      </c>
      <c r="AH1029" s="3">
        <v>7</v>
      </c>
      <c r="AI1029" s="3">
        <v>8</v>
      </c>
      <c r="AJ1029" s="3"/>
      <c r="AM1029" s="3"/>
    </row>
    <row r="1030" spans="1:39" x14ac:dyDescent="0.3">
      <c r="A1030" s="5" t="str">
        <f t="shared" si="245"/>
        <v>BCV130</v>
      </c>
      <c r="B1030" s="1" t="s">
        <v>1061</v>
      </c>
      <c r="C1030" s="2" t="str">
        <f t="shared" si="241"/>
        <v>DIO1</v>
      </c>
      <c r="D1030" s="2">
        <v>130</v>
      </c>
      <c r="E1030" s="3">
        <f t="shared" si="242"/>
        <v>2</v>
      </c>
      <c r="F1030" s="3">
        <f t="shared" si="243"/>
        <v>9</v>
      </c>
      <c r="G1030" s="3">
        <v>0</v>
      </c>
      <c r="H1030" s="55">
        <f t="shared" si="247"/>
        <v>4</v>
      </c>
      <c r="I1030" s="54">
        <f t="shared" si="246"/>
        <v>4</v>
      </c>
      <c r="J1030" s="78"/>
      <c r="K1030" s="27"/>
      <c r="L1030" s="30" t="s">
        <v>42</v>
      </c>
      <c r="M1030" s="2"/>
      <c r="S1030" s="13"/>
      <c r="V1030" s="1" t="str">
        <f t="shared" si="244"/>
        <v>2.9\0.4:4</v>
      </c>
      <c r="Z1030" s="206" t="s">
        <v>1062</v>
      </c>
      <c r="AG1030" s="3" t="s">
        <v>588</v>
      </c>
      <c r="AH1030" s="3">
        <v>9</v>
      </c>
      <c r="AI1030" s="3">
        <v>10</v>
      </c>
      <c r="AJ1030" s="3"/>
      <c r="AM1030" s="3"/>
    </row>
    <row r="1031" spans="1:39" x14ac:dyDescent="0.3">
      <c r="A1031" s="5" t="str">
        <f t="shared" si="245"/>
        <v>BCV130</v>
      </c>
      <c r="B1031" s="1" t="s">
        <v>1061</v>
      </c>
      <c r="C1031" s="2" t="str">
        <f t="shared" si="241"/>
        <v>DIO1</v>
      </c>
      <c r="D1031" s="2">
        <v>130</v>
      </c>
      <c r="E1031" s="3">
        <f t="shared" si="242"/>
        <v>2</v>
      </c>
      <c r="F1031" s="3">
        <f t="shared" si="243"/>
        <v>9</v>
      </c>
      <c r="G1031" s="3">
        <v>0</v>
      </c>
      <c r="H1031" s="55">
        <f t="shared" si="247"/>
        <v>4</v>
      </c>
      <c r="I1031" s="54">
        <f t="shared" si="246"/>
        <v>5</v>
      </c>
      <c r="J1031" s="78"/>
      <c r="K1031" s="27"/>
      <c r="L1031" s="30" t="s">
        <v>42</v>
      </c>
      <c r="M1031" s="2">
        <v>4</v>
      </c>
      <c r="N1031" s="1" t="s">
        <v>1127</v>
      </c>
      <c r="O1031" s="1" t="s">
        <v>1126</v>
      </c>
      <c r="P1031" s="1" t="s">
        <v>1052</v>
      </c>
      <c r="Q1031" s="1" t="s">
        <v>1125</v>
      </c>
      <c r="S1031" s="13"/>
      <c r="T1031" s="1" t="s">
        <v>105</v>
      </c>
      <c r="V1031" s="1" t="str">
        <f t="shared" si="244"/>
        <v>2.9\0.4:5</v>
      </c>
      <c r="W1031" s="1" t="s">
        <v>1115</v>
      </c>
      <c r="X1031" s="18">
        <v>0</v>
      </c>
      <c r="Z1031" s="206" t="s">
        <v>1062</v>
      </c>
      <c r="AG1031" s="3" t="s">
        <v>588</v>
      </c>
      <c r="AH1031" s="3">
        <v>11</v>
      </c>
      <c r="AI1031" s="3">
        <v>12</v>
      </c>
      <c r="AJ1031" s="3"/>
      <c r="AM1031" s="3"/>
    </row>
    <row r="1032" spans="1:39" x14ac:dyDescent="0.3">
      <c r="A1032" s="5" t="str">
        <f t="shared" si="245"/>
        <v>BCV130</v>
      </c>
      <c r="B1032" s="1" t="s">
        <v>1061</v>
      </c>
      <c r="C1032" s="2" t="str">
        <f t="shared" si="241"/>
        <v>DIO1</v>
      </c>
      <c r="D1032" s="2">
        <v>130</v>
      </c>
      <c r="E1032" s="3">
        <f t="shared" si="242"/>
        <v>2</v>
      </c>
      <c r="F1032" s="3">
        <f t="shared" si="243"/>
        <v>9</v>
      </c>
      <c r="G1032" s="3">
        <v>0</v>
      </c>
      <c r="H1032" s="55">
        <f t="shared" si="247"/>
        <v>4</v>
      </c>
      <c r="I1032" s="54">
        <f t="shared" si="246"/>
        <v>6</v>
      </c>
      <c r="J1032" s="78"/>
      <c r="K1032" s="27"/>
      <c r="L1032" s="30" t="s">
        <v>42</v>
      </c>
      <c r="M1032" s="2"/>
      <c r="Q1032" s="1" t="s">
        <v>302</v>
      </c>
      <c r="S1032" s="13"/>
      <c r="V1032" s="1" t="str">
        <f t="shared" si="244"/>
        <v>2.9\0.4:6</v>
      </c>
      <c r="Z1032" s="206" t="s">
        <v>1062</v>
      </c>
      <c r="AG1032" s="3" t="s">
        <v>588</v>
      </c>
      <c r="AH1032" s="3">
        <v>13</v>
      </c>
      <c r="AI1032" s="3">
        <v>14</v>
      </c>
      <c r="AJ1032" s="3"/>
      <c r="AM1032" s="3"/>
    </row>
    <row r="1033" spans="1:39" x14ac:dyDescent="0.3">
      <c r="A1033" s="5" t="str">
        <f t="shared" si="245"/>
        <v>BCV130</v>
      </c>
      <c r="B1033" s="1" t="s">
        <v>1061</v>
      </c>
      <c r="C1033" s="2" t="str">
        <f t="shared" si="241"/>
        <v>DIO1</v>
      </c>
      <c r="D1033" s="2">
        <v>130</v>
      </c>
      <c r="E1033" s="3">
        <f t="shared" si="242"/>
        <v>2</v>
      </c>
      <c r="F1033" s="3">
        <f t="shared" si="243"/>
        <v>9</v>
      </c>
      <c r="G1033" s="3">
        <v>0</v>
      </c>
      <c r="H1033" s="55">
        <f t="shared" si="247"/>
        <v>4</v>
      </c>
      <c r="I1033" s="54">
        <f t="shared" si="246"/>
        <v>7</v>
      </c>
      <c r="J1033" s="78"/>
      <c r="K1033" s="27"/>
      <c r="L1033" s="30" t="s">
        <v>42</v>
      </c>
      <c r="M1033" s="2">
        <v>4</v>
      </c>
      <c r="N1033" s="1" t="s">
        <v>1124</v>
      </c>
      <c r="O1033" s="1" t="s">
        <v>1123</v>
      </c>
      <c r="P1033" s="1" t="s">
        <v>1034</v>
      </c>
      <c r="Q1033" s="1" t="s">
        <v>1122</v>
      </c>
      <c r="S1033" s="13"/>
      <c r="T1033" s="1" t="s">
        <v>17</v>
      </c>
      <c r="V1033" s="1" t="str">
        <f t="shared" si="244"/>
        <v>2.9\0.4:7</v>
      </c>
      <c r="W1033" s="1" t="s">
        <v>1115</v>
      </c>
      <c r="X1033" s="18">
        <v>0</v>
      </c>
      <c r="Z1033" s="206" t="s">
        <v>1062</v>
      </c>
      <c r="AG1033" s="3" t="s">
        <v>588</v>
      </c>
      <c r="AH1033" s="3">
        <v>15</v>
      </c>
      <c r="AI1033" s="3">
        <v>16</v>
      </c>
      <c r="AJ1033" s="3"/>
      <c r="AM1033" s="3"/>
    </row>
    <row r="1034" spans="1:39" x14ac:dyDescent="0.3">
      <c r="A1034" s="5" t="str">
        <f t="shared" si="245"/>
        <v>BCV130</v>
      </c>
      <c r="B1034" s="1" t="s">
        <v>1061</v>
      </c>
      <c r="C1034" s="2" t="str">
        <f t="shared" si="241"/>
        <v>DIO1</v>
      </c>
      <c r="D1034" s="2">
        <v>130</v>
      </c>
      <c r="E1034" s="3">
        <f t="shared" si="242"/>
        <v>2</v>
      </c>
      <c r="F1034" s="3">
        <f t="shared" si="243"/>
        <v>9</v>
      </c>
      <c r="G1034" s="3">
        <v>0</v>
      </c>
      <c r="H1034" s="55">
        <f t="shared" si="247"/>
        <v>4</v>
      </c>
      <c r="I1034" s="54">
        <f t="shared" si="246"/>
        <v>8</v>
      </c>
      <c r="J1034" s="78"/>
      <c r="K1034" s="27"/>
      <c r="L1034" s="30" t="s">
        <v>42</v>
      </c>
      <c r="M1034" s="2">
        <v>4</v>
      </c>
      <c r="N1034" s="1" t="s">
        <v>1121</v>
      </c>
      <c r="O1034" s="1" t="s">
        <v>1120</v>
      </c>
      <c r="P1034" s="1" t="s">
        <v>1034</v>
      </c>
      <c r="Q1034" s="1" t="s">
        <v>1119</v>
      </c>
      <c r="S1034" s="13"/>
      <c r="T1034" s="1" t="s">
        <v>17</v>
      </c>
      <c r="V1034" s="1" t="str">
        <f t="shared" si="244"/>
        <v>2.9\0.4:8</v>
      </c>
      <c r="W1034" s="1" t="s">
        <v>1115</v>
      </c>
      <c r="X1034" s="18">
        <v>0</v>
      </c>
      <c r="Z1034" s="206" t="s">
        <v>1062</v>
      </c>
      <c r="AG1034" s="3" t="s">
        <v>588</v>
      </c>
      <c r="AH1034" s="3">
        <v>17</v>
      </c>
      <c r="AI1034" s="3">
        <v>18</v>
      </c>
      <c r="AJ1034" s="3"/>
      <c r="AM1034" s="3"/>
    </row>
    <row r="1035" spans="1:39" x14ac:dyDescent="0.3">
      <c r="A1035" s="5" t="str">
        <f t="shared" si="245"/>
        <v>BCV130</v>
      </c>
      <c r="B1035" s="1" t="s">
        <v>1061</v>
      </c>
      <c r="C1035" s="2" t="str">
        <f t="shared" si="241"/>
        <v>DIO1</v>
      </c>
      <c r="D1035" s="2">
        <v>130</v>
      </c>
      <c r="E1035" s="3">
        <f t="shared" si="242"/>
        <v>2</v>
      </c>
      <c r="F1035" s="3">
        <f t="shared" si="243"/>
        <v>9</v>
      </c>
      <c r="G1035" s="3">
        <v>0</v>
      </c>
      <c r="H1035" s="55">
        <f t="shared" si="247"/>
        <v>4</v>
      </c>
      <c r="I1035" s="54">
        <f t="shared" si="246"/>
        <v>9</v>
      </c>
      <c r="J1035" s="78"/>
      <c r="K1035" s="27"/>
      <c r="L1035" s="30" t="s">
        <v>42</v>
      </c>
      <c r="M1035" s="2">
        <v>4</v>
      </c>
      <c r="N1035" s="1" t="s">
        <v>1118</v>
      </c>
      <c r="O1035" s="1" t="s">
        <v>1117</v>
      </c>
      <c r="P1035" s="1" t="s">
        <v>1034</v>
      </c>
      <c r="Q1035" s="1" t="s">
        <v>1116</v>
      </c>
      <c r="S1035" s="13"/>
      <c r="T1035" s="1" t="s">
        <v>17</v>
      </c>
      <c r="V1035" s="1" t="str">
        <f t="shared" si="244"/>
        <v>2.9\0.4:9</v>
      </c>
      <c r="W1035" s="1" t="s">
        <v>1115</v>
      </c>
      <c r="X1035" s="18">
        <v>0</v>
      </c>
      <c r="Z1035" s="206" t="s">
        <v>1062</v>
      </c>
      <c r="AG1035" s="3" t="s">
        <v>588</v>
      </c>
      <c r="AH1035" s="3">
        <v>19</v>
      </c>
      <c r="AI1035" s="3">
        <v>20</v>
      </c>
      <c r="AJ1035" s="3"/>
      <c r="AM1035" s="3"/>
    </row>
    <row r="1036" spans="1:39" x14ac:dyDescent="0.3">
      <c r="A1036" s="5" t="str">
        <f t="shared" si="245"/>
        <v>BCV130</v>
      </c>
      <c r="B1036" s="1" t="s">
        <v>1061</v>
      </c>
      <c r="C1036" s="2" t="str">
        <f t="shared" si="241"/>
        <v>DIO1</v>
      </c>
      <c r="D1036" s="2">
        <v>130</v>
      </c>
      <c r="E1036" s="3">
        <f t="shared" si="242"/>
        <v>2</v>
      </c>
      <c r="F1036" s="3">
        <f t="shared" si="243"/>
        <v>9</v>
      </c>
      <c r="G1036" s="3">
        <v>0</v>
      </c>
      <c r="H1036" s="55">
        <f t="shared" si="247"/>
        <v>4</v>
      </c>
      <c r="I1036" s="54">
        <f t="shared" si="246"/>
        <v>10</v>
      </c>
      <c r="J1036" s="78"/>
      <c r="K1036" s="27"/>
      <c r="L1036" s="30" t="s">
        <v>42</v>
      </c>
      <c r="M1036" s="2"/>
      <c r="Q1036" s="232" t="s">
        <v>302</v>
      </c>
      <c r="S1036" s="13"/>
      <c r="V1036" s="1" t="str">
        <f t="shared" si="244"/>
        <v>2.9\0.4:10</v>
      </c>
      <c r="Z1036" s="206" t="s">
        <v>1062</v>
      </c>
      <c r="AG1036" s="3" t="s">
        <v>588</v>
      </c>
      <c r="AH1036" s="3">
        <v>21</v>
      </c>
      <c r="AI1036" s="3">
        <v>22</v>
      </c>
      <c r="AJ1036" s="3"/>
      <c r="AM1036" s="3"/>
    </row>
    <row r="1037" spans="1:39" x14ac:dyDescent="0.3">
      <c r="A1037" s="5" t="str">
        <f t="shared" si="245"/>
        <v>BCV130</v>
      </c>
      <c r="B1037" s="1" t="s">
        <v>1061</v>
      </c>
      <c r="C1037" s="2" t="str">
        <f t="shared" si="241"/>
        <v>DIO1</v>
      </c>
      <c r="D1037" s="2">
        <v>130</v>
      </c>
      <c r="E1037" s="3">
        <f t="shared" si="242"/>
        <v>2</v>
      </c>
      <c r="F1037" s="3">
        <f t="shared" si="243"/>
        <v>9</v>
      </c>
      <c r="G1037" s="3">
        <v>0</v>
      </c>
      <c r="H1037" s="55">
        <f t="shared" si="247"/>
        <v>4</v>
      </c>
      <c r="I1037" s="54">
        <f t="shared" si="246"/>
        <v>11</v>
      </c>
      <c r="J1037" s="78"/>
      <c r="K1037" s="27"/>
      <c r="L1037" s="30" t="s">
        <v>42</v>
      </c>
      <c r="M1037" s="2"/>
      <c r="Q1037" s="1" t="s">
        <v>302</v>
      </c>
      <c r="S1037" s="13"/>
      <c r="V1037" s="1" t="str">
        <f t="shared" si="244"/>
        <v>2.9\0.4:11</v>
      </c>
      <c r="Z1037" s="206" t="s">
        <v>1062</v>
      </c>
      <c r="AG1037" s="3" t="s">
        <v>588</v>
      </c>
      <c r="AH1037" s="3">
        <v>23</v>
      </c>
      <c r="AI1037" s="3">
        <v>24</v>
      </c>
      <c r="AJ1037" s="3"/>
      <c r="AM1037" s="3"/>
    </row>
    <row r="1038" spans="1:39" x14ac:dyDescent="0.3">
      <c r="A1038" s="5" t="str">
        <f t="shared" si="245"/>
        <v>BCV130</v>
      </c>
      <c r="B1038" s="1" t="s">
        <v>1061</v>
      </c>
      <c r="C1038" s="2" t="str">
        <f t="shared" si="241"/>
        <v>DIO1</v>
      </c>
      <c r="D1038" s="2">
        <v>130</v>
      </c>
      <c r="E1038" s="3">
        <f t="shared" si="242"/>
        <v>2</v>
      </c>
      <c r="F1038" s="3">
        <f t="shared" si="243"/>
        <v>9</v>
      </c>
      <c r="G1038" s="3">
        <v>0</v>
      </c>
      <c r="H1038" s="55">
        <f t="shared" si="247"/>
        <v>4</v>
      </c>
      <c r="I1038" s="54">
        <f t="shared" si="246"/>
        <v>12</v>
      </c>
      <c r="J1038" s="78"/>
      <c r="K1038" s="27"/>
      <c r="L1038" s="30" t="s">
        <v>42</v>
      </c>
      <c r="M1038" s="2"/>
      <c r="Q1038" s="1" t="s">
        <v>302</v>
      </c>
      <c r="S1038" s="13"/>
      <c r="V1038" s="1" t="str">
        <f t="shared" si="244"/>
        <v>2.9\0.4:12</v>
      </c>
      <c r="Z1038" s="206" t="s">
        <v>1062</v>
      </c>
      <c r="AG1038" s="3" t="s">
        <v>588</v>
      </c>
      <c r="AH1038" s="3">
        <v>25</v>
      </c>
      <c r="AI1038" s="3">
        <v>26</v>
      </c>
      <c r="AJ1038" s="3"/>
      <c r="AM1038" s="3"/>
    </row>
    <row r="1039" spans="1:39" x14ac:dyDescent="0.3">
      <c r="A1039" s="5" t="str">
        <f t="shared" si="245"/>
        <v>BCV130</v>
      </c>
      <c r="B1039" s="1" t="s">
        <v>1061</v>
      </c>
      <c r="C1039" s="2" t="str">
        <f t="shared" si="241"/>
        <v>DIO1</v>
      </c>
      <c r="D1039" s="2">
        <v>130</v>
      </c>
      <c r="E1039" s="3">
        <f t="shared" si="242"/>
        <v>2</v>
      </c>
      <c r="F1039" s="3">
        <f t="shared" si="243"/>
        <v>9</v>
      </c>
      <c r="G1039" s="3">
        <v>0</v>
      </c>
      <c r="H1039" s="55">
        <f t="shared" si="247"/>
        <v>4</v>
      </c>
      <c r="I1039" s="54">
        <f t="shared" si="246"/>
        <v>13</v>
      </c>
      <c r="J1039" s="78"/>
      <c r="K1039" s="27"/>
      <c r="L1039" s="30" t="s">
        <v>42</v>
      </c>
      <c r="M1039" s="2"/>
      <c r="Q1039" s="1" t="s">
        <v>302</v>
      </c>
      <c r="S1039" s="13"/>
      <c r="V1039" s="1" t="str">
        <f t="shared" si="244"/>
        <v>2.9\0.4:13</v>
      </c>
      <c r="Z1039" s="206" t="s">
        <v>1062</v>
      </c>
      <c r="AG1039" s="3" t="s">
        <v>588</v>
      </c>
      <c r="AH1039" s="3">
        <v>27</v>
      </c>
      <c r="AI1039" s="3">
        <v>28</v>
      </c>
      <c r="AJ1039" s="3"/>
      <c r="AM1039" s="3"/>
    </row>
    <row r="1040" spans="1:39" x14ac:dyDescent="0.3">
      <c r="A1040" s="5" t="str">
        <f t="shared" si="245"/>
        <v>BCV130</v>
      </c>
      <c r="B1040" s="1" t="s">
        <v>1061</v>
      </c>
      <c r="C1040" s="2" t="str">
        <f t="shared" si="241"/>
        <v>DIO1</v>
      </c>
      <c r="D1040" s="2">
        <v>130</v>
      </c>
      <c r="E1040" s="3">
        <f t="shared" si="242"/>
        <v>2</v>
      </c>
      <c r="F1040" s="3">
        <f t="shared" si="243"/>
        <v>9</v>
      </c>
      <c r="G1040" s="3">
        <v>0</v>
      </c>
      <c r="H1040" s="55">
        <f t="shared" si="247"/>
        <v>4</v>
      </c>
      <c r="I1040" s="54">
        <f t="shared" si="246"/>
        <v>14</v>
      </c>
      <c r="J1040" s="78"/>
      <c r="K1040" s="27"/>
      <c r="L1040" s="30" t="s">
        <v>42</v>
      </c>
      <c r="M1040" s="2"/>
      <c r="Q1040" s="1" t="s">
        <v>302</v>
      </c>
      <c r="S1040" s="13"/>
      <c r="V1040" s="1" t="str">
        <f t="shared" si="244"/>
        <v>2.9\0.4:14</v>
      </c>
      <c r="Z1040" s="206" t="s">
        <v>1062</v>
      </c>
      <c r="AG1040" s="3" t="s">
        <v>588</v>
      </c>
      <c r="AH1040" s="3">
        <v>29</v>
      </c>
      <c r="AI1040" s="3">
        <v>30</v>
      </c>
      <c r="AJ1040" s="3"/>
      <c r="AM1040" s="3"/>
    </row>
    <row r="1041" spans="1:39" ht="13.5" thickBot="1" x14ac:dyDescent="0.35">
      <c r="A1041" s="5" t="str">
        <f t="shared" si="245"/>
        <v>BCV130</v>
      </c>
      <c r="B1041" s="1" t="s">
        <v>1061</v>
      </c>
      <c r="C1041" s="2" t="str">
        <f t="shared" si="241"/>
        <v>DIO1</v>
      </c>
      <c r="D1041" s="2">
        <v>130</v>
      </c>
      <c r="E1041" s="3">
        <f t="shared" si="242"/>
        <v>2</v>
      </c>
      <c r="F1041" s="3">
        <f t="shared" si="243"/>
        <v>9</v>
      </c>
      <c r="G1041" s="3">
        <v>0</v>
      </c>
      <c r="H1041" s="55">
        <f t="shared" si="247"/>
        <v>4</v>
      </c>
      <c r="I1041" s="59">
        <f t="shared" si="246"/>
        <v>15</v>
      </c>
      <c r="J1041" s="77"/>
      <c r="K1041" s="27"/>
      <c r="L1041" s="30" t="s">
        <v>42</v>
      </c>
      <c r="M1041" s="2"/>
      <c r="Q1041" s="1" t="s">
        <v>302</v>
      </c>
      <c r="S1041" s="13"/>
      <c r="V1041" s="1" t="str">
        <f t="shared" si="244"/>
        <v>2.9\0.4:15</v>
      </c>
      <c r="Z1041" s="206" t="s">
        <v>1062</v>
      </c>
      <c r="AG1041" s="3" t="s">
        <v>588</v>
      </c>
      <c r="AH1041" s="3">
        <v>31</v>
      </c>
      <c r="AI1041" s="3">
        <v>32</v>
      </c>
      <c r="AJ1041" s="3"/>
      <c r="AM1041" s="3"/>
    </row>
    <row r="1042" spans="1:39" x14ac:dyDescent="0.3">
      <c r="A1042" s="76" t="s">
        <v>17</v>
      </c>
      <c r="B1042" s="1" t="s">
        <v>1061</v>
      </c>
      <c r="C1042" s="2" t="str">
        <f t="shared" si="241"/>
        <v>DIO1</v>
      </c>
      <c r="D1042" s="2">
        <v>130</v>
      </c>
      <c r="E1042" s="3">
        <f t="shared" si="242"/>
        <v>2</v>
      </c>
      <c r="F1042" s="3">
        <f t="shared" si="243"/>
        <v>9</v>
      </c>
      <c r="G1042" s="3">
        <v>0</v>
      </c>
      <c r="H1042" s="62">
        <v>5</v>
      </c>
      <c r="I1042" s="56">
        <v>0</v>
      </c>
      <c r="J1042" s="218" t="s">
        <v>879</v>
      </c>
      <c r="K1042" s="1" t="s">
        <v>896</v>
      </c>
      <c r="L1042" s="30" t="s">
        <v>880</v>
      </c>
      <c r="M1042" s="2">
        <v>4</v>
      </c>
      <c r="N1042" s="1" t="s">
        <v>1114</v>
      </c>
      <c r="O1042" s="1" t="s">
        <v>1113</v>
      </c>
      <c r="P1042" s="1" t="s">
        <v>1112</v>
      </c>
      <c r="Q1042" s="2" t="s">
        <v>1111</v>
      </c>
      <c r="R1042" s="2"/>
      <c r="S1042" s="1" t="s">
        <v>869</v>
      </c>
      <c r="T1042" s="1" t="s">
        <v>1110</v>
      </c>
      <c r="U1042" s="1" t="s">
        <v>868</v>
      </c>
      <c r="V1042" s="1" t="str">
        <f t="shared" si="244"/>
        <v>2.9\0.5:0</v>
      </c>
      <c r="W1042" s="1" t="s">
        <v>1098</v>
      </c>
      <c r="X1042" s="18">
        <v>0</v>
      </c>
      <c r="Z1042" s="206" t="s">
        <v>1062</v>
      </c>
      <c r="AB1042" s="1">
        <v>0</v>
      </c>
      <c r="AC1042" s="1">
        <v>100</v>
      </c>
      <c r="AD1042" s="1">
        <v>0</v>
      </c>
      <c r="AE1042" s="1">
        <v>100</v>
      </c>
      <c r="AF1042" s="1" t="s">
        <v>865</v>
      </c>
      <c r="AG1042" s="3" t="s">
        <v>588</v>
      </c>
      <c r="AH1042" s="3">
        <v>33</v>
      </c>
      <c r="AI1042" s="3">
        <v>34</v>
      </c>
      <c r="AJ1042" s="3"/>
      <c r="AM1042" s="3"/>
    </row>
    <row r="1043" spans="1:39" x14ac:dyDescent="0.3">
      <c r="A1043" s="5" t="str">
        <f t="shared" ref="A1043:A1049" si="248">A1042</f>
        <v>BCV130</v>
      </c>
      <c r="B1043" s="1" t="s">
        <v>1061</v>
      </c>
      <c r="C1043" s="2" t="str">
        <f t="shared" si="241"/>
        <v>DIO1</v>
      </c>
      <c r="D1043" s="2">
        <v>130</v>
      </c>
      <c r="E1043" s="3">
        <f t="shared" si="242"/>
        <v>2</v>
      </c>
      <c r="F1043" s="3">
        <f t="shared" si="243"/>
        <v>9</v>
      </c>
      <c r="G1043" s="3">
        <v>0</v>
      </c>
      <c r="H1043" s="55">
        <f t="shared" ref="H1043:H1049" si="249">+H1042</f>
        <v>5</v>
      </c>
      <c r="I1043" s="54">
        <f t="shared" ref="I1043:I1049" si="250">+I1042+1</f>
        <v>1</v>
      </c>
      <c r="J1043" s="217"/>
      <c r="K1043" s="2"/>
      <c r="L1043" s="30" t="s">
        <v>880</v>
      </c>
      <c r="M1043" s="2">
        <v>4</v>
      </c>
      <c r="N1043" s="1" t="s">
        <v>1109</v>
      </c>
      <c r="O1043" s="1" t="s">
        <v>894</v>
      </c>
      <c r="P1043" s="1" t="s">
        <v>1108</v>
      </c>
      <c r="Q1043" s="1" t="s">
        <v>1107</v>
      </c>
      <c r="R1043" s="2"/>
      <c r="S1043" s="1" t="s">
        <v>888</v>
      </c>
      <c r="T1043" s="1" t="s">
        <v>1106</v>
      </c>
      <c r="U1043" s="1" t="s">
        <v>868</v>
      </c>
      <c r="V1043" s="1" t="str">
        <f t="shared" si="244"/>
        <v>2.9\0.5:1</v>
      </c>
      <c r="W1043" s="1" t="s">
        <v>1105</v>
      </c>
      <c r="X1043" s="18">
        <v>0</v>
      </c>
      <c r="Z1043" s="206" t="s">
        <v>1062</v>
      </c>
      <c r="AG1043" s="3" t="s">
        <v>588</v>
      </c>
      <c r="AH1043" s="3">
        <v>35</v>
      </c>
      <c r="AI1043" s="3">
        <v>36</v>
      </c>
      <c r="AJ1043" s="3"/>
      <c r="AM1043" s="3"/>
    </row>
    <row r="1044" spans="1:39" x14ac:dyDescent="0.3">
      <c r="A1044" s="5" t="str">
        <f t="shared" si="248"/>
        <v>BCV130</v>
      </c>
      <c r="B1044" s="1" t="s">
        <v>1061</v>
      </c>
      <c r="C1044" s="2" t="str">
        <f t="shared" si="241"/>
        <v>DIO1</v>
      </c>
      <c r="D1044" s="2">
        <v>130</v>
      </c>
      <c r="E1044" s="3">
        <f t="shared" si="242"/>
        <v>2</v>
      </c>
      <c r="F1044" s="3">
        <f t="shared" si="243"/>
        <v>9</v>
      </c>
      <c r="G1044" s="3">
        <v>0</v>
      </c>
      <c r="H1044" s="55">
        <f t="shared" si="249"/>
        <v>5</v>
      </c>
      <c r="I1044" s="54">
        <f t="shared" si="250"/>
        <v>2</v>
      </c>
      <c r="J1044" s="217"/>
      <c r="K1044" s="2"/>
      <c r="L1044" s="30" t="s">
        <v>880</v>
      </c>
      <c r="M1044" s="2">
        <v>4</v>
      </c>
      <c r="N1044" s="1" t="s">
        <v>1104</v>
      </c>
      <c r="O1044" s="1" t="s">
        <v>1103</v>
      </c>
      <c r="P1044" s="1" t="s">
        <v>1102</v>
      </c>
      <c r="Q1044" s="1" t="s">
        <v>1099</v>
      </c>
      <c r="R1044" s="4"/>
      <c r="S1044" s="1" t="s">
        <v>883</v>
      </c>
      <c r="T1044" s="1" t="s">
        <v>17</v>
      </c>
      <c r="U1044" s="1" t="s">
        <v>868</v>
      </c>
      <c r="V1044" s="1" t="str">
        <f t="shared" si="244"/>
        <v>2.9\0.5:2</v>
      </c>
      <c r="W1044" s="1" t="s">
        <v>1098</v>
      </c>
      <c r="X1044" s="18">
        <v>0</v>
      </c>
      <c r="Z1044" s="206" t="s">
        <v>1062</v>
      </c>
      <c r="AB1044" s="1">
        <v>0</v>
      </c>
      <c r="AC1044" s="1">
        <v>10</v>
      </c>
      <c r="AD1044" s="1">
        <v>0</v>
      </c>
      <c r="AE1044" s="1">
        <v>10</v>
      </c>
      <c r="AF1044" s="1" t="s">
        <v>865</v>
      </c>
      <c r="AG1044" s="3" t="s">
        <v>588</v>
      </c>
      <c r="AH1044" s="3">
        <v>37</v>
      </c>
      <c r="AI1044" s="3">
        <v>38</v>
      </c>
      <c r="AJ1044" s="3"/>
      <c r="AM1044" s="3"/>
    </row>
    <row r="1045" spans="1:39" x14ac:dyDescent="0.3">
      <c r="A1045" s="5" t="str">
        <f t="shared" si="248"/>
        <v>BCV130</v>
      </c>
      <c r="B1045" s="1" t="s">
        <v>1061</v>
      </c>
      <c r="C1045" s="2" t="str">
        <f t="shared" si="241"/>
        <v>DIO1</v>
      </c>
      <c r="D1045" s="2">
        <v>130</v>
      </c>
      <c r="E1045" s="3">
        <f t="shared" si="242"/>
        <v>2</v>
      </c>
      <c r="F1045" s="3">
        <f t="shared" si="243"/>
        <v>9</v>
      </c>
      <c r="G1045" s="3">
        <v>0</v>
      </c>
      <c r="H1045" s="55">
        <f t="shared" si="249"/>
        <v>5</v>
      </c>
      <c r="I1045" s="54">
        <f t="shared" si="250"/>
        <v>3</v>
      </c>
      <c r="J1045" s="217"/>
      <c r="K1045" s="2"/>
      <c r="L1045" s="30" t="s">
        <v>880</v>
      </c>
      <c r="M1045" s="2">
        <v>4</v>
      </c>
      <c r="N1045" s="1" t="s">
        <v>1101</v>
      </c>
      <c r="O1045" s="1" t="s">
        <v>885</v>
      </c>
      <c r="P1045" s="1" t="s">
        <v>1100</v>
      </c>
      <c r="Q1045" s="1" t="s">
        <v>1099</v>
      </c>
      <c r="R1045" s="2"/>
      <c r="S1045" s="1" t="s">
        <v>883</v>
      </c>
      <c r="T1045" s="1" t="s">
        <v>99</v>
      </c>
      <c r="U1045" s="1" t="s">
        <v>868</v>
      </c>
      <c r="V1045" s="1" t="str">
        <f t="shared" si="244"/>
        <v>2.9\0.5:3</v>
      </c>
      <c r="W1045" s="1" t="s">
        <v>1098</v>
      </c>
      <c r="X1045" s="18">
        <v>0</v>
      </c>
      <c r="Z1045" s="206" t="s">
        <v>1062</v>
      </c>
      <c r="AB1045" s="1">
        <v>0</v>
      </c>
      <c r="AC1045" s="1">
        <v>10</v>
      </c>
      <c r="AD1045" s="1">
        <v>0</v>
      </c>
      <c r="AE1045" s="1">
        <v>10</v>
      </c>
      <c r="AF1045" s="1" t="s">
        <v>865</v>
      </c>
      <c r="AG1045" s="3" t="s">
        <v>588</v>
      </c>
      <c r="AH1045" s="3">
        <v>39</v>
      </c>
      <c r="AI1045" s="3">
        <v>40</v>
      </c>
      <c r="AJ1045" s="3"/>
      <c r="AM1045" s="3"/>
    </row>
    <row r="1046" spans="1:39" x14ac:dyDescent="0.3">
      <c r="A1046" s="5" t="str">
        <f t="shared" si="248"/>
        <v>BCV130</v>
      </c>
      <c r="B1046" s="1" t="s">
        <v>1061</v>
      </c>
      <c r="C1046" s="2" t="str">
        <f t="shared" si="241"/>
        <v>DIO1</v>
      </c>
      <c r="D1046" s="2">
        <v>130</v>
      </c>
      <c r="E1046" s="3">
        <f t="shared" si="242"/>
        <v>2</v>
      </c>
      <c r="F1046" s="3">
        <f t="shared" si="243"/>
        <v>9</v>
      </c>
      <c r="G1046" s="3">
        <v>0</v>
      </c>
      <c r="H1046" s="55">
        <f t="shared" si="249"/>
        <v>5</v>
      </c>
      <c r="I1046" s="54">
        <f t="shared" si="250"/>
        <v>4</v>
      </c>
      <c r="J1046" s="217"/>
      <c r="K1046" s="2"/>
      <c r="L1046" s="30" t="s">
        <v>880</v>
      </c>
      <c r="M1046" s="2"/>
      <c r="V1046" s="1" t="str">
        <f t="shared" si="244"/>
        <v>2.9\0.5:4</v>
      </c>
      <c r="Z1046" s="206" t="s">
        <v>1062</v>
      </c>
      <c r="AG1046" s="3" t="s">
        <v>588</v>
      </c>
      <c r="AH1046" s="3">
        <v>41</v>
      </c>
      <c r="AI1046" s="3">
        <v>42</v>
      </c>
      <c r="AJ1046" s="3"/>
      <c r="AM1046" s="3"/>
    </row>
    <row r="1047" spans="1:39" x14ac:dyDescent="0.3">
      <c r="A1047" s="5" t="str">
        <f t="shared" si="248"/>
        <v>BCV130</v>
      </c>
      <c r="B1047" s="1" t="s">
        <v>1061</v>
      </c>
      <c r="C1047" s="2" t="str">
        <f t="shared" si="241"/>
        <v>DIO1</v>
      </c>
      <c r="D1047" s="2">
        <v>130</v>
      </c>
      <c r="E1047" s="3">
        <f t="shared" si="242"/>
        <v>2</v>
      </c>
      <c r="F1047" s="3">
        <f t="shared" si="243"/>
        <v>9</v>
      </c>
      <c r="G1047" s="3">
        <v>0</v>
      </c>
      <c r="H1047" s="55">
        <f t="shared" si="249"/>
        <v>5</v>
      </c>
      <c r="I1047" s="54">
        <f t="shared" si="250"/>
        <v>5</v>
      </c>
      <c r="J1047" s="217"/>
      <c r="K1047" s="2"/>
      <c r="L1047" s="30" t="s">
        <v>880</v>
      </c>
      <c r="M1047" s="2"/>
      <c r="R1047" s="2"/>
      <c r="V1047" s="1" t="str">
        <f t="shared" si="244"/>
        <v>2.9\0.5:5</v>
      </c>
      <c r="Z1047" s="206" t="s">
        <v>1062</v>
      </c>
      <c r="AG1047" s="3" t="s">
        <v>588</v>
      </c>
      <c r="AH1047" s="3">
        <v>43</v>
      </c>
      <c r="AI1047" s="3">
        <v>44</v>
      </c>
      <c r="AJ1047" s="3"/>
      <c r="AM1047" s="3"/>
    </row>
    <row r="1048" spans="1:39" x14ac:dyDescent="0.3">
      <c r="A1048" s="5" t="str">
        <f t="shared" si="248"/>
        <v>BCV130</v>
      </c>
      <c r="B1048" s="1" t="s">
        <v>1061</v>
      </c>
      <c r="C1048" s="2" t="str">
        <f t="shared" si="241"/>
        <v>DIO1</v>
      </c>
      <c r="D1048" s="2">
        <v>130</v>
      </c>
      <c r="E1048" s="3">
        <f t="shared" si="242"/>
        <v>2</v>
      </c>
      <c r="F1048" s="3">
        <f t="shared" si="243"/>
        <v>9</v>
      </c>
      <c r="G1048" s="3">
        <v>0</v>
      </c>
      <c r="H1048" s="55">
        <f t="shared" si="249"/>
        <v>5</v>
      </c>
      <c r="I1048" s="54">
        <f t="shared" si="250"/>
        <v>6</v>
      </c>
      <c r="J1048" s="217"/>
      <c r="K1048" s="2"/>
      <c r="L1048" s="30" t="s">
        <v>880</v>
      </c>
      <c r="M1048" s="2"/>
      <c r="R1048" s="2"/>
      <c r="V1048" s="1" t="str">
        <f t="shared" si="244"/>
        <v>2.9\0.5:6</v>
      </c>
      <c r="Z1048" s="206" t="s">
        <v>1062</v>
      </c>
      <c r="AG1048" s="3" t="s">
        <v>588</v>
      </c>
      <c r="AH1048" s="3">
        <v>45</v>
      </c>
      <c r="AI1048" s="3">
        <v>46</v>
      </c>
      <c r="AJ1048" s="3"/>
      <c r="AM1048" s="3"/>
    </row>
    <row r="1049" spans="1:39" ht="13.5" thickBot="1" x14ac:dyDescent="0.35">
      <c r="A1049" s="5" t="str">
        <f t="shared" si="248"/>
        <v>BCV130</v>
      </c>
      <c r="B1049" s="1" t="s">
        <v>1061</v>
      </c>
      <c r="C1049" s="2" t="str">
        <f t="shared" si="241"/>
        <v>DIO1</v>
      </c>
      <c r="D1049" s="2">
        <v>130</v>
      </c>
      <c r="E1049" s="3">
        <f t="shared" si="242"/>
        <v>2</v>
      </c>
      <c r="F1049" s="3">
        <f t="shared" si="243"/>
        <v>9</v>
      </c>
      <c r="G1049" s="3">
        <v>0</v>
      </c>
      <c r="H1049" s="55">
        <f t="shared" si="249"/>
        <v>5</v>
      </c>
      <c r="I1049" s="59">
        <f t="shared" si="250"/>
        <v>7</v>
      </c>
      <c r="J1049" s="216"/>
      <c r="K1049" s="2"/>
      <c r="L1049" s="30" t="s">
        <v>880</v>
      </c>
      <c r="M1049" s="2"/>
      <c r="R1049" s="2"/>
      <c r="V1049" s="1" t="str">
        <f t="shared" si="244"/>
        <v>2.9\0.5:7</v>
      </c>
      <c r="Z1049" s="206" t="s">
        <v>1062</v>
      </c>
      <c r="AG1049" s="3" t="s">
        <v>588</v>
      </c>
      <c r="AH1049" s="3">
        <v>47</v>
      </c>
      <c r="AI1049" s="3">
        <v>48</v>
      </c>
      <c r="AJ1049" s="3"/>
      <c r="AM1049" s="3"/>
    </row>
    <row r="1050" spans="1:39" x14ac:dyDescent="0.3">
      <c r="A1050" s="76" t="s">
        <v>17</v>
      </c>
      <c r="B1050" s="1" t="s">
        <v>1061</v>
      </c>
      <c r="C1050" s="2" t="str">
        <f t="shared" si="241"/>
        <v>DIO1</v>
      </c>
      <c r="D1050" s="2">
        <v>130</v>
      </c>
      <c r="E1050" s="3">
        <f t="shared" si="242"/>
        <v>2</v>
      </c>
      <c r="F1050" s="3">
        <f t="shared" si="243"/>
        <v>9</v>
      </c>
      <c r="G1050" s="3">
        <v>0</v>
      </c>
      <c r="H1050" s="223">
        <v>6</v>
      </c>
      <c r="I1050" s="56">
        <v>0</v>
      </c>
      <c r="J1050" s="231" t="s">
        <v>1071</v>
      </c>
      <c r="K1050" s="2" t="s">
        <v>1075</v>
      </c>
      <c r="L1050" s="30" t="s">
        <v>1063</v>
      </c>
      <c r="M1050" s="2">
        <v>4</v>
      </c>
      <c r="N1050" s="1" t="s">
        <v>1097</v>
      </c>
      <c r="O1050" s="1" t="s">
        <v>1069</v>
      </c>
      <c r="Q1050" s="26" t="s">
        <v>1096</v>
      </c>
      <c r="S1050" s="1" t="s">
        <v>780</v>
      </c>
      <c r="T1050" s="1" t="s">
        <v>17</v>
      </c>
      <c r="U1050" s="1" t="s">
        <v>868</v>
      </c>
      <c r="V1050" s="1" t="str">
        <f t="shared" si="244"/>
        <v>2.9\0.6:0</v>
      </c>
      <c r="W1050" s="1" t="s">
        <v>1064</v>
      </c>
      <c r="X1050" s="18">
        <v>0</v>
      </c>
      <c r="Z1050" s="206" t="s">
        <v>1062</v>
      </c>
      <c r="AB1050" s="1">
        <v>0</v>
      </c>
      <c r="AC1050" s="1">
        <v>200</v>
      </c>
      <c r="AD1050" s="1">
        <v>0</v>
      </c>
      <c r="AE1050" s="1">
        <v>200</v>
      </c>
      <c r="AF1050" s="1" t="s">
        <v>874</v>
      </c>
      <c r="AG1050" s="3" t="s">
        <v>570</v>
      </c>
      <c r="AH1050" s="3">
        <v>1</v>
      </c>
      <c r="AI1050" s="3">
        <v>2</v>
      </c>
      <c r="AJ1050" s="3">
        <v>3</v>
      </c>
    </row>
    <row r="1051" spans="1:39" x14ac:dyDescent="0.3">
      <c r="A1051" s="5" t="str">
        <f t="shared" ref="A1051:A1057" si="251">A1050</f>
        <v>BCV130</v>
      </c>
      <c r="B1051" s="1" t="s">
        <v>1061</v>
      </c>
      <c r="C1051" s="2" t="str">
        <f t="shared" si="241"/>
        <v>DIO1</v>
      </c>
      <c r="D1051" s="2">
        <v>130</v>
      </c>
      <c r="E1051" s="3">
        <f t="shared" si="242"/>
        <v>2</v>
      </c>
      <c r="F1051" s="3">
        <f t="shared" si="243"/>
        <v>9</v>
      </c>
      <c r="G1051" s="3">
        <v>0</v>
      </c>
      <c r="H1051" s="55">
        <f t="shared" ref="H1051:H1057" si="252">+H1050</f>
        <v>6</v>
      </c>
      <c r="I1051" s="54">
        <f t="shared" ref="I1051:I1057" si="253">+I1050+1</f>
        <v>1</v>
      </c>
      <c r="J1051" s="231" t="s">
        <v>1071</v>
      </c>
      <c r="K1051" s="2"/>
      <c r="L1051" s="30" t="s">
        <v>1063</v>
      </c>
      <c r="M1051" s="2">
        <v>4</v>
      </c>
      <c r="N1051" s="1" t="s">
        <v>1095</v>
      </c>
      <c r="O1051" s="1" t="s">
        <v>1066</v>
      </c>
      <c r="Q1051" s="26" t="s">
        <v>1094</v>
      </c>
      <c r="S1051" s="1" t="s">
        <v>780</v>
      </c>
      <c r="T1051" s="1" t="s">
        <v>17</v>
      </c>
      <c r="U1051" s="1" t="s">
        <v>868</v>
      </c>
      <c r="V1051" s="1" t="str">
        <f t="shared" si="244"/>
        <v>2.9\0.6:1</v>
      </c>
      <c r="W1051" s="1" t="s">
        <v>1064</v>
      </c>
      <c r="X1051" s="18">
        <v>0</v>
      </c>
      <c r="Z1051" s="206" t="s">
        <v>1062</v>
      </c>
      <c r="AB1051" s="1">
        <v>0</v>
      </c>
      <c r="AC1051" s="1">
        <v>200</v>
      </c>
      <c r="AD1051" s="1">
        <v>0</v>
      </c>
      <c r="AE1051" s="1">
        <v>200</v>
      </c>
      <c r="AF1051" s="1" t="s">
        <v>874</v>
      </c>
      <c r="AG1051" s="3" t="s">
        <v>570</v>
      </c>
      <c r="AH1051" s="3">
        <v>4</v>
      </c>
      <c r="AI1051" s="3">
        <v>5</v>
      </c>
      <c r="AJ1051" s="3">
        <v>6</v>
      </c>
    </row>
    <row r="1052" spans="1:39" x14ac:dyDescent="0.3">
      <c r="A1052" s="5" t="str">
        <f t="shared" si="251"/>
        <v>BCV130</v>
      </c>
      <c r="B1052" s="1" t="s">
        <v>1061</v>
      </c>
      <c r="C1052" s="2" t="str">
        <f t="shared" si="241"/>
        <v>DIO1</v>
      </c>
      <c r="D1052" s="2">
        <v>130</v>
      </c>
      <c r="E1052" s="3">
        <f t="shared" si="242"/>
        <v>2</v>
      </c>
      <c r="F1052" s="3">
        <f t="shared" si="243"/>
        <v>9</v>
      </c>
      <c r="G1052" s="3">
        <v>0</v>
      </c>
      <c r="H1052" s="55">
        <f t="shared" si="252"/>
        <v>6</v>
      </c>
      <c r="I1052" s="54">
        <f t="shared" si="253"/>
        <v>2</v>
      </c>
      <c r="J1052" s="231"/>
      <c r="K1052" s="2"/>
      <c r="L1052" s="30" t="s">
        <v>1063</v>
      </c>
      <c r="M1052" s="2">
        <v>4</v>
      </c>
      <c r="N1052" s="1" t="s">
        <v>1093</v>
      </c>
      <c r="O1052" s="1" t="s">
        <v>1092</v>
      </c>
      <c r="Q1052" s="26" t="s">
        <v>1091</v>
      </c>
      <c r="S1052" s="1" t="s">
        <v>780</v>
      </c>
      <c r="T1052" s="1" t="s">
        <v>17</v>
      </c>
      <c r="U1052" s="1" t="s">
        <v>868</v>
      </c>
      <c r="V1052" s="1" t="str">
        <f t="shared" si="244"/>
        <v>2.9\0.6:2</v>
      </c>
      <c r="W1052" s="1" t="s">
        <v>1064</v>
      </c>
      <c r="X1052" s="18">
        <v>0</v>
      </c>
      <c r="Z1052" s="206" t="s">
        <v>1062</v>
      </c>
      <c r="AB1052" s="1">
        <v>0</v>
      </c>
      <c r="AC1052" s="1">
        <v>200</v>
      </c>
      <c r="AD1052" s="1">
        <v>0</v>
      </c>
      <c r="AE1052" s="1">
        <v>200</v>
      </c>
      <c r="AF1052" s="1" t="s">
        <v>874</v>
      </c>
      <c r="AG1052" s="3" t="s">
        <v>570</v>
      </c>
      <c r="AH1052" s="3">
        <v>7</v>
      </c>
      <c r="AI1052" s="3">
        <v>8</v>
      </c>
      <c r="AJ1052" s="3">
        <v>9</v>
      </c>
    </row>
    <row r="1053" spans="1:39" x14ac:dyDescent="0.3">
      <c r="A1053" s="5" t="str">
        <f t="shared" si="251"/>
        <v>BCV130</v>
      </c>
      <c r="B1053" s="1" t="s">
        <v>1061</v>
      </c>
      <c r="C1053" s="2" t="str">
        <f t="shared" si="241"/>
        <v>DIO1</v>
      </c>
      <c r="D1053" s="2">
        <v>130</v>
      </c>
      <c r="E1053" s="3">
        <f t="shared" si="242"/>
        <v>2</v>
      </c>
      <c r="F1053" s="3">
        <f t="shared" si="243"/>
        <v>9</v>
      </c>
      <c r="G1053" s="3">
        <v>0</v>
      </c>
      <c r="H1053" s="55">
        <f t="shared" si="252"/>
        <v>6</v>
      </c>
      <c r="I1053" s="54">
        <f t="shared" si="253"/>
        <v>3</v>
      </c>
      <c r="J1053" s="231"/>
      <c r="L1053" s="30" t="s">
        <v>1063</v>
      </c>
      <c r="M1053" s="2">
        <v>4</v>
      </c>
      <c r="N1053" s="1" t="s">
        <v>1090</v>
      </c>
      <c r="O1053" s="1" t="s">
        <v>1089</v>
      </c>
      <c r="Q1053" s="26" t="s">
        <v>1088</v>
      </c>
      <c r="S1053" s="1" t="s">
        <v>780</v>
      </c>
      <c r="T1053" s="1" t="s">
        <v>17</v>
      </c>
      <c r="U1053" s="1" t="s">
        <v>868</v>
      </c>
      <c r="V1053" s="1" t="str">
        <f t="shared" si="244"/>
        <v>2.9\0.6:3</v>
      </c>
      <c r="W1053" s="1" t="s">
        <v>1064</v>
      </c>
      <c r="X1053" s="18">
        <v>0</v>
      </c>
      <c r="Z1053" s="206" t="s">
        <v>1062</v>
      </c>
      <c r="AB1053" s="1">
        <v>0</v>
      </c>
      <c r="AC1053" s="1">
        <v>200</v>
      </c>
      <c r="AD1053" s="1">
        <v>0</v>
      </c>
      <c r="AE1053" s="1">
        <v>200</v>
      </c>
      <c r="AF1053" s="1" t="s">
        <v>874</v>
      </c>
      <c r="AG1053" s="3" t="s">
        <v>570</v>
      </c>
      <c r="AH1053" s="3">
        <v>10</v>
      </c>
      <c r="AI1053" s="3">
        <v>11</v>
      </c>
      <c r="AJ1053" s="3">
        <v>12</v>
      </c>
    </row>
    <row r="1054" spans="1:39" x14ac:dyDescent="0.3">
      <c r="A1054" s="5" t="str">
        <f t="shared" si="251"/>
        <v>BCV130</v>
      </c>
      <c r="B1054" s="1" t="s">
        <v>1061</v>
      </c>
      <c r="C1054" s="2" t="str">
        <f t="shared" si="241"/>
        <v>DIO1</v>
      </c>
      <c r="D1054" s="2">
        <v>130</v>
      </c>
      <c r="E1054" s="3">
        <f t="shared" si="242"/>
        <v>2</v>
      </c>
      <c r="F1054" s="3">
        <f t="shared" si="243"/>
        <v>9</v>
      </c>
      <c r="G1054" s="3">
        <v>0</v>
      </c>
      <c r="H1054" s="55">
        <f t="shared" si="252"/>
        <v>6</v>
      </c>
      <c r="I1054" s="54">
        <f t="shared" si="253"/>
        <v>4</v>
      </c>
      <c r="J1054" s="231"/>
      <c r="L1054" s="30" t="s">
        <v>1063</v>
      </c>
      <c r="M1054" s="2">
        <v>4</v>
      </c>
      <c r="N1054" s="1" t="s">
        <v>1087</v>
      </c>
      <c r="O1054" s="1" t="s">
        <v>1086</v>
      </c>
      <c r="Q1054" s="26" t="s">
        <v>1085</v>
      </c>
      <c r="R1054" s="41"/>
      <c r="S1054" s="1" t="s">
        <v>780</v>
      </c>
      <c r="T1054" s="1" t="s">
        <v>17</v>
      </c>
      <c r="U1054" s="1" t="s">
        <v>868</v>
      </c>
      <c r="V1054" s="1" t="str">
        <f t="shared" si="244"/>
        <v>2.9\0.6:4</v>
      </c>
      <c r="W1054" s="1" t="s">
        <v>1064</v>
      </c>
      <c r="X1054" s="18">
        <v>0</v>
      </c>
      <c r="Z1054" s="206" t="s">
        <v>1062</v>
      </c>
      <c r="AB1054" s="1">
        <v>0</v>
      </c>
      <c r="AC1054" s="1">
        <v>200</v>
      </c>
      <c r="AD1054" s="1">
        <v>0</v>
      </c>
      <c r="AE1054" s="1">
        <v>200</v>
      </c>
      <c r="AF1054" s="1" t="s">
        <v>874</v>
      </c>
      <c r="AG1054" s="3" t="s">
        <v>570</v>
      </c>
      <c r="AH1054" s="3">
        <v>13</v>
      </c>
      <c r="AI1054" s="3">
        <v>14</v>
      </c>
      <c r="AJ1054" s="3">
        <v>15</v>
      </c>
    </row>
    <row r="1055" spans="1:39" x14ac:dyDescent="0.3">
      <c r="A1055" s="5" t="str">
        <f t="shared" si="251"/>
        <v>BCV130</v>
      </c>
      <c r="B1055" s="1" t="s">
        <v>1061</v>
      </c>
      <c r="C1055" s="2" t="str">
        <f t="shared" ref="C1055:C1065" si="254">+C1054</f>
        <v>DIO1</v>
      </c>
      <c r="D1055" s="2">
        <v>130</v>
      </c>
      <c r="E1055" s="3">
        <f t="shared" ref="E1055:E1065" si="255">+E1054</f>
        <v>2</v>
      </c>
      <c r="F1055" s="3">
        <f t="shared" ref="F1055:F1065" si="256">+F1054</f>
        <v>9</v>
      </c>
      <c r="G1055" s="3">
        <v>0</v>
      </c>
      <c r="H1055" s="55">
        <f t="shared" si="252"/>
        <v>6</v>
      </c>
      <c r="I1055" s="54">
        <f t="shared" si="253"/>
        <v>5</v>
      </c>
      <c r="J1055" s="231"/>
      <c r="K1055" s="2"/>
      <c r="L1055" s="30" t="s">
        <v>1063</v>
      </c>
      <c r="M1055" s="2">
        <v>4</v>
      </c>
      <c r="N1055" s="1" t="s">
        <v>1084</v>
      </c>
      <c r="O1055" s="1" t="s">
        <v>1083</v>
      </c>
      <c r="Q1055" s="26" t="s">
        <v>1082</v>
      </c>
      <c r="R1055" s="41"/>
      <c r="S1055" s="1" t="s">
        <v>780</v>
      </c>
      <c r="T1055" s="1" t="s">
        <v>17</v>
      </c>
      <c r="U1055" s="1" t="s">
        <v>868</v>
      </c>
      <c r="V1055" s="1" t="str">
        <f t="shared" si="244"/>
        <v>2.9\0.6:5</v>
      </c>
      <c r="W1055" s="1" t="s">
        <v>1064</v>
      </c>
      <c r="X1055" s="18">
        <v>0</v>
      </c>
      <c r="Z1055" s="206" t="s">
        <v>1062</v>
      </c>
      <c r="AB1055" s="1">
        <v>0</v>
      </c>
      <c r="AC1055" s="1">
        <v>200</v>
      </c>
      <c r="AD1055" s="1">
        <v>0</v>
      </c>
      <c r="AE1055" s="1">
        <v>200</v>
      </c>
      <c r="AF1055" s="1" t="s">
        <v>874</v>
      </c>
      <c r="AG1055" s="3" t="s">
        <v>570</v>
      </c>
      <c r="AH1055" s="3">
        <v>16</v>
      </c>
      <c r="AI1055" s="3">
        <v>17</v>
      </c>
      <c r="AJ1055" s="3">
        <v>18</v>
      </c>
    </row>
    <row r="1056" spans="1:39" x14ac:dyDescent="0.3">
      <c r="A1056" s="5" t="str">
        <f t="shared" si="251"/>
        <v>BCV130</v>
      </c>
      <c r="B1056" s="1" t="s">
        <v>1061</v>
      </c>
      <c r="C1056" s="2" t="str">
        <f t="shared" si="254"/>
        <v>DIO1</v>
      </c>
      <c r="D1056" s="2">
        <v>130</v>
      </c>
      <c r="E1056" s="3">
        <f t="shared" si="255"/>
        <v>2</v>
      </c>
      <c r="F1056" s="3">
        <f t="shared" si="256"/>
        <v>9</v>
      </c>
      <c r="G1056" s="3">
        <v>0</v>
      </c>
      <c r="H1056" s="55">
        <f t="shared" si="252"/>
        <v>6</v>
      </c>
      <c r="I1056" s="54">
        <f t="shared" si="253"/>
        <v>6</v>
      </c>
      <c r="J1056" s="231"/>
      <c r="K1056" s="2"/>
      <c r="L1056" s="30" t="s">
        <v>1063</v>
      </c>
      <c r="M1056" s="2">
        <v>4</v>
      </c>
      <c r="N1056" s="1" t="s">
        <v>1081</v>
      </c>
      <c r="O1056" s="1" t="s">
        <v>1080</v>
      </c>
      <c r="Q1056" s="26" t="s">
        <v>1079</v>
      </c>
      <c r="S1056" s="1" t="s">
        <v>780</v>
      </c>
      <c r="T1056" s="1" t="s">
        <v>17</v>
      </c>
      <c r="U1056" s="1" t="s">
        <v>868</v>
      </c>
      <c r="V1056" s="1" t="str">
        <f t="shared" si="244"/>
        <v>2.9\0.6:6</v>
      </c>
      <c r="W1056" s="1" t="s">
        <v>1064</v>
      </c>
      <c r="X1056" s="18">
        <v>0</v>
      </c>
      <c r="Z1056" s="206" t="s">
        <v>1062</v>
      </c>
      <c r="AB1056" s="1">
        <v>0</v>
      </c>
      <c r="AC1056" s="1">
        <v>200</v>
      </c>
      <c r="AD1056" s="1">
        <v>0</v>
      </c>
      <c r="AE1056" s="1">
        <v>200</v>
      </c>
      <c r="AF1056" s="1" t="s">
        <v>874</v>
      </c>
      <c r="AG1056" s="3" t="s">
        <v>570</v>
      </c>
      <c r="AH1056" s="3">
        <v>19</v>
      </c>
      <c r="AI1056" s="3">
        <v>20</v>
      </c>
      <c r="AJ1056" s="3">
        <v>21</v>
      </c>
    </row>
    <row r="1057" spans="1:39" ht="13.5" thickBot="1" x14ac:dyDescent="0.35">
      <c r="A1057" s="5" t="str">
        <f t="shared" si="251"/>
        <v>BCV130</v>
      </c>
      <c r="B1057" s="1" t="s">
        <v>1061</v>
      </c>
      <c r="C1057" s="2" t="str">
        <f t="shared" si="254"/>
        <v>DIO1</v>
      </c>
      <c r="D1057" s="2">
        <v>130</v>
      </c>
      <c r="E1057" s="3">
        <f t="shared" si="255"/>
        <v>2</v>
      </c>
      <c r="F1057" s="3">
        <f t="shared" si="256"/>
        <v>9</v>
      </c>
      <c r="G1057" s="3">
        <v>0</v>
      </c>
      <c r="H1057" s="55">
        <f t="shared" si="252"/>
        <v>6</v>
      </c>
      <c r="I1057" s="59">
        <f t="shared" si="253"/>
        <v>7</v>
      </c>
      <c r="J1057" s="230"/>
      <c r="K1057" s="2"/>
      <c r="L1057" s="30" t="s">
        <v>1063</v>
      </c>
      <c r="M1057" s="2">
        <v>4</v>
      </c>
      <c r="N1057" s="1" t="s">
        <v>1078</v>
      </c>
      <c r="O1057" s="1" t="s">
        <v>1077</v>
      </c>
      <c r="Q1057" s="26" t="s">
        <v>1076</v>
      </c>
      <c r="S1057" s="1" t="s">
        <v>780</v>
      </c>
      <c r="T1057" s="1" t="s">
        <v>17</v>
      </c>
      <c r="U1057" s="1" t="s">
        <v>868</v>
      </c>
      <c r="V1057" s="1" t="str">
        <f t="shared" si="244"/>
        <v>2.9\0.6:7</v>
      </c>
      <c r="W1057" s="1" t="s">
        <v>1064</v>
      </c>
      <c r="X1057" s="18">
        <v>0</v>
      </c>
      <c r="Z1057" s="206" t="s">
        <v>1062</v>
      </c>
      <c r="AB1057" s="1">
        <v>0</v>
      </c>
      <c r="AC1057" s="1">
        <v>200</v>
      </c>
      <c r="AD1057" s="1">
        <v>0</v>
      </c>
      <c r="AE1057" s="1">
        <v>200</v>
      </c>
      <c r="AF1057" s="1" t="s">
        <v>874</v>
      </c>
      <c r="AG1057" s="3" t="s">
        <v>570</v>
      </c>
      <c r="AH1057" s="3">
        <v>22</v>
      </c>
      <c r="AI1057" s="3">
        <v>23</v>
      </c>
      <c r="AJ1057" s="3">
        <v>24</v>
      </c>
    </row>
    <row r="1058" spans="1:39" x14ac:dyDescent="0.3">
      <c r="A1058" s="76" t="s">
        <v>17</v>
      </c>
      <c r="B1058" s="1" t="s">
        <v>1061</v>
      </c>
      <c r="C1058" s="2" t="str">
        <f t="shared" si="254"/>
        <v>DIO1</v>
      </c>
      <c r="D1058" s="2">
        <v>130</v>
      </c>
      <c r="E1058" s="3">
        <f t="shared" si="255"/>
        <v>2</v>
      </c>
      <c r="F1058" s="3">
        <f t="shared" si="256"/>
        <v>9</v>
      </c>
      <c r="G1058" s="3">
        <v>0</v>
      </c>
      <c r="H1058" s="223">
        <v>7</v>
      </c>
      <c r="I1058" s="56">
        <v>0</v>
      </c>
      <c r="J1058" s="231" t="s">
        <v>1071</v>
      </c>
      <c r="K1058" s="2" t="s">
        <v>1075</v>
      </c>
      <c r="L1058" s="30" t="s">
        <v>1063</v>
      </c>
      <c r="M1058" s="2">
        <v>4</v>
      </c>
      <c r="N1058" s="1" t="s">
        <v>1074</v>
      </c>
      <c r="O1058" s="1" t="s">
        <v>1073</v>
      </c>
      <c r="Q1058" s="26" t="s">
        <v>1072</v>
      </c>
      <c r="S1058" s="1" t="s">
        <v>780</v>
      </c>
      <c r="T1058" s="1" t="s">
        <v>17</v>
      </c>
      <c r="U1058" s="1" t="s">
        <v>868</v>
      </c>
      <c r="V1058" s="1" t="str">
        <f t="shared" ref="V1058:V1081" si="257">+CONCATENATE(E1058,".",F1058,"\",G1058,".",H1058,":",I1058)</f>
        <v>2.9\0.7:0</v>
      </c>
      <c r="W1058" s="1" t="s">
        <v>1064</v>
      </c>
      <c r="X1058" s="18">
        <v>0</v>
      </c>
      <c r="Z1058" s="206" t="s">
        <v>1062</v>
      </c>
      <c r="AB1058" s="1">
        <v>0</v>
      </c>
      <c r="AC1058" s="1">
        <v>200</v>
      </c>
      <c r="AD1058" s="1">
        <v>0</v>
      </c>
      <c r="AE1058" s="1">
        <v>200</v>
      </c>
      <c r="AF1058" s="1" t="s">
        <v>874</v>
      </c>
      <c r="AG1058" s="3" t="s">
        <v>570</v>
      </c>
      <c r="AH1058" s="3">
        <v>25</v>
      </c>
      <c r="AI1058" s="3">
        <v>26</v>
      </c>
      <c r="AJ1058" s="3">
        <v>27</v>
      </c>
    </row>
    <row r="1059" spans="1:39" x14ac:dyDescent="0.3">
      <c r="A1059" s="5" t="str">
        <f t="shared" ref="A1059:A1065" si="258">A1058</f>
        <v>BCV130</v>
      </c>
      <c r="B1059" s="1" t="s">
        <v>1061</v>
      </c>
      <c r="C1059" s="2" t="str">
        <f t="shared" si="254"/>
        <v>DIO1</v>
      </c>
      <c r="D1059" s="2">
        <v>130</v>
      </c>
      <c r="E1059" s="3">
        <f t="shared" si="255"/>
        <v>2</v>
      </c>
      <c r="F1059" s="3">
        <f t="shared" si="256"/>
        <v>9</v>
      </c>
      <c r="G1059" s="3">
        <v>0</v>
      </c>
      <c r="H1059" s="55">
        <f t="shared" ref="H1059:H1065" si="259">+H1058</f>
        <v>7</v>
      </c>
      <c r="I1059" s="54">
        <f t="shared" ref="I1059:I1065" si="260">+I1058+1</f>
        <v>1</v>
      </c>
      <c r="J1059" s="231" t="s">
        <v>1071</v>
      </c>
      <c r="K1059" s="2"/>
      <c r="L1059" s="30" t="s">
        <v>1063</v>
      </c>
      <c r="M1059" s="2">
        <v>4</v>
      </c>
      <c r="N1059" s="1" t="s">
        <v>1070</v>
      </c>
      <c r="O1059" s="1" t="s">
        <v>1069</v>
      </c>
      <c r="Q1059" s="26" t="s">
        <v>1068</v>
      </c>
      <c r="S1059" s="1" t="s">
        <v>780</v>
      </c>
      <c r="T1059" s="1" t="s">
        <v>200</v>
      </c>
      <c r="U1059" s="1" t="s">
        <v>868</v>
      </c>
      <c r="V1059" s="1" t="str">
        <f t="shared" si="257"/>
        <v>2.9\0.7:1</v>
      </c>
      <c r="W1059" s="1" t="s">
        <v>1064</v>
      </c>
      <c r="X1059" s="18">
        <v>0</v>
      </c>
      <c r="Z1059" s="206" t="s">
        <v>1062</v>
      </c>
      <c r="AB1059" s="1">
        <v>0</v>
      </c>
      <c r="AC1059" s="1">
        <v>200</v>
      </c>
      <c r="AD1059" s="1">
        <v>0</v>
      </c>
      <c r="AE1059" s="1">
        <v>200</v>
      </c>
      <c r="AF1059" s="1" t="s">
        <v>874</v>
      </c>
      <c r="AG1059" s="3" t="s">
        <v>570</v>
      </c>
      <c r="AH1059" s="3">
        <v>28</v>
      </c>
      <c r="AI1059" s="3">
        <v>29</v>
      </c>
      <c r="AJ1059" s="3">
        <v>30</v>
      </c>
    </row>
    <row r="1060" spans="1:39" x14ac:dyDescent="0.3">
      <c r="A1060" s="5" t="str">
        <f t="shared" si="258"/>
        <v>BCV130</v>
      </c>
      <c r="B1060" s="1" t="s">
        <v>1061</v>
      </c>
      <c r="C1060" s="2" t="str">
        <f t="shared" si="254"/>
        <v>DIO1</v>
      </c>
      <c r="D1060" s="2">
        <v>130</v>
      </c>
      <c r="E1060" s="3">
        <f t="shared" si="255"/>
        <v>2</v>
      </c>
      <c r="F1060" s="3">
        <f t="shared" si="256"/>
        <v>9</v>
      </c>
      <c r="G1060" s="3">
        <v>0</v>
      </c>
      <c r="H1060" s="55">
        <f t="shared" si="259"/>
        <v>7</v>
      </c>
      <c r="I1060" s="54">
        <f t="shared" si="260"/>
        <v>2</v>
      </c>
      <c r="J1060" s="231"/>
      <c r="K1060" s="2"/>
      <c r="L1060" s="30" t="s">
        <v>1063</v>
      </c>
      <c r="M1060" s="2">
        <v>4</v>
      </c>
      <c r="N1060" s="1" t="s">
        <v>1067</v>
      </c>
      <c r="O1060" s="1" t="s">
        <v>1066</v>
      </c>
      <c r="Q1060" s="26" t="s">
        <v>1065</v>
      </c>
      <c r="S1060" s="1" t="s">
        <v>780</v>
      </c>
      <c r="T1060" s="1" t="s">
        <v>200</v>
      </c>
      <c r="U1060" s="1" t="s">
        <v>868</v>
      </c>
      <c r="V1060" s="1" t="str">
        <f t="shared" si="257"/>
        <v>2.9\0.7:2</v>
      </c>
      <c r="W1060" s="1" t="s">
        <v>1064</v>
      </c>
      <c r="X1060" s="18">
        <v>0</v>
      </c>
      <c r="Z1060" s="206" t="s">
        <v>1062</v>
      </c>
      <c r="AB1060" s="1">
        <v>0</v>
      </c>
      <c r="AC1060" s="1">
        <v>200</v>
      </c>
      <c r="AD1060" s="1">
        <v>0</v>
      </c>
      <c r="AE1060" s="1">
        <v>200</v>
      </c>
      <c r="AF1060" s="1" t="s">
        <v>874</v>
      </c>
      <c r="AG1060" s="3" t="s">
        <v>570</v>
      </c>
      <c r="AH1060" s="3">
        <v>31</v>
      </c>
      <c r="AI1060" s="3">
        <v>32</v>
      </c>
      <c r="AJ1060" s="3">
        <v>33</v>
      </c>
    </row>
    <row r="1061" spans="1:39" x14ac:dyDescent="0.3">
      <c r="A1061" s="5" t="str">
        <f t="shared" si="258"/>
        <v>BCV130</v>
      </c>
      <c r="B1061" s="1" t="s">
        <v>1061</v>
      </c>
      <c r="C1061" s="2" t="str">
        <f t="shared" si="254"/>
        <v>DIO1</v>
      </c>
      <c r="D1061" s="2">
        <v>130</v>
      </c>
      <c r="E1061" s="3">
        <f t="shared" si="255"/>
        <v>2</v>
      </c>
      <c r="F1061" s="3">
        <f t="shared" si="256"/>
        <v>9</v>
      </c>
      <c r="G1061" s="3">
        <v>0</v>
      </c>
      <c r="H1061" s="55">
        <f t="shared" si="259"/>
        <v>7</v>
      </c>
      <c r="I1061" s="54">
        <f t="shared" si="260"/>
        <v>3</v>
      </c>
      <c r="J1061" s="231"/>
      <c r="L1061" s="30" t="s">
        <v>1063</v>
      </c>
      <c r="M1061" s="2"/>
      <c r="N1061" s="2"/>
      <c r="Q1061" s="26"/>
      <c r="S1061" s="13"/>
      <c r="V1061" s="1" t="str">
        <f t="shared" si="257"/>
        <v>2.9\0.7:3</v>
      </c>
      <c r="Z1061" s="206" t="s">
        <v>1062</v>
      </c>
      <c r="AG1061" s="3" t="s">
        <v>570</v>
      </c>
      <c r="AH1061" s="3">
        <v>34</v>
      </c>
      <c r="AI1061" s="3">
        <v>35</v>
      </c>
      <c r="AJ1061" s="3">
        <v>36</v>
      </c>
    </row>
    <row r="1062" spans="1:39" x14ac:dyDescent="0.3">
      <c r="A1062" s="5" t="str">
        <f t="shared" si="258"/>
        <v>BCV130</v>
      </c>
      <c r="B1062" s="1" t="s">
        <v>1061</v>
      </c>
      <c r="C1062" s="2" t="str">
        <f t="shared" si="254"/>
        <v>DIO1</v>
      </c>
      <c r="D1062" s="2">
        <v>130</v>
      </c>
      <c r="E1062" s="3">
        <f t="shared" si="255"/>
        <v>2</v>
      </c>
      <c r="F1062" s="3">
        <f t="shared" si="256"/>
        <v>9</v>
      </c>
      <c r="G1062" s="3">
        <v>0</v>
      </c>
      <c r="H1062" s="55">
        <f t="shared" si="259"/>
        <v>7</v>
      </c>
      <c r="I1062" s="54">
        <f t="shared" si="260"/>
        <v>4</v>
      </c>
      <c r="J1062" s="231"/>
      <c r="L1062" s="30" t="s">
        <v>1063</v>
      </c>
      <c r="M1062" s="2"/>
      <c r="N1062" s="2"/>
      <c r="Q1062" s="26"/>
      <c r="R1062" s="41"/>
      <c r="S1062" s="26"/>
      <c r="V1062" s="1" t="str">
        <f t="shared" si="257"/>
        <v>2.9\0.7:4</v>
      </c>
      <c r="Z1062" s="206" t="s">
        <v>1062</v>
      </c>
      <c r="AG1062" s="3" t="s">
        <v>570</v>
      </c>
      <c r="AH1062" s="3">
        <v>37</v>
      </c>
      <c r="AI1062" s="3">
        <v>38</v>
      </c>
      <c r="AJ1062" s="3">
        <v>39</v>
      </c>
    </row>
    <row r="1063" spans="1:39" x14ac:dyDescent="0.3">
      <c r="A1063" s="5" t="str">
        <f t="shared" si="258"/>
        <v>BCV130</v>
      </c>
      <c r="B1063" s="1" t="s">
        <v>1061</v>
      </c>
      <c r="C1063" s="2" t="str">
        <f t="shared" si="254"/>
        <v>DIO1</v>
      </c>
      <c r="D1063" s="2">
        <v>130</v>
      </c>
      <c r="E1063" s="3">
        <f t="shared" si="255"/>
        <v>2</v>
      </c>
      <c r="F1063" s="3">
        <f t="shared" si="256"/>
        <v>9</v>
      </c>
      <c r="G1063" s="3">
        <v>0</v>
      </c>
      <c r="H1063" s="55">
        <f t="shared" si="259"/>
        <v>7</v>
      </c>
      <c r="I1063" s="54">
        <f t="shared" si="260"/>
        <v>5</v>
      </c>
      <c r="J1063" s="231"/>
      <c r="K1063" s="2"/>
      <c r="L1063" s="30" t="s">
        <v>1063</v>
      </c>
      <c r="M1063" s="2"/>
      <c r="N1063" s="2"/>
      <c r="Q1063" s="26"/>
      <c r="R1063" s="41"/>
      <c r="S1063" s="26"/>
      <c r="V1063" s="1" t="str">
        <f t="shared" si="257"/>
        <v>2.9\0.7:5</v>
      </c>
      <c r="Z1063" s="206" t="s">
        <v>1062</v>
      </c>
      <c r="AG1063" s="3" t="s">
        <v>570</v>
      </c>
      <c r="AH1063" s="3">
        <v>40</v>
      </c>
      <c r="AI1063" s="3">
        <v>41</v>
      </c>
      <c r="AJ1063" s="3">
        <v>42</v>
      </c>
    </row>
    <row r="1064" spans="1:39" x14ac:dyDescent="0.3">
      <c r="A1064" s="5" t="str">
        <f t="shared" si="258"/>
        <v>BCV130</v>
      </c>
      <c r="B1064" s="1" t="s">
        <v>1061</v>
      </c>
      <c r="C1064" s="2" t="str">
        <f t="shared" si="254"/>
        <v>DIO1</v>
      </c>
      <c r="D1064" s="2">
        <v>130</v>
      </c>
      <c r="E1064" s="3">
        <f t="shared" si="255"/>
        <v>2</v>
      </c>
      <c r="F1064" s="3">
        <f t="shared" si="256"/>
        <v>9</v>
      </c>
      <c r="G1064" s="3">
        <v>0</v>
      </c>
      <c r="H1064" s="55">
        <f t="shared" si="259"/>
        <v>7</v>
      </c>
      <c r="I1064" s="54">
        <f t="shared" si="260"/>
        <v>6</v>
      </c>
      <c r="J1064" s="231"/>
      <c r="K1064" s="2"/>
      <c r="L1064" s="30" t="s">
        <v>1063</v>
      </c>
      <c r="M1064" s="2"/>
      <c r="N1064" s="2"/>
      <c r="Q1064" s="26"/>
      <c r="S1064" s="26"/>
      <c r="V1064" s="1" t="str">
        <f t="shared" si="257"/>
        <v>2.9\0.7:6</v>
      </c>
      <c r="Z1064" s="206" t="s">
        <v>1062</v>
      </c>
      <c r="AG1064" s="3" t="s">
        <v>570</v>
      </c>
      <c r="AH1064" s="3">
        <v>43</v>
      </c>
      <c r="AI1064" s="3">
        <v>44</v>
      </c>
      <c r="AJ1064" s="3">
        <v>45</v>
      </c>
    </row>
    <row r="1065" spans="1:39" ht="13.5" thickBot="1" x14ac:dyDescent="0.35">
      <c r="A1065" s="5" t="str">
        <f t="shared" si="258"/>
        <v>BCV130</v>
      </c>
      <c r="B1065" s="1" t="s">
        <v>1061</v>
      </c>
      <c r="C1065" s="2" t="str">
        <f t="shared" si="254"/>
        <v>DIO1</v>
      </c>
      <c r="D1065" s="2">
        <v>130</v>
      </c>
      <c r="E1065" s="3">
        <f t="shared" si="255"/>
        <v>2</v>
      </c>
      <c r="F1065" s="3">
        <f t="shared" si="256"/>
        <v>9</v>
      </c>
      <c r="G1065" s="3">
        <v>0</v>
      </c>
      <c r="H1065" s="55">
        <f t="shared" si="259"/>
        <v>7</v>
      </c>
      <c r="I1065" s="59">
        <f t="shared" si="260"/>
        <v>7</v>
      </c>
      <c r="J1065" s="230"/>
      <c r="K1065" s="2"/>
      <c r="L1065" s="30" t="s">
        <v>1063</v>
      </c>
      <c r="M1065" s="2"/>
      <c r="N1065" s="2"/>
      <c r="Q1065" s="26"/>
      <c r="S1065" s="26"/>
      <c r="V1065" s="1" t="str">
        <f t="shared" si="257"/>
        <v>2.9\0.7:7</v>
      </c>
      <c r="Z1065" s="206" t="s">
        <v>1062</v>
      </c>
      <c r="AG1065" s="3" t="s">
        <v>570</v>
      </c>
      <c r="AH1065" s="3">
        <v>46</v>
      </c>
      <c r="AI1065" s="3">
        <v>47</v>
      </c>
      <c r="AJ1065" s="3">
        <v>48</v>
      </c>
    </row>
    <row r="1066" spans="1:39" x14ac:dyDescent="0.3">
      <c r="A1066" s="76" t="s">
        <v>17</v>
      </c>
      <c r="B1066" s="1" t="s">
        <v>1061</v>
      </c>
      <c r="C1066" s="2" t="str">
        <f>+C953</f>
        <v>DIO1</v>
      </c>
      <c r="D1066" s="2">
        <v>130</v>
      </c>
      <c r="E1066" s="3">
        <f>+E953</f>
        <v>2</v>
      </c>
      <c r="F1066" s="3">
        <f>+F953</f>
        <v>9</v>
      </c>
      <c r="G1066" s="3">
        <v>0</v>
      </c>
      <c r="H1066" s="57">
        <v>8</v>
      </c>
      <c r="I1066" s="56"/>
      <c r="J1066" s="209"/>
      <c r="K1066" s="41" t="s">
        <v>300</v>
      </c>
      <c r="M1066" s="2">
        <v>0</v>
      </c>
      <c r="N1066" s="2"/>
      <c r="V1066" s="1" t="str">
        <f t="shared" si="257"/>
        <v>2.9\0.8:</v>
      </c>
      <c r="Y1066" s="7"/>
      <c r="Z1066" s="206"/>
      <c r="AA1066" s="206"/>
      <c r="AB1066" s="7"/>
      <c r="AC1066" s="7"/>
      <c r="AD1066" s="7"/>
      <c r="AE1066" s="7"/>
      <c r="AH1066" s="205"/>
      <c r="AI1066" s="205"/>
      <c r="AJ1066" s="200"/>
      <c r="AM1066" s="3"/>
    </row>
    <row r="1067" spans="1:39" x14ac:dyDescent="0.3">
      <c r="A1067" s="5" t="str">
        <f t="shared" ref="A1067:A1073" si="261">A1066</f>
        <v>BCV130</v>
      </c>
      <c r="B1067" s="1" t="s">
        <v>1061</v>
      </c>
      <c r="C1067" s="2" t="str">
        <f t="shared" ref="C1067:C1073" si="262">+C1066</f>
        <v>DIO1</v>
      </c>
      <c r="D1067" s="2">
        <v>130</v>
      </c>
      <c r="E1067" s="3">
        <f t="shared" ref="E1067:F1073" si="263">+E1066</f>
        <v>2</v>
      </c>
      <c r="F1067" s="3">
        <f t="shared" si="263"/>
        <v>9</v>
      </c>
      <c r="G1067" s="3">
        <v>0</v>
      </c>
      <c r="H1067" s="55">
        <f>+H1066</f>
        <v>8</v>
      </c>
      <c r="I1067" s="54"/>
      <c r="J1067" s="208"/>
      <c r="K1067" s="2"/>
      <c r="M1067" s="2">
        <v>0</v>
      </c>
      <c r="N1067" s="2"/>
      <c r="V1067" s="1" t="str">
        <f t="shared" si="257"/>
        <v>2.9\0.8:</v>
      </c>
      <c r="Y1067" s="7"/>
      <c r="Z1067" s="206"/>
      <c r="AA1067" s="206"/>
      <c r="AB1067" s="7"/>
      <c r="AC1067" s="7"/>
      <c r="AD1067" s="7"/>
      <c r="AE1067" s="7"/>
      <c r="AH1067" s="205"/>
      <c r="AI1067" s="205"/>
      <c r="AJ1067" s="200"/>
      <c r="AM1067" s="3"/>
    </row>
    <row r="1068" spans="1:39" x14ac:dyDescent="0.3">
      <c r="A1068" s="5" t="str">
        <f t="shared" si="261"/>
        <v>BCV130</v>
      </c>
      <c r="B1068" s="1" t="s">
        <v>1061</v>
      </c>
      <c r="C1068" s="2" t="str">
        <f t="shared" si="262"/>
        <v>DIO1</v>
      </c>
      <c r="D1068" s="2">
        <v>130</v>
      </c>
      <c r="E1068" s="3">
        <f t="shared" si="263"/>
        <v>2</v>
      </c>
      <c r="F1068" s="3">
        <f t="shared" si="263"/>
        <v>9</v>
      </c>
      <c r="G1068" s="3">
        <v>0</v>
      </c>
      <c r="H1068" s="55">
        <f>+H1067</f>
        <v>8</v>
      </c>
      <c r="I1068" s="54"/>
      <c r="J1068" s="208"/>
      <c r="K1068" s="2"/>
      <c r="M1068" s="2">
        <v>0</v>
      </c>
      <c r="N1068" s="2"/>
      <c r="V1068" s="1" t="str">
        <f t="shared" si="257"/>
        <v>2.9\0.8:</v>
      </c>
      <c r="Y1068" s="7"/>
      <c r="Z1068" s="206"/>
      <c r="AA1068" s="206"/>
      <c r="AB1068" s="7"/>
      <c r="AC1068" s="7"/>
      <c r="AD1068" s="7"/>
      <c r="AE1068" s="7"/>
      <c r="AH1068" s="205"/>
      <c r="AI1068" s="205"/>
      <c r="AJ1068" s="200"/>
      <c r="AM1068" s="3"/>
    </row>
    <row r="1069" spans="1:39" ht="13.5" thickBot="1" x14ac:dyDescent="0.35">
      <c r="A1069" s="5" t="str">
        <f t="shared" si="261"/>
        <v>BCV130</v>
      </c>
      <c r="B1069" s="1" t="s">
        <v>1061</v>
      </c>
      <c r="C1069" s="2" t="str">
        <f t="shared" si="262"/>
        <v>DIO1</v>
      </c>
      <c r="D1069" s="2">
        <v>130</v>
      </c>
      <c r="E1069" s="3">
        <f t="shared" si="263"/>
        <v>2</v>
      </c>
      <c r="F1069" s="3">
        <f t="shared" si="263"/>
        <v>9</v>
      </c>
      <c r="G1069" s="3">
        <v>0</v>
      </c>
      <c r="H1069" s="55">
        <f>+H1068</f>
        <v>8</v>
      </c>
      <c r="I1069" s="59"/>
      <c r="J1069" s="207"/>
      <c r="K1069" s="2"/>
      <c r="M1069" s="2">
        <v>0</v>
      </c>
      <c r="N1069" s="2"/>
      <c r="V1069" s="1" t="str">
        <f t="shared" si="257"/>
        <v>2.9\0.8:</v>
      </c>
      <c r="Y1069" s="7"/>
      <c r="Z1069" s="206"/>
      <c r="AA1069" s="206"/>
      <c r="AB1069" s="7"/>
      <c r="AC1069" s="7"/>
      <c r="AD1069" s="7"/>
      <c r="AE1069" s="7"/>
      <c r="AH1069" s="205"/>
      <c r="AI1069" s="205"/>
      <c r="AJ1069" s="200"/>
      <c r="AM1069" s="3"/>
    </row>
    <row r="1070" spans="1:39" x14ac:dyDescent="0.3">
      <c r="A1070" s="5" t="str">
        <f t="shared" si="261"/>
        <v>BCV130</v>
      </c>
      <c r="B1070" s="1" t="s">
        <v>1061</v>
      </c>
      <c r="C1070" s="2" t="str">
        <f t="shared" si="262"/>
        <v>DIO1</v>
      </c>
      <c r="D1070" s="2">
        <v>130</v>
      </c>
      <c r="E1070" s="3">
        <f t="shared" si="263"/>
        <v>2</v>
      </c>
      <c r="F1070" s="3">
        <f t="shared" si="263"/>
        <v>9</v>
      </c>
      <c r="G1070" s="3">
        <v>0</v>
      </c>
      <c r="H1070" s="62">
        <v>9</v>
      </c>
      <c r="I1070" s="56"/>
      <c r="J1070" s="209"/>
      <c r="K1070" s="41" t="s">
        <v>300</v>
      </c>
      <c r="M1070" s="2">
        <v>0</v>
      </c>
      <c r="N1070" s="2"/>
      <c r="V1070" s="1" t="str">
        <f t="shared" si="257"/>
        <v>2.9\0.9:</v>
      </c>
      <c r="Y1070" s="7"/>
      <c r="Z1070" s="206"/>
      <c r="AA1070" s="206"/>
      <c r="AB1070" s="7"/>
      <c r="AC1070" s="7"/>
      <c r="AD1070" s="7"/>
      <c r="AE1070" s="7"/>
      <c r="AH1070" s="205"/>
      <c r="AI1070" s="205"/>
      <c r="AJ1070" s="200"/>
      <c r="AM1070" s="3"/>
    </row>
    <row r="1071" spans="1:39" x14ac:dyDescent="0.3">
      <c r="A1071" s="5" t="str">
        <f t="shared" si="261"/>
        <v>BCV130</v>
      </c>
      <c r="B1071" s="1" t="s">
        <v>1061</v>
      </c>
      <c r="C1071" s="2" t="str">
        <f t="shared" si="262"/>
        <v>DIO1</v>
      </c>
      <c r="D1071" s="2">
        <v>130</v>
      </c>
      <c r="E1071" s="3">
        <f t="shared" si="263"/>
        <v>2</v>
      </c>
      <c r="F1071" s="3">
        <f t="shared" si="263"/>
        <v>9</v>
      </c>
      <c r="G1071" s="3">
        <v>0</v>
      </c>
      <c r="H1071" s="55">
        <f>+H1070</f>
        <v>9</v>
      </c>
      <c r="I1071" s="54"/>
      <c r="J1071" s="208"/>
      <c r="K1071" s="2"/>
      <c r="M1071" s="2">
        <v>0</v>
      </c>
      <c r="N1071" s="2"/>
      <c r="V1071" s="1" t="str">
        <f t="shared" si="257"/>
        <v>2.9\0.9:</v>
      </c>
      <c r="Y1071" s="7"/>
      <c r="Z1071" s="206"/>
      <c r="AA1071" s="206"/>
      <c r="AB1071" s="7"/>
      <c r="AC1071" s="7"/>
      <c r="AD1071" s="7"/>
      <c r="AE1071" s="7"/>
      <c r="AH1071" s="205"/>
      <c r="AI1071" s="205"/>
      <c r="AJ1071" s="200"/>
      <c r="AM1071" s="3"/>
    </row>
    <row r="1072" spans="1:39" x14ac:dyDescent="0.3">
      <c r="A1072" s="5" t="str">
        <f t="shared" si="261"/>
        <v>BCV130</v>
      </c>
      <c r="B1072" s="1" t="s">
        <v>1061</v>
      </c>
      <c r="C1072" s="2" t="str">
        <f t="shared" si="262"/>
        <v>DIO1</v>
      </c>
      <c r="D1072" s="2">
        <v>130</v>
      </c>
      <c r="E1072" s="3">
        <f t="shared" si="263"/>
        <v>2</v>
      </c>
      <c r="F1072" s="3">
        <f t="shared" si="263"/>
        <v>9</v>
      </c>
      <c r="G1072" s="3">
        <v>0</v>
      </c>
      <c r="H1072" s="55">
        <f>+H1071</f>
        <v>9</v>
      </c>
      <c r="I1072" s="54"/>
      <c r="J1072" s="208"/>
      <c r="K1072" s="2"/>
      <c r="M1072" s="2">
        <v>0</v>
      </c>
      <c r="N1072" s="2"/>
      <c r="V1072" s="1" t="str">
        <f t="shared" si="257"/>
        <v>2.9\0.9:</v>
      </c>
      <c r="Y1072" s="7"/>
      <c r="Z1072" s="206"/>
      <c r="AA1072" s="206"/>
      <c r="AB1072" s="7"/>
      <c r="AC1072" s="7"/>
      <c r="AD1072" s="7"/>
      <c r="AE1072" s="7"/>
      <c r="AH1072" s="205"/>
      <c r="AI1072" s="205"/>
      <c r="AJ1072" s="200"/>
      <c r="AM1072" s="3"/>
    </row>
    <row r="1073" spans="1:39" ht="13.5" thickBot="1" x14ac:dyDescent="0.35">
      <c r="A1073" s="5" t="str">
        <f t="shared" si="261"/>
        <v>BCV130</v>
      </c>
      <c r="B1073" s="1" t="s">
        <v>1061</v>
      </c>
      <c r="C1073" s="2" t="str">
        <f t="shared" si="262"/>
        <v>DIO1</v>
      </c>
      <c r="D1073" s="2">
        <v>130</v>
      </c>
      <c r="E1073" s="3">
        <f t="shared" si="263"/>
        <v>2</v>
      </c>
      <c r="F1073" s="3">
        <f t="shared" si="263"/>
        <v>9</v>
      </c>
      <c r="G1073" s="3">
        <v>0</v>
      </c>
      <c r="H1073" s="55">
        <f>+H1072</f>
        <v>9</v>
      </c>
      <c r="I1073" s="59"/>
      <c r="J1073" s="207"/>
      <c r="K1073" s="2"/>
      <c r="M1073" s="2">
        <v>0</v>
      </c>
      <c r="N1073" s="2"/>
      <c r="V1073" s="1" t="str">
        <f t="shared" si="257"/>
        <v>2.9\0.9:</v>
      </c>
      <c r="Y1073" s="7"/>
      <c r="Z1073" s="206"/>
      <c r="AA1073" s="206"/>
      <c r="AB1073" s="7"/>
      <c r="AC1073" s="7"/>
      <c r="AD1073" s="7"/>
      <c r="AE1073" s="7"/>
      <c r="AH1073" s="205"/>
      <c r="AI1073" s="205"/>
      <c r="AJ1073" s="200"/>
      <c r="AM1073" s="3"/>
    </row>
    <row r="1074" spans="1:39" x14ac:dyDescent="0.3">
      <c r="A1074" s="76" t="s">
        <v>17</v>
      </c>
      <c r="B1074" s="1" t="s">
        <v>1061</v>
      </c>
      <c r="C1074" s="2" t="str">
        <f>+C961</f>
        <v>DIO1</v>
      </c>
      <c r="D1074" s="2">
        <v>130</v>
      </c>
      <c r="E1074" s="3">
        <f>+E961</f>
        <v>2</v>
      </c>
      <c r="F1074" s="3">
        <f>+F961</f>
        <v>9</v>
      </c>
      <c r="G1074" s="3">
        <v>0</v>
      </c>
      <c r="H1074" s="57">
        <v>10</v>
      </c>
      <c r="I1074" s="56"/>
      <c r="J1074" s="209"/>
      <c r="K1074" s="41" t="s">
        <v>300</v>
      </c>
      <c r="M1074" s="2">
        <v>0</v>
      </c>
      <c r="N1074" s="2"/>
      <c r="V1074" s="1" t="str">
        <f t="shared" si="257"/>
        <v>2.9\0.10:</v>
      </c>
      <c r="Y1074" s="7"/>
      <c r="Z1074" s="206"/>
      <c r="AA1074" s="206"/>
      <c r="AB1074" s="7"/>
      <c r="AC1074" s="7"/>
      <c r="AD1074" s="7"/>
      <c r="AE1074" s="7"/>
      <c r="AH1074" s="205"/>
      <c r="AI1074" s="205"/>
      <c r="AJ1074" s="200"/>
      <c r="AM1074" s="3"/>
    </row>
    <row r="1075" spans="1:39" x14ac:dyDescent="0.3">
      <c r="A1075" s="5" t="str">
        <f t="shared" ref="A1075:A1081" si="264">A1074</f>
        <v>BCV130</v>
      </c>
      <c r="B1075" s="1" t="s">
        <v>1061</v>
      </c>
      <c r="C1075" s="2" t="str">
        <f t="shared" ref="C1075:C1081" si="265">+C1074</f>
        <v>DIO1</v>
      </c>
      <c r="D1075" s="2">
        <v>130</v>
      </c>
      <c r="E1075" s="3">
        <f t="shared" ref="E1075:F1081" si="266">+E1074</f>
        <v>2</v>
      </c>
      <c r="F1075" s="3">
        <f t="shared" si="266"/>
        <v>9</v>
      </c>
      <c r="G1075" s="3">
        <v>0</v>
      </c>
      <c r="H1075" s="55">
        <f>+H1074</f>
        <v>10</v>
      </c>
      <c r="I1075" s="54"/>
      <c r="J1075" s="208"/>
      <c r="K1075" s="2"/>
      <c r="M1075" s="2">
        <v>0</v>
      </c>
      <c r="N1075" s="2"/>
      <c r="V1075" s="1" t="str">
        <f t="shared" si="257"/>
        <v>2.9\0.10:</v>
      </c>
      <c r="Y1075" s="7"/>
      <c r="Z1075" s="206"/>
      <c r="AA1075" s="206"/>
      <c r="AB1075" s="7"/>
      <c r="AC1075" s="7"/>
      <c r="AD1075" s="7"/>
      <c r="AE1075" s="7"/>
      <c r="AH1075" s="205"/>
      <c r="AI1075" s="205"/>
      <c r="AJ1075" s="200"/>
      <c r="AM1075" s="3"/>
    </row>
    <row r="1076" spans="1:39" x14ac:dyDescent="0.3">
      <c r="A1076" s="5" t="str">
        <f t="shared" si="264"/>
        <v>BCV130</v>
      </c>
      <c r="B1076" s="1" t="s">
        <v>1061</v>
      </c>
      <c r="C1076" s="2" t="str">
        <f t="shared" si="265"/>
        <v>DIO1</v>
      </c>
      <c r="D1076" s="2">
        <v>130</v>
      </c>
      <c r="E1076" s="3">
        <f t="shared" si="266"/>
        <v>2</v>
      </c>
      <c r="F1076" s="3">
        <f t="shared" si="266"/>
        <v>9</v>
      </c>
      <c r="G1076" s="3">
        <v>0</v>
      </c>
      <c r="H1076" s="55">
        <f>+H1075</f>
        <v>10</v>
      </c>
      <c r="I1076" s="54"/>
      <c r="J1076" s="208"/>
      <c r="K1076" s="2"/>
      <c r="M1076" s="2">
        <v>0</v>
      </c>
      <c r="N1076" s="2"/>
      <c r="V1076" s="1" t="str">
        <f t="shared" si="257"/>
        <v>2.9\0.10:</v>
      </c>
      <c r="Y1076" s="7"/>
      <c r="Z1076" s="206"/>
      <c r="AA1076" s="206"/>
      <c r="AB1076" s="7"/>
      <c r="AC1076" s="7"/>
      <c r="AD1076" s="7"/>
      <c r="AE1076" s="7"/>
      <c r="AH1076" s="205"/>
      <c r="AI1076" s="205"/>
      <c r="AJ1076" s="200"/>
      <c r="AM1076" s="3"/>
    </row>
    <row r="1077" spans="1:39" ht="13.5" thickBot="1" x14ac:dyDescent="0.35">
      <c r="A1077" s="5" t="str">
        <f t="shared" si="264"/>
        <v>BCV130</v>
      </c>
      <c r="B1077" s="1" t="s">
        <v>1061</v>
      </c>
      <c r="C1077" s="2" t="str">
        <f t="shared" si="265"/>
        <v>DIO1</v>
      </c>
      <c r="D1077" s="2">
        <v>130</v>
      </c>
      <c r="E1077" s="3">
        <f t="shared" si="266"/>
        <v>2</v>
      </c>
      <c r="F1077" s="3">
        <f t="shared" si="266"/>
        <v>9</v>
      </c>
      <c r="G1077" s="3">
        <v>0</v>
      </c>
      <c r="H1077" s="55">
        <f>+H1076</f>
        <v>10</v>
      </c>
      <c r="I1077" s="59"/>
      <c r="J1077" s="207"/>
      <c r="K1077" s="2"/>
      <c r="M1077" s="2">
        <v>0</v>
      </c>
      <c r="N1077" s="2"/>
      <c r="V1077" s="1" t="str">
        <f t="shared" si="257"/>
        <v>2.9\0.10:</v>
      </c>
      <c r="Y1077" s="7"/>
      <c r="Z1077" s="206"/>
      <c r="AA1077" s="206"/>
      <c r="AB1077" s="7"/>
      <c r="AC1077" s="7"/>
      <c r="AD1077" s="7"/>
      <c r="AE1077" s="7"/>
      <c r="AH1077" s="205"/>
      <c r="AI1077" s="205"/>
      <c r="AJ1077" s="200"/>
      <c r="AM1077" s="3"/>
    </row>
    <row r="1078" spans="1:39" x14ac:dyDescent="0.3">
      <c r="A1078" s="5" t="str">
        <f t="shared" si="264"/>
        <v>BCV130</v>
      </c>
      <c r="B1078" s="1" t="s">
        <v>1061</v>
      </c>
      <c r="C1078" s="2" t="str">
        <f t="shared" si="265"/>
        <v>DIO1</v>
      </c>
      <c r="D1078" s="2">
        <v>130</v>
      </c>
      <c r="E1078" s="3">
        <f t="shared" si="266"/>
        <v>2</v>
      </c>
      <c r="F1078" s="3">
        <f t="shared" si="266"/>
        <v>9</v>
      </c>
      <c r="G1078" s="3">
        <v>0</v>
      </c>
      <c r="H1078" s="57">
        <v>11</v>
      </c>
      <c r="I1078" s="56"/>
      <c r="J1078" s="209"/>
      <c r="K1078" s="41" t="s">
        <v>300</v>
      </c>
      <c r="M1078" s="2">
        <v>0</v>
      </c>
      <c r="N1078" s="2"/>
      <c r="V1078" s="1" t="str">
        <f t="shared" si="257"/>
        <v>2.9\0.11:</v>
      </c>
      <c r="Y1078" s="7"/>
      <c r="Z1078" s="206"/>
      <c r="AA1078" s="206"/>
      <c r="AB1078" s="7"/>
      <c r="AC1078" s="7"/>
      <c r="AD1078" s="7"/>
      <c r="AE1078" s="7"/>
      <c r="AH1078" s="205"/>
      <c r="AI1078" s="205"/>
      <c r="AJ1078" s="200"/>
      <c r="AM1078" s="3"/>
    </row>
    <row r="1079" spans="1:39" x14ac:dyDescent="0.3">
      <c r="A1079" s="5" t="str">
        <f t="shared" si="264"/>
        <v>BCV130</v>
      </c>
      <c r="B1079" s="1" t="s">
        <v>1061</v>
      </c>
      <c r="C1079" s="2" t="str">
        <f t="shared" si="265"/>
        <v>DIO1</v>
      </c>
      <c r="D1079" s="2">
        <v>130</v>
      </c>
      <c r="E1079" s="3">
        <f t="shared" si="266"/>
        <v>2</v>
      </c>
      <c r="F1079" s="3">
        <f t="shared" si="266"/>
        <v>9</v>
      </c>
      <c r="G1079" s="3">
        <v>0</v>
      </c>
      <c r="H1079" s="55">
        <f>+H1078</f>
        <v>11</v>
      </c>
      <c r="I1079" s="54"/>
      <c r="J1079" s="208"/>
      <c r="K1079" s="2"/>
      <c r="M1079" s="2">
        <v>0</v>
      </c>
      <c r="N1079" s="2"/>
      <c r="V1079" s="1" t="str">
        <f t="shared" si="257"/>
        <v>2.9\0.11:</v>
      </c>
      <c r="Y1079" s="7"/>
      <c r="Z1079" s="206"/>
      <c r="AA1079" s="206"/>
      <c r="AB1079" s="7"/>
      <c r="AC1079" s="7"/>
      <c r="AD1079" s="7"/>
      <c r="AE1079" s="7"/>
      <c r="AH1079" s="205"/>
      <c r="AI1079" s="205"/>
      <c r="AJ1079" s="200"/>
      <c r="AM1079" s="3"/>
    </row>
    <row r="1080" spans="1:39" x14ac:dyDescent="0.3">
      <c r="A1080" s="5" t="str">
        <f t="shared" si="264"/>
        <v>BCV130</v>
      </c>
      <c r="B1080" s="1" t="s">
        <v>1061</v>
      </c>
      <c r="C1080" s="2" t="str">
        <f t="shared" si="265"/>
        <v>DIO1</v>
      </c>
      <c r="D1080" s="2">
        <v>130</v>
      </c>
      <c r="E1080" s="3">
        <f t="shared" si="266"/>
        <v>2</v>
      </c>
      <c r="F1080" s="3">
        <f t="shared" si="266"/>
        <v>9</v>
      </c>
      <c r="G1080" s="3">
        <v>0</v>
      </c>
      <c r="H1080" s="55">
        <f>+H1079</f>
        <v>11</v>
      </c>
      <c r="I1080" s="54"/>
      <c r="J1080" s="208"/>
      <c r="K1080" s="2"/>
      <c r="M1080" s="2">
        <v>0</v>
      </c>
      <c r="N1080" s="2"/>
      <c r="V1080" s="1" t="str">
        <f t="shared" si="257"/>
        <v>2.9\0.11:</v>
      </c>
      <c r="Y1080" s="7"/>
      <c r="Z1080" s="206"/>
      <c r="AA1080" s="206"/>
      <c r="AB1080" s="7"/>
      <c r="AC1080" s="7"/>
      <c r="AD1080" s="7"/>
      <c r="AE1080" s="7"/>
      <c r="AH1080" s="205"/>
      <c r="AI1080" s="205"/>
      <c r="AJ1080" s="200"/>
      <c r="AM1080" s="3"/>
    </row>
    <row r="1081" spans="1:39" ht="13.5" thickBot="1" x14ac:dyDescent="0.35">
      <c r="A1081" s="5" t="str">
        <f t="shared" si="264"/>
        <v>BCV130</v>
      </c>
      <c r="B1081" s="1" t="s">
        <v>1061</v>
      </c>
      <c r="C1081" s="2" t="str">
        <f t="shared" si="265"/>
        <v>DIO1</v>
      </c>
      <c r="D1081" s="2">
        <v>130</v>
      </c>
      <c r="E1081" s="3">
        <f t="shared" si="266"/>
        <v>2</v>
      </c>
      <c r="F1081" s="3">
        <f t="shared" si="266"/>
        <v>9</v>
      </c>
      <c r="G1081" s="3">
        <v>0</v>
      </c>
      <c r="H1081" s="55">
        <f>+H1080</f>
        <v>11</v>
      </c>
      <c r="I1081" s="59"/>
      <c r="J1081" s="207"/>
      <c r="K1081" s="2"/>
      <c r="M1081" s="2">
        <v>0</v>
      </c>
      <c r="N1081" s="2"/>
      <c r="V1081" s="1" t="str">
        <f t="shared" si="257"/>
        <v>2.9\0.11:</v>
      </c>
      <c r="Y1081" s="7"/>
      <c r="Z1081" s="206"/>
      <c r="AA1081" s="206"/>
      <c r="AB1081" s="7"/>
      <c r="AC1081" s="7"/>
      <c r="AD1081" s="7"/>
      <c r="AE1081" s="7"/>
      <c r="AH1081" s="205"/>
      <c r="AI1081" s="205"/>
      <c r="AJ1081" s="200"/>
      <c r="AM1081" s="3"/>
    </row>
    <row r="1082" spans="1:39" x14ac:dyDescent="0.3">
      <c r="O1082" s="41"/>
      <c r="P1082" s="41"/>
      <c r="Q1082" s="41"/>
      <c r="R1082" s="41"/>
      <c r="S1082" s="41"/>
      <c r="T1082" s="41"/>
      <c r="AB1082" s="7"/>
      <c r="AH1082" s="205"/>
      <c r="AI1082" s="205"/>
      <c r="AJ1082" s="200"/>
      <c r="AM1082" s="3"/>
    </row>
    <row r="1083" spans="1:39" ht="14.5" x14ac:dyDescent="0.35">
      <c r="K1083" s="30" t="s">
        <v>843</v>
      </c>
      <c r="O1083" s="41"/>
      <c r="P1083" s="41"/>
      <c r="Q1083" s="41" t="s">
        <v>1060</v>
      </c>
      <c r="R1083" s="41"/>
      <c r="S1083" s="41" t="s">
        <v>115</v>
      </c>
      <c r="T1083" s="41" t="s">
        <v>17</v>
      </c>
      <c r="W1083" s="1" t="s">
        <v>303</v>
      </c>
      <c r="X1083" s="18">
        <v>1</v>
      </c>
      <c r="AB1083" s="7"/>
      <c r="AG1083" s="202" t="s">
        <v>539</v>
      </c>
      <c r="AH1083" s="202">
        <v>1</v>
      </c>
      <c r="AI1083" s="202">
        <v>2</v>
      </c>
      <c r="AJ1083" s="202">
        <v>3</v>
      </c>
      <c r="AK1083" s="202">
        <v>4</v>
      </c>
      <c r="AM1083" s="3"/>
    </row>
    <row r="1084" spans="1:39" ht="14.5" x14ac:dyDescent="0.35">
      <c r="K1084" s="30" t="s">
        <v>843</v>
      </c>
      <c r="L1084" s="40"/>
      <c r="M1084" s="40">
        <v>1</v>
      </c>
      <c r="N1084" s="40" t="s">
        <v>1059</v>
      </c>
      <c r="O1084" s="41" t="s">
        <v>61</v>
      </c>
      <c r="P1084" s="229" t="s">
        <v>1058</v>
      </c>
      <c r="Q1084" s="41" t="s">
        <v>1055</v>
      </c>
      <c r="R1084" s="41"/>
      <c r="S1084" s="41" t="s">
        <v>839</v>
      </c>
      <c r="T1084" s="41" t="s">
        <v>97</v>
      </c>
      <c r="W1084" s="1" t="s">
        <v>96</v>
      </c>
      <c r="X1084" s="18">
        <v>0</v>
      </c>
      <c r="AB1084" s="7"/>
      <c r="AG1084" s="202" t="s">
        <v>539</v>
      </c>
      <c r="AH1084" s="202">
        <v>5</v>
      </c>
      <c r="AI1084" s="202">
        <v>6</v>
      </c>
      <c r="AJ1084" s="202">
        <v>7</v>
      </c>
      <c r="AK1084" s="202">
        <v>8</v>
      </c>
      <c r="AM1084" s="3"/>
    </row>
    <row r="1085" spans="1:39" ht="14.5" x14ac:dyDescent="0.35">
      <c r="K1085" s="30" t="s">
        <v>843</v>
      </c>
      <c r="L1085" s="40"/>
      <c r="M1085" s="40">
        <v>2</v>
      </c>
      <c r="N1085" s="40" t="s">
        <v>1057</v>
      </c>
      <c r="O1085" s="41" t="s">
        <v>1035</v>
      </c>
      <c r="P1085" s="229" t="s">
        <v>1056</v>
      </c>
      <c r="Q1085" s="41" t="s">
        <v>1055</v>
      </c>
      <c r="R1085" s="41"/>
      <c r="S1085" s="41" t="s">
        <v>839</v>
      </c>
      <c r="T1085" s="41" t="s">
        <v>1054</v>
      </c>
      <c r="W1085" s="1" t="s">
        <v>303</v>
      </c>
      <c r="X1085" s="18">
        <v>1</v>
      </c>
      <c r="AB1085" s="7"/>
      <c r="AG1085" s="202" t="s">
        <v>539</v>
      </c>
      <c r="AH1085" s="202">
        <v>9</v>
      </c>
      <c r="AI1085" s="202">
        <v>10</v>
      </c>
      <c r="AJ1085" s="202">
        <v>11</v>
      </c>
      <c r="AK1085" s="202">
        <v>12</v>
      </c>
      <c r="AM1085" s="3"/>
    </row>
    <row r="1086" spans="1:39" ht="14.5" x14ac:dyDescent="0.35">
      <c r="K1086" s="30" t="s">
        <v>843</v>
      </c>
      <c r="L1086" s="40"/>
      <c r="M1086" s="40">
        <v>1</v>
      </c>
      <c r="N1086" s="40" t="s">
        <v>1053</v>
      </c>
      <c r="O1086" s="41" t="s">
        <v>61</v>
      </c>
      <c r="P1086" s="229" t="s">
        <v>1052</v>
      </c>
      <c r="Q1086" s="41" t="s">
        <v>1028</v>
      </c>
      <c r="R1086" s="41"/>
      <c r="S1086" s="41" t="s">
        <v>839</v>
      </c>
      <c r="T1086" s="41" t="s">
        <v>105</v>
      </c>
      <c r="W1086" s="1" t="s">
        <v>104</v>
      </c>
      <c r="X1086" s="18">
        <v>0</v>
      </c>
      <c r="AB1086" s="7"/>
      <c r="AG1086" s="202" t="s">
        <v>539</v>
      </c>
      <c r="AH1086" s="202">
        <v>13</v>
      </c>
      <c r="AI1086" s="202">
        <v>14</v>
      </c>
      <c r="AJ1086" s="202">
        <v>15</v>
      </c>
      <c r="AK1086" s="202">
        <v>16</v>
      </c>
      <c r="AM1086" s="3"/>
    </row>
    <row r="1087" spans="1:39" ht="15" thickBot="1" x14ac:dyDescent="0.4">
      <c r="L1087" s="40"/>
      <c r="M1087" s="40"/>
      <c r="N1087" s="40"/>
      <c r="O1087" s="41"/>
      <c r="P1087" s="229"/>
      <c r="Q1087" s="41" t="s">
        <v>302</v>
      </c>
      <c r="R1087" s="41"/>
      <c r="S1087" s="41"/>
      <c r="T1087" s="41"/>
      <c r="AB1087" s="7"/>
      <c r="AG1087" s="202" t="s">
        <v>539</v>
      </c>
      <c r="AH1087" s="202">
        <v>17</v>
      </c>
      <c r="AI1087" s="202">
        <v>18</v>
      </c>
      <c r="AJ1087" s="202">
        <v>19</v>
      </c>
      <c r="AK1087" s="202">
        <v>20</v>
      </c>
      <c r="AM1087" s="3"/>
    </row>
    <row r="1088" spans="1:39" ht="15" thickBot="1" x14ac:dyDescent="0.4">
      <c r="I1088" s="74"/>
      <c r="J1088" s="73"/>
      <c r="K1088" s="1" t="s">
        <v>117</v>
      </c>
      <c r="L1088" s="40" t="s">
        <v>1032</v>
      </c>
      <c r="M1088" s="40">
        <v>1</v>
      </c>
      <c r="N1088" s="40" t="s">
        <v>1051</v>
      </c>
      <c r="O1088" s="41" t="s">
        <v>1050</v>
      </c>
      <c r="P1088" s="229" t="s">
        <v>1034</v>
      </c>
      <c r="Q1088" s="41" t="s">
        <v>1049</v>
      </c>
      <c r="R1088" s="41"/>
      <c r="S1088" s="13" t="s">
        <v>510</v>
      </c>
      <c r="T1088" s="41" t="s">
        <v>17</v>
      </c>
      <c r="W1088" s="1" t="s">
        <v>1025</v>
      </c>
      <c r="X1088" s="18">
        <v>0</v>
      </c>
      <c r="AB1088" s="7"/>
      <c r="AG1088" s="202" t="s">
        <v>539</v>
      </c>
      <c r="AH1088" s="202">
        <v>21</v>
      </c>
      <c r="AI1088" s="202">
        <v>22</v>
      </c>
      <c r="AJ1088" s="202">
        <v>23</v>
      </c>
      <c r="AK1088" s="202">
        <v>24</v>
      </c>
      <c r="AM1088" s="3"/>
    </row>
    <row r="1089" spans="1:39" ht="15" thickBot="1" x14ac:dyDescent="0.4">
      <c r="I1089" s="74"/>
      <c r="J1089" s="73"/>
      <c r="K1089" s="1" t="s">
        <v>117</v>
      </c>
      <c r="L1089" s="40" t="s">
        <v>1032</v>
      </c>
      <c r="M1089" s="40">
        <v>1</v>
      </c>
      <c r="N1089" s="40" t="s">
        <v>1048</v>
      </c>
      <c r="O1089" s="41" t="s">
        <v>1047</v>
      </c>
      <c r="P1089" s="229" t="s">
        <v>1034</v>
      </c>
      <c r="Q1089" s="41" t="s">
        <v>1046</v>
      </c>
      <c r="R1089" s="41"/>
      <c r="S1089" s="13" t="s">
        <v>1045</v>
      </c>
      <c r="T1089" s="41" t="s">
        <v>17</v>
      </c>
      <c r="W1089" s="1" t="s">
        <v>1025</v>
      </c>
      <c r="X1089" s="18">
        <v>0</v>
      </c>
      <c r="AB1089" s="7"/>
      <c r="AG1089" s="202" t="s">
        <v>539</v>
      </c>
      <c r="AH1089" s="202">
        <v>25</v>
      </c>
      <c r="AI1089" s="202">
        <v>26</v>
      </c>
      <c r="AJ1089" s="202">
        <v>27</v>
      </c>
      <c r="AK1089" s="202">
        <v>28</v>
      </c>
      <c r="AM1089" s="3"/>
    </row>
    <row r="1090" spans="1:39" ht="15" thickBot="1" x14ac:dyDescent="0.4">
      <c r="I1090" s="74"/>
      <c r="J1090" s="73"/>
      <c r="K1090" s="1" t="s">
        <v>117</v>
      </c>
      <c r="L1090" s="40" t="s">
        <v>1032</v>
      </c>
      <c r="M1090" s="40">
        <v>1</v>
      </c>
      <c r="N1090" s="40" t="s">
        <v>1044</v>
      </c>
      <c r="O1090" s="41" t="s">
        <v>1043</v>
      </c>
      <c r="P1090" s="229" t="s">
        <v>1034</v>
      </c>
      <c r="Q1090" s="41" t="s">
        <v>1042</v>
      </c>
      <c r="R1090" s="41"/>
      <c r="S1090" s="13" t="s">
        <v>1041</v>
      </c>
      <c r="T1090" s="41" t="s">
        <v>17</v>
      </c>
      <c r="W1090" s="1" t="s">
        <v>1025</v>
      </c>
      <c r="X1090" s="18">
        <v>0</v>
      </c>
      <c r="AB1090" s="7"/>
      <c r="AG1090" s="202" t="s">
        <v>539</v>
      </c>
      <c r="AH1090" s="202">
        <v>29</v>
      </c>
      <c r="AI1090" s="202">
        <v>30</v>
      </c>
      <c r="AJ1090" s="202">
        <v>31</v>
      </c>
      <c r="AK1090" s="202">
        <v>32</v>
      </c>
      <c r="AM1090" s="3"/>
    </row>
    <row r="1091" spans="1:39" ht="15" thickBot="1" x14ac:dyDescent="0.4">
      <c r="I1091" s="74"/>
      <c r="J1091" s="73"/>
      <c r="K1091" s="1" t="s">
        <v>117</v>
      </c>
      <c r="L1091" s="40" t="s">
        <v>1032</v>
      </c>
      <c r="M1091" s="40">
        <v>1</v>
      </c>
      <c r="N1091" s="40" t="s">
        <v>1040</v>
      </c>
      <c r="O1091" s="41" t="s">
        <v>1039</v>
      </c>
      <c r="P1091" s="229" t="s">
        <v>1034</v>
      </c>
      <c r="Q1091" s="41" t="s">
        <v>1038</v>
      </c>
      <c r="R1091" s="41"/>
      <c r="S1091" s="13" t="s">
        <v>1037</v>
      </c>
      <c r="T1091" s="41" t="s">
        <v>17</v>
      </c>
      <c r="W1091" s="1" t="s">
        <v>1025</v>
      </c>
      <c r="X1091" s="18">
        <v>0</v>
      </c>
      <c r="AB1091" s="7"/>
      <c r="AG1091" s="202" t="s">
        <v>539</v>
      </c>
      <c r="AH1091" s="202">
        <v>33</v>
      </c>
      <c r="AI1091" s="202">
        <v>34</v>
      </c>
      <c r="AJ1091" s="202">
        <v>35</v>
      </c>
      <c r="AK1091" s="202">
        <v>36</v>
      </c>
      <c r="AM1091" s="3"/>
    </row>
    <row r="1092" spans="1:39" ht="15" thickBot="1" x14ac:dyDescent="0.4">
      <c r="I1092" s="74"/>
      <c r="J1092" s="73"/>
      <c r="K1092" s="1" t="s">
        <v>117</v>
      </c>
      <c r="L1092" s="40" t="s">
        <v>1032</v>
      </c>
      <c r="M1092" s="40">
        <v>1</v>
      </c>
      <c r="N1092" s="40" t="s">
        <v>1036</v>
      </c>
      <c r="O1092" s="41" t="s">
        <v>1035</v>
      </c>
      <c r="P1092" s="229" t="s">
        <v>1034</v>
      </c>
      <c r="Q1092" s="41" t="s">
        <v>1028</v>
      </c>
      <c r="R1092" s="41"/>
      <c r="S1092" s="41" t="s">
        <v>1033</v>
      </c>
      <c r="T1092" s="41" t="s">
        <v>17</v>
      </c>
      <c r="W1092" s="1" t="s">
        <v>1025</v>
      </c>
      <c r="X1092" s="18">
        <v>0</v>
      </c>
      <c r="AB1092" s="7"/>
      <c r="AG1092" s="202" t="s">
        <v>539</v>
      </c>
      <c r="AH1092" s="202">
        <v>37</v>
      </c>
      <c r="AI1092" s="202">
        <v>38</v>
      </c>
      <c r="AJ1092" s="202">
        <v>39</v>
      </c>
      <c r="AK1092" s="202">
        <v>40</v>
      </c>
      <c r="AM1092" s="3"/>
    </row>
    <row r="1093" spans="1:39" ht="15" thickBot="1" x14ac:dyDescent="0.4">
      <c r="I1093" s="74"/>
      <c r="J1093" s="73"/>
      <c r="K1093" s="1" t="s">
        <v>117</v>
      </c>
      <c r="L1093" s="40" t="s">
        <v>1032</v>
      </c>
      <c r="M1093" s="40">
        <v>2</v>
      </c>
      <c r="N1093" s="40" t="s">
        <v>1031</v>
      </c>
      <c r="O1093" s="41" t="s">
        <v>1030</v>
      </c>
      <c r="P1093" s="229" t="s">
        <v>1029</v>
      </c>
      <c r="Q1093" s="41" t="s">
        <v>1028</v>
      </c>
      <c r="R1093" s="41"/>
      <c r="S1093" s="41" t="s">
        <v>1027</v>
      </c>
      <c r="T1093" s="41" t="s">
        <v>1026</v>
      </c>
      <c r="W1093" s="1" t="s">
        <v>1025</v>
      </c>
      <c r="X1093" s="18">
        <v>0</v>
      </c>
      <c r="AB1093" s="7"/>
      <c r="AG1093" s="202" t="s">
        <v>539</v>
      </c>
      <c r="AH1093" s="202">
        <v>41</v>
      </c>
      <c r="AI1093" s="202">
        <v>42</v>
      </c>
      <c r="AJ1093" s="202">
        <v>43</v>
      </c>
      <c r="AK1093" s="202">
        <v>44</v>
      </c>
      <c r="AM1093" s="3"/>
    </row>
    <row r="1094" spans="1:39" ht="14.5" x14ac:dyDescent="0.35">
      <c r="O1094" s="41"/>
      <c r="P1094" s="41"/>
      <c r="Q1094" s="41"/>
      <c r="R1094" s="41"/>
      <c r="S1094" s="41"/>
      <c r="T1094" s="41"/>
      <c r="AB1094" s="7"/>
      <c r="AG1094" s="202" t="s">
        <v>539</v>
      </c>
      <c r="AH1094" s="202">
        <v>45</v>
      </c>
      <c r="AI1094" s="202">
        <v>46</v>
      </c>
      <c r="AJ1094" s="202">
        <v>47</v>
      </c>
      <c r="AK1094" s="202">
        <v>48</v>
      </c>
      <c r="AM1094" s="3"/>
    </row>
    <row r="1095" spans="1:39" x14ac:dyDescent="0.3">
      <c r="O1095" s="41"/>
      <c r="P1095" s="41"/>
      <c r="Q1095" s="41"/>
      <c r="R1095" s="41"/>
      <c r="S1095" s="41"/>
      <c r="T1095" s="41"/>
      <c r="AB1095" s="7"/>
      <c r="AM1095" s="3"/>
    </row>
    <row r="1096" spans="1:39" x14ac:dyDescent="0.3">
      <c r="O1096" s="41"/>
      <c r="P1096" s="41"/>
      <c r="Q1096" s="41"/>
      <c r="R1096" s="41"/>
      <c r="S1096" s="41"/>
      <c r="T1096" s="41"/>
      <c r="AB1096" s="7"/>
      <c r="AM1096" s="3"/>
    </row>
    <row r="1097" spans="1:39" ht="15.5" x14ac:dyDescent="0.35">
      <c r="A1097" s="228"/>
      <c r="B1097" s="53" t="s">
        <v>1024</v>
      </c>
      <c r="C1097" s="71"/>
      <c r="D1097" s="71"/>
      <c r="E1097" s="71"/>
      <c r="F1097" s="71"/>
      <c r="G1097" s="71"/>
      <c r="H1097" s="71"/>
      <c r="I1097" s="71"/>
      <c r="J1097" s="71"/>
      <c r="K1097" s="71"/>
      <c r="L1097" s="71"/>
      <c r="M1097" s="71"/>
      <c r="N1097" s="71"/>
      <c r="O1097" s="71"/>
      <c r="P1097" s="71"/>
      <c r="Q1097" s="71"/>
      <c r="R1097" s="71"/>
      <c r="S1097" s="226"/>
      <c r="T1097" s="226"/>
      <c r="U1097" s="226"/>
      <c r="V1097" s="71"/>
      <c r="W1097" s="226"/>
      <c r="X1097" s="227"/>
      <c r="Y1097" s="226"/>
      <c r="Z1097" s="225"/>
      <c r="AA1097" s="225"/>
      <c r="AB1097" s="7"/>
      <c r="AC1097" s="7"/>
      <c r="AD1097" s="7"/>
      <c r="AE1097" s="7"/>
      <c r="AF1097" s="7"/>
      <c r="AM1097" s="50"/>
    </row>
    <row r="1098" spans="1:39" s="2" customFormat="1" thickBot="1" x14ac:dyDescent="0.3">
      <c r="S1098" s="1"/>
      <c r="T1098" s="1"/>
      <c r="U1098" s="1"/>
      <c r="W1098" s="1"/>
      <c r="X1098" s="18"/>
      <c r="Y1098" s="1"/>
      <c r="Z1098" s="201"/>
      <c r="AA1098" s="20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</row>
    <row r="1099" spans="1:39" ht="13.5" thickBot="1" x14ac:dyDescent="0.35">
      <c r="A1099" s="31" t="s">
        <v>1023</v>
      </c>
      <c r="B1099" s="1" t="s">
        <v>848</v>
      </c>
      <c r="C1099" s="2" t="s">
        <v>459</v>
      </c>
      <c r="D1099" s="2">
        <v>130</v>
      </c>
      <c r="E1099" s="3">
        <v>2</v>
      </c>
      <c r="F1099" s="3">
        <v>10</v>
      </c>
      <c r="G1099" s="3">
        <v>0</v>
      </c>
      <c r="H1099" s="62"/>
      <c r="I1099" s="263"/>
      <c r="J1099" s="264"/>
      <c r="K1099" s="2"/>
      <c r="L1099" s="6"/>
      <c r="M1099" s="6"/>
      <c r="N1099" s="6"/>
      <c r="O1099" s="6"/>
      <c r="P1099" s="6"/>
      <c r="Q1099" s="6"/>
      <c r="R1099" s="6"/>
      <c r="V1099" s="6"/>
      <c r="Y1099" s="7"/>
      <c r="Z1099" s="206"/>
      <c r="AA1099" s="206"/>
      <c r="AB1099" s="7"/>
      <c r="AC1099" s="7"/>
      <c r="AD1099" s="7"/>
      <c r="AE1099" s="7"/>
      <c r="AF1099" s="7"/>
    </row>
    <row r="1100" spans="1:39" ht="13.5" thickBot="1" x14ac:dyDescent="0.35">
      <c r="A1100" s="76" t="s">
        <v>849</v>
      </c>
      <c r="B1100" s="1" t="s">
        <v>848</v>
      </c>
      <c r="C1100" s="2" t="str">
        <f t="shared" ref="C1100:C1131" si="267">+C1099</f>
        <v>DIO1</v>
      </c>
      <c r="D1100" s="2">
        <v>130</v>
      </c>
      <c r="E1100" s="3">
        <f t="shared" ref="E1100:E1131" si="268">+E1099</f>
        <v>2</v>
      </c>
      <c r="F1100" s="3">
        <f t="shared" ref="F1100:F1131" si="269">+F1099</f>
        <v>10</v>
      </c>
      <c r="G1100" s="3">
        <v>0</v>
      </c>
      <c r="H1100" s="6"/>
      <c r="I1100" s="263" t="s">
        <v>458</v>
      </c>
      <c r="J1100" s="265"/>
      <c r="K1100" s="39" t="s">
        <v>1022</v>
      </c>
      <c r="L1100" s="6"/>
      <c r="M1100" s="6"/>
      <c r="N1100" s="6"/>
      <c r="O1100" s="6"/>
      <c r="P1100" s="6"/>
      <c r="Q1100" s="6"/>
      <c r="R1100" s="6"/>
      <c r="V1100" s="6"/>
      <c r="Y1100" s="7"/>
      <c r="Z1100" s="206"/>
      <c r="AA1100" s="206"/>
      <c r="AB1100" s="7"/>
      <c r="AC1100" s="7"/>
      <c r="AD1100" s="7"/>
      <c r="AE1100" s="7"/>
      <c r="AF1100" s="7"/>
    </row>
    <row r="1101" spans="1:39" ht="13.5" thickBot="1" x14ac:dyDescent="0.35">
      <c r="A1101" s="76" t="s">
        <v>849</v>
      </c>
      <c r="B1101" s="1" t="s">
        <v>848</v>
      </c>
      <c r="C1101" s="2" t="str">
        <f t="shared" si="267"/>
        <v>DIO1</v>
      </c>
      <c r="D1101" s="2">
        <v>130</v>
      </c>
      <c r="E1101" s="3">
        <f t="shared" si="268"/>
        <v>2</v>
      </c>
      <c r="F1101" s="3">
        <f t="shared" si="269"/>
        <v>10</v>
      </c>
      <c r="G1101" s="3">
        <v>0</v>
      </c>
      <c r="H1101" s="6"/>
      <c r="I1101" s="263" t="s">
        <v>456</v>
      </c>
      <c r="J1101" s="265"/>
      <c r="K1101" s="2" t="s">
        <v>1021</v>
      </c>
      <c r="L1101" s="6"/>
      <c r="M1101" s="70" t="s">
        <v>454</v>
      </c>
      <c r="N1101" s="70"/>
      <c r="O1101" s="70" t="s">
        <v>453</v>
      </c>
      <c r="P1101" s="70"/>
      <c r="Q1101" s="70" t="s">
        <v>452</v>
      </c>
      <c r="R1101" s="6"/>
      <c r="V1101" s="6"/>
      <c r="Y1101" s="7"/>
      <c r="Z1101" s="206"/>
      <c r="AA1101" s="206"/>
      <c r="AB1101" s="7"/>
      <c r="AC1101" s="7"/>
      <c r="AD1101" s="7"/>
      <c r="AE1101" s="7"/>
      <c r="AF1101" s="7"/>
    </row>
    <row r="1102" spans="1:39" ht="13.5" thickBot="1" x14ac:dyDescent="0.35">
      <c r="A1102" s="76" t="s">
        <v>849</v>
      </c>
      <c r="B1102" s="1" t="s">
        <v>848</v>
      </c>
      <c r="C1102" s="2" t="str">
        <f t="shared" si="267"/>
        <v>DIO1</v>
      </c>
      <c r="D1102" s="2">
        <v>130</v>
      </c>
      <c r="E1102" s="3">
        <f t="shared" si="268"/>
        <v>2</v>
      </c>
      <c r="F1102" s="3">
        <f t="shared" si="269"/>
        <v>10</v>
      </c>
      <c r="G1102" s="3">
        <v>0</v>
      </c>
      <c r="H1102" s="27">
        <v>0</v>
      </c>
      <c r="I1102" s="263" t="s">
        <v>451</v>
      </c>
      <c r="J1102" s="264"/>
      <c r="K1102" s="1" t="s">
        <v>450</v>
      </c>
      <c r="L1102" s="14" t="s">
        <v>1020</v>
      </c>
      <c r="M1102" s="70">
        <f>+COUNTA(L1103:L1278)</f>
        <v>164</v>
      </c>
      <c r="N1102" s="70"/>
      <c r="O1102" s="70">
        <f>+COUNTBLANK(O1103:O1278)</f>
        <v>83</v>
      </c>
      <c r="P1102" s="70"/>
      <c r="Q1102" s="69">
        <f>+O1102/M1102</f>
        <v>0.50609756097560976</v>
      </c>
      <c r="Y1102" s="7"/>
      <c r="Z1102" s="206"/>
      <c r="AA1102" s="206"/>
      <c r="AB1102" s="7"/>
      <c r="AC1102" s="7"/>
      <c r="AD1102" s="7"/>
      <c r="AE1102" s="7"/>
      <c r="AF1102" s="7"/>
    </row>
    <row r="1103" spans="1:39" x14ac:dyDescent="0.3">
      <c r="A1103" s="76" t="s">
        <v>849</v>
      </c>
      <c r="B1103" s="1" t="s">
        <v>848</v>
      </c>
      <c r="C1103" s="2" t="str">
        <f t="shared" si="267"/>
        <v>DIO1</v>
      </c>
      <c r="D1103" s="2">
        <v>130</v>
      </c>
      <c r="E1103" s="3">
        <f t="shared" si="268"/>
        <v>2</v>
      </c>
      <c r="F1103" s="3">
        <f t="shared" si="269"/>
        <v>10</v>
      </c>
      <c r="G1103" s="3">
        <v>0</v>
      </c>
      <c r="H1103" s="223">
        <v>1</v>
      </c>
      <c r="I1103" s="56">
        <v>0</v>
      </c>
      <c r="J1103" s="222" t="s">
        <v>316</v>
      </c>
      <c r="K1103" s="2" t="s">
        <v>315</v>
      </c>
      <c r="L1103" s="1" t="s">
        <v>21</v>
      </c>
      <c r="M1103" s="2">
        <v>4</v>
      </c>
      <c r="N1103" s="1" t="s">
        <v>976</v>
      </c>
      <c r="O1103" s="1" t="s">
        <v>320</v>
      </c>
      <c r="Q1103" s="1" t="s">
        <v>1019</v>
      </c>
      <c r="R1103" s="1" t="s">
        <v>18</v>
      </c>
      <c r="S1103" s="13" t="s">
        <v>352</v>
      </c>
      <c r="T1103" s="1" t="s">
        <v>976</v>
      </c>
      <c r="V1103" s="1" t="str">
        <f t="shared" ref="V1103:V1134" si="270">+CONCATENATE(E1103,".",F1103,"\",G1103,".",H1103,":",I1103)</f>
        <v>2.10\0.1:0</v>
      </c>
      <c r="W1103" s="1" t="s">
        <v>1000</v>
      </c>
      <c r="X1103" s="3" t="s">
        <v>4</v>
      </c>
      <c r="Y1103" s="266" t="s">
        <v>445</v>
      </c>
      <c r="Z1103" s="206"/>
      <c r="AA1103" s="206"/>
      <c r="AC1103" s="7"/>
      <c r="AD1103" s="7"/>
      <c r="AE1103" s="7"/>
      <c r="AG1103" s="3" t="s">
        <v>768</v>
      </c>
      <c r="AH1103" s="3">
        <v>1</v>
      </c>
      <c r="AI1103" s="3">
        <v>2</v>
      </c>
      <c r="AM1103" s="3"/>
    </row>
    <row r="1104" spans="1:39" x14ac:dyDescent="0.3">
      <c r="A1104" s="5" t="str">
        <f t="shared" ref="A1104:A1134" si="271">A1103</f>
        <v>SUB902</v>
      </c>
      <c r="B1104" s="1" t="s">
        <v>848</v>
      </c>
      <c r="C1104" s="2" t="str">
        <f t="shared" si="267"/>
        <v>DIO1</v>
      </c>
      <c r="D1104" s="2">
        <v>130</v>
      </c>
      <c r="E1104" s="3">
        <f t="shared" si="268"/>
        <v>2</v>
      </c>
      <c r="F1104" s="3">
        <f t="shared" si="269"/>
        <v>10</v>
      </c>
      <c r="G1104" s="3">
        <v>0</v>
      </c>
      <c r="H1104" s="60">
        <f>H1103</f>
        <v>1</v>
      </c>
      <c r="I1104" s="54">
        <f t="shared" ref="I1104:I1134" si="272">+I1103+1</f>
        <v>1</v>
      </c>
      <c r="J1104" s="61"/>
      <c r="L1104" s="1" t="s">
        <v>21</v>
      </c>
      <c r="M1104" s="2">
        <v>4</v>
      </c>
      <c r="N1104" s="1" t="s">
        <v>976</v>
      </c>
      <c r="O1104" s="1" t="s">
        <v>350</v>
      </c>
      <c r="Q1104" s="1" t="s">
        <v>1018</v>
      </c>
      <c r="R1104" s="1" t="s">
        <v>18</v>
      </c>
      <c r="S1104" s="13" t="s">
        <v>743</v>
      </c>
      <c r="T1104" s="1" t="s">
        <v>976</v>
      </c>
      <c r="V1104" s="1" t="str">
        <f t="shared" si="270"/>
        <v>2.10\0.1:1</v>
      </c>
      <c r="W1104" s="1" t="s">
        <v>1000</v>
      </c>
      <c r="X1104" s="3" t="s">
        <v>4</v>
      </c>
      <c r="Y1104" s="266"/>
      <c r="Z1104" s="206"/>
      <c r="AA1104" s="206"/>
      <c r="AC1104" s="7"/>
      <c r="AD1104" s="7"/>
      <c r="AE1104" s="7"/>
      <c r="AG1104" s="3" t="s">
        <v>768</v>
      </c>
      <c r="AH1104" s="3">
        <v>3</v>
      </c>
      <c r="AI1104" s="3">
        <v>4</v>
      </c>
      <c r="AM1104" s="3"/>
    </row>
    <row r="1105" spans="1:39" x14ac:dyDescent="0.3">
      <c r="A1105" s="5" t="str">
        <f t="shared" si="271"/>
        <v>SUB902</v>
      </c>
      <c r="B1105" s="1" t="s">
        <v>848</v>
      </c>
      <c r="C1105" s="2" t="str">
        <f t="shared" si="267"/>
        <v>DIO1</v>
      </c>
      <c r="D1105" s="2">
        <v>130</v>
      </c>
      <c r="E1105" s="3">
        <f t="shared" si="268"/>
        <v>2</v>
      </c>
      <c r="F1105" s="3">
        <f t="shared" si="269"/>
        <v>10</v>
      </c>
      <c r="G1105" s="3">
        <v>0</v>
      </c>
      <c r="H1105" s="60">
        <f>H1103</f>
        <v>1</v>
      </c>
      <c r="I1105" s="54">
        <f t="shared" si="272"/>
        <v>2</v>
      </c>
      <c r="J1105" s="61"/>
      <c r="K1105" s="30"/>
      <c r="L1105" s="1" t="s">
        <v>21</v>
      </c>
      <c r="M1105" s="2">
        <v>4</v>
      </c>
      <c r="N1105" s="1" t="s">
        <v>976</v>
      </c>
      <c r="O1105" s="1" t="s">
        <v>348</v>
      </c>
      <c r="Q1105" s="1" t="s">
        <v>1017</v>
      </c>
      <c r="R1105" s="1" t="s">
        <v>18</v>
      </c>
      <c r="S1105" s="13" t="s">
        <v>1016</v>
      </c>
      <c r="T1105" s="1" t="s">
        <v>976</v>
      </c>
      <c r="V1105" s="1" t="str">
        <f t="shared" si="270"/>
        <v>2.10\0.1:2</v>
      </c>
      <c r="W1105" s="1" t="s">
        <v>1000</v>
      </c>
      <c r="X1105" s="3" t="s">
        <v>4</v>
      </c>
      <c r="Y1105" s="266"/>
      <c r="Z1105" s="206"/>
      <c r="AA1105" s="206"/>
      <c r="AC1105" s="7"/>
      <c r="AD1105" s="7"/>
      <c r="AE1105" s="7"/>
      <c r="AG1105" s="3" t="s">
        <v>768</v>
      </c>
      <c r="AH1105" s="3">
        <v>5</v>
      </c>
      <c r="AI1105" s="3">
        <v>6</v>
      </c>
      <c r="AM1105" s="3"/>
    </row>
    <row r="1106" spans="1:39" x14ac:dyDescent="0.3">
      <c r="A1106" s="5" t="str">
        <f t="shared" si="271"/>
        <v>SUB902</v>
      </c>
      <c r="B1106" s="1" t="s">
        <v>848</v>
      </c>
      <c r="C1106" s="2" t="str">
        <f t="shared" si="267"/>
        <v>DIO1</v>
      </c>
      <c r="D1106" s="2">
        <v>130</v>
      </c>
      <c r="E1106" s="3">
        <f t="shared" si="268"/>
        <v>2</v>
      </c>
      <c r="F1106" s="3">
        <f t="shared" si="269"/>
        <v>10</v>
      </c>
      <c r="G1106" s="3">
        <v>0</v>
      </c>
      <c r="H1106" s="60">
        <f t="shared" ref="H1106:H1117" si="273">H1103</f>
        <v>1</v>
      </c>
      <c r="I1106" s="54">
        <f t="shared" si="272"/>
        <v>3</v>
      </c>
      <c r="J1106" s="61"/>
      <c r="K1106" s="30"/>
      <c r="L1106" s="1" t="s">
        <v>21</v>
      </c>
      <c r="M1106" s="2">
        <v>4</v>
      </c>
      <c r="N1106" s="1" t="s">
        <v>976</v>
      </c>
      <c r="O1106" s="1" t="s">
        <v>345</v>
      </c>
      <c r="Q1106" s="1" t="s">
        <v>1015</v>
      </c>
      <c r="R1106" s="1" t="s">
        <v>18</v>
      </c>
      <c r="S1106" s="13" t="s">
        <v>1014</v>
      </c>
      <c r="T1106" s="1" t="s">
        <v>976</v>
      </c>
      <c r="V1106" s="1" t="str">
        <f t="shared" si="270"/>
        <v>2.10\0.1:3</v>
      </c>
      <c r="W1106" s="1" t="s">
        <v>1000</v>
      </c>
      <c r="X1106" s="3" t="s">
        <v>4</v>
      </c>
      <c r="Y1106" s="266"/>
      <c r="Z1106" s="206"/>
      <c r="AA1106" s="206"/>
      <c r="AC1106" s="7"/>
      <c r="AD1106" s="7"/>
      <c r="AE1106" s="7"/>
      <c r="AG1106" s="3" t="s">
        <v>768</v>
      </c>
      <c r="AH1106" s="3">
        <v>7</v>
      </c>
      <c r="AI1106" s="3">
        <v>8</v>
      </c>
      <c r="AM1106" s="3"/>
    </row>
    <row r="1107" spans="1:39" x14ac:dyDescent="0.3">
      <c r="A1107" s="5" t="str">
        <f t="shared" si="271"/>
        <v>SUB902</v>
      </c>
      <c r="B1107" s="1" t="s">
        <v>848</v>
      </c>
      <c r="C1107" s="2" t="str">
        <f t="shared" si="267"/>
        <v>DIO1</v>
      </c>
      <c r="D1107" s="2">
        <v>130</v>
      </c>
      <c r="E1107" s="3">
        <f t="shared" si="268"/>
        <v>2</v>
      </c>
      <c r="F1107" s="3">
        <f t="shared" si="269"/>
        <v>10</v>
      </c>
      <c r="G1107" s="3">
        <v>0</v>
      </c>
      <c r="H1107" s="60">
        <f t="shared" si="273"/>
        <v>1</v>
      </c>
      <c r="I1107" s="54">
        <f t="shared" si="272"/>
        <v>4</v>
      </c>
      <c r="J1107" s="61"/>
      <c r="K1107" s="30"/>
      <c r="L1107" s="1" t="s">
        <v>21</v>
      </c>
      <c r="M1107" s="2">
        <v>4</v>
      </c>
      <c r="N1107" s="1" t="s">
        <v>976</v>
      </c>
      <c r="O1107" s="1" t="s">
        <v>342</v>
      </c>
      <c r="Q1107" s="1" t="s">
        <v>1013</v>
      </c>
      <c r="R1107" s="1" t="s">
        <v>18</v>
      </c>
      <c r="S1107" s="13" t="s">
        <v>1012</v>
      </c>
      <c r="T1107" s="1" t="s">
        <v>976</v>
      </c>
      <c r="V1107" s="1" t="str">
        <f t="shared" si="270"/>
        <v>2.10\0.1:4</v>
      </c>
      <c r="W1107" s="1" t="s">
        <v>1000</v>
      </c>
      <c r="X1107" s="3" t="s">
        <v>4</v>
      </c>
      <c r="Y1107" s="266"/>
      <c r="Z1107" s="206"/>
      <c r="AA1107" s="206"/>
      <c r="AC1107" s="7"/>
      <c r="AD1107" s="7"/>
      <c r="AE1107" s="7"/>
      <c r="AG1107" s="3" t="s">
        <v>768</v>
      </c>
      <c r="AH1107" s="3">
        <v>9</v>
      </c>
      <c r="AI1107" s="3">
        <v>10</v>
      </c>
      <c r="AM1107" s="3"/>
    </row>
    <row r="1108" spans="1:39" x14ac:dyDescent="0.3">
      <c r="A1108" s="5" t="str">
        <f t="shared" si="271"/>
        <v>SUB902</v>
      </c>
      <c r="B1108" s="1" t="s">
        <v>848</v>
      </c>
      <c r="C1108" s="2" t="str">
        <f t="shared" si="267"/>
        <v>DIO1</v>
      </c>
      <c r="D1108" s="2">
        <v>130</v>
      </c>
      <c r="E1108" s="3">
        <f t="shared" si="268"/>
        <v>2</v>
      </c>
      <c r="F1108" s="3">
        <f t="shared" si="269"/>
        <v>10</v>
      </c>
      <c r="G1108" s="3">
        <v>0</v>
      </c>
      <c r="H1108" s="60">
        <f t="shared" si="273"/>
        <v>1</v>
      </c>
      <c r="I1108" s="54">
        <f t="shared" si="272"/>
        <v>5</v>
      </c>
      <c r="J1108" s="61"/>
      <c r="K1108" s="30"/>
      <c r="L1108" s="1" t="s">
        <v>21</v>
      </c>
      <c r="M1108" s="2">
        <v>4</v>
      </c>
      <c r="N1108" s="1" t="s">
        <v>976</v>
      </c>
      <c r="O1108" s="1" t="s">
        <v>339</v>
      </c>
      <c r="Q1108" s="1" t="s">
        <v>1011</v>
      </c>
      <c r="R1108" s="1" t="s">
        <v>18</v>
      </c>
      <c r="S1108" s="13" t="s">
        <v>1010</v>
      </c>
      <c r="T1108" s="1" t="s">
        <v>976</v>
      </c>
      <c r="V1108" s="1" t="str">
        <f t="shared" si="270"/>
        <v>2.10\0.1:5</v>
      </c>
      <c r="W1108" s="1" t="s">
        <v>1000</v>
      </c>
      <c r="X1108" s="3" t="s">
        <v>4</v>
      </c>
      <c r="Y1108" s="266"/>
      <c r="Z1108" s="206"/>
      <c r="AA1108" s="206"/>
      <c r="AC1108" s="7"/>
      <c r="AD1108" s="7"/>
      <c r="AE1108" s="7"/>
      <c r="AG1108" s="3" t="s">
        <v>768</v>
      </c>
      <c r="AH1108" s="3">
        <v>11</v>
      </c>
      <c r="AI1108" s="3">
        <v>12</v>
      </c>
      <c r="AM1108" s="3"/>
    </row>
    <row r="1109" spans="1:39" x14ac:dyDescent="0.3">
      <c r="A1109" s="5" t="str">
        <f t="shared" si="271"/>
        <v>SUB902</v>
      </c>
      <c r="B1109" s="1" t="s">
        <v>848</v>
      </c>
      <c r="C1109" s="2" t="str">
        <f t="shared" si="267"/>
        <v>DIO1</v>
      </c>
      <c r="D1109" s="2">
        <v>130</v>
      </c>
      <c r="E1109" s="3">
        <f t="shared" si="268"/>
        <v>2</v>
      </c>
      <c r="F1109" s="3">
        <f t="shared" si="269"/>
        <v>10</v>
      </c>
      <c r="G1109" s="3">
        <v>0</v>
      </c>
      <c r="H1109" s="60">
        <f t="shared" si="273"/>
        <v>1</v>
      </c>
      <c r="I1109" s="54">
        <f t="shared" si="272"/>
        <v>6</v>
      </c>
      <c r="J1109" s="61"/>
      <c r="K1109" s="30"/>
      <c r="L1109" s="1" t="s">
        <v>21</v>
      </c>
      <c r="M1109" s="2">
        <v>4</v>
      </c>
      <c r="N1109" s="1" t="s">
        <v>976</v>
      </c>
      <c r="O1109" s="220" t="s">
        <v>336</v>
      </c>
      <c r="P1109" s="220"/>
      <c r="Q1109" s="1" t="s">
        <v>1009</v>
      </c>
      <c r="R1109" s="1" t="s">
        <v>18</v>
      </c>
      <c r="S1109" s="13" t="s">
        <v>1008</v>
      </c>
      <c r="T1109" s="1" t="s">
        <v>976</v>
      </c>
      <c r="V1109" s="1" t="str">
        <f t="shared" si="270"/>
        <v>2.10\0.1:6</v>
      </c>
      <c r="W1109" s="1" t="s">
        <v>1000</v>
      </c>
      <c r="X1109" s="3" t="s">
        <v>4</v>
      </c>
      <c r="Y1109" s="266"/>
      <c r="Z1109" s="206"/>
      <c r="AA1109" s="206"/>
      <c r="AC1109" s="7"/>
      <c r="AD1109" s="7"/>
      <c r="AE1109" s="7"/>
      <c r="AG1109" s="3" t="s">
        <v>768</v>
      </c>
      <c r="AH1109" s="3">
        <v>13</v>
      </c>
      <c r="AI1109" s="3">
        <v>14</v>
      </c>
      <c r="AM1109" s="3"/>
    </row>
    <row r="1110" spans="1:39" x14ac:dyDescent="0.3">
      <c r="A1110" s="5" t="str">
        <f t="shared" si="271"/>
        <v>SUB902</v>
      </c>
      <c r="B1110" s="1" t="s">
        <v>848</v>
      </c>
      <c r="C1110" s="2" t="str">
        <f t="shared" si="267"/>
        <v>DIO1</v>
      </c>
      <c r="D1110" s="2">
        <v>130</v>
      </c>
      <c r="E1110" s="3">
        <f t="shared" si="268"/>
        <v>2</v>
      </c>
      <c r="F1110" s="3">
        <f t="shared" si="269"/>
        <v>10</v>
      </c>
      <c r="G1110" s="3">
        <v>0</v>
      </c>
      <c r="H1110" s="60">
        <f t="shared" si="273"/>
        <v>1</v>
      </c>
      <c r="I1110" s="54">
        <f t="shared" si="272"/>
        <v>7</v>
      </c>
      <c r="J1110" s="61"/>
      <c r="K1110" s="30"/>
      <c r="L1110" s="1" t="s">
        <v>21</v>
      </c>
      <c r="M1110" s="2">
        <v>4</v>
      </c>
      <c r="N1110" s="1" t="s">
        <v>976</v>
      </c>
      <c r="O1110" s="220" t="s">
        <v>334</v>
      </c>
      <c r="P1110" s="220"/>
      <c r="Q1110" s="1" t="s">
        <v>580</v>
      </c>
      <c r="R1110" s="1" t="s">
        <v>18</v>
      </c>
      <c r="S1110" s="13" t="s">
        <v>1007</v>
      </c>
      <c r="T1110" s="1" t="s">
        <v>976</v>
      </c>
      <c r="V1110" s="1" t="str">
        <f t="shared" si="270"/>
        <v>2.10\0.1:7</v>
      </c>
      <c r="W1110" s="1" t="s">
        <v>1000</v>
      </c>
      <c r="X1110" s="3" t="s">
        <v>4</v>
      </c>
      <c r="Y1110" s="266"/>
      <c r="Z1110" s="206"/>
      <c r="AA1110" s="206"/>
      <c r="AC1110" s="7"/>
      <c r="AD1110" s="7"/>
      <c r="AE1110" s="7"/>
      <c r="AG1110" s="3" t="s">
        <v>768</v>
      </c>
      <c r="AH1110" s="3">
        <v>15</v>
      </c>
      <c r="AI1110" s="3">
        <v>16</v>
      </c>
      <c r="AM1110" s="3"/>
    </row>
    <row r="1111" spans="1:39" x14ac:dyDescent="0.3">
      <c r="A1111" s="5" t="str">
        <f t="shared" si="271"/>
        <v>SUB902</v>
      </c>
      <c r="B1111" s="1" t="s">
        <v>848</v>
      </c>
      <c r="C1111" s="2" t="str">
        <f t="shared" si="267"/>
        <v>DIO1</v>
      </c>
      <c r="D1111" s="2">
        <v>130</v>
      </c>
      <c r="E1111" s="3">
        <f t="shared" si="268"/>
        <v>2</v>
      </c>
      <c r="F1111" s="3">
        <f t="shared" si="269"/>
        <v>10</v>
      </c>
      <c r="G1111" s="3">
        <v>0</v>
      </c>
      <c r="H1111" s="60">
        <f t="shared" si="273"/>
        <v>1</v>
      </c>
      <c r="I1111" s="54">
        <f t="shared" si="272"/>
        <v>8</v>
      </c>
      <c r="J1111" s="61"/>
      <c r="K1111" s="30"/>
      <c r="L1111" s="1" t="s">
        <v>21</v>
      </c>
      <c r="M1111" s="2">
        <v>4</v>
      </c>
      <c r="N1111" s="1" t="s">
        <v>976</v>
      </c>
      <c r="O1111" s="1" t="s">
        <v>332</v>
      </c>
      <c r="Q1111" s="1" t="s">
        <v>1006</v>
      </c>
      <c r="R1111" s="1" t="s">
        <v>18</v>
      </c>
      <c r="S1111" s="13" t="s">
        <v>1005</v>
      </c>
      <c r="T1111" s="1" t="s">
        <v>976</v>
      </c>
      <c r="V1111" s="1" t="str">
        <f t="shared" si="270"/>
        <v>2.10\0.1:8</v>
      </c>
      <c r="W1111" s="1" t="s">
        <v>1000</v>
      </c>
      <c r="X1111" s="3" t="s">
        <v>4</v>
      </c>
      <c r="Y1111" s="266"/>
      <c r="Z1111" s="206"/>
      <c r="AA1111" s="206"/>
      <c r="AC1111" s="7"/>
      <c r="AD1111" s="7"/>
      <c r="AE1111" s="7"/>
      <c r="AG1111" s="3" t="s">
        <v>768</v>
      </c>
      <c r="AH1111" s="3">
        <v>17</v>
      </c>
      <c r="AI1111" s="3">
        <v>18</v>
      </c>
      <c r="AM1111" s="3"/>
    </row>
    <row r="1112" spans="1:39" x14ac:dyDescent="0.3">
      <c r="A1112" s="5" t="str">
        <f t="shared" si="271"/>
        <v>SUB902</v>
      </c>
      <c r="B1112" s="1" t="s">
        <v>848</v>
      </c>
      <c r="C1112" s="2" t="str">
        <f t="shared" si="267"/>
        <v>DIO1</v>
      </c>
      <c r="D1112" s="2">
        <v>130</v>
      </c>
      <c r="E1112" s="3">
        <f t="shared" si="268"/>
        <v>2</v>
      </c>
      <c r="F1112" s="3">
        <f t="shared" si="269"/>
        <v>10</v>
      </c>
      <c r="G1112" s="3">
        <v>0</v>
      </c>
      <c r="H1112" s="60">
        <f t="shared" si="273"/>
        <v>1</v>
      </c>
      <c r="I1112" s="54">
        <f t="shared" si="272"/>
        <v>9</v>
      </c>
      <c r="J1112" s="61"/>
      <c r="K1112" s="30"/>
      <c r="L1112" s="1" t="s">
        <v>21</v>
      </c>
      <c r="M1112" s="2">
        <v>4</v>
      </c>
      <c r="N1112" s="1" t="s">
        <v>976</v>
      </c>
      <c r="O1112" s="1" t="s">
        <v>330</v>
      </c>
      <c r="Q1112" s="1" t="s">
        <v>1002</v>
      </c>
      <c r="R1112" s="1" t="s">
        <v>18</v>
      </c>
      <c r="S1112" s="13" t="s">
        <v>1004</v>
      </c>
      <c r="T1112" s="1" t="s">
        <v>976</v>
      </c>
      <c r="V1112" s="1" t="str">
        <f t="shared" si="270"/>
        <v>2.10\0.1:9</v>
      </c>
      <c r="W1112" s="1" t="s">
        <v>1000</v>
      </c>
      <c r="X1112" s="3" t="s">
        <v>4</v>
      </c>
      <c r="Y1112" s="266"/>
      <c r="Z1112" s="206"/>
      <c r="AA1112" s="206"/>
      <c r="AC1112" s="7"/>
      <c r="AD1112" s="7"/>
      <c r="AE1112" s="7"/>
      <c r="AG1112" s="3" t="s">
        <v>768</v>
      </c>
      <c r="AH1112" s="3">
        <v>19</v>
      </c>
      <c r="AI1112" s="3">
        <v>20</v>
      </c>
      <c r="AM1112" s="3"/>
    </row>
    <row r="1113" spans="1:39" x14ac:dyDescent="0.3">
      <c r="A1113" s="5" t="str">
        <f t="shared" si="271"/>
        <v>SUB902</v>
      </c>
      <c r="B1113" s="1" t="s">
        <v>848</v>
      </c>
      <c r="C1113" s="2" t="str">
        <f t="shared" si="267"/>
        <v>DIO1</v>
      </c>
      <c r="D1113" s="2">
        <v>130</v>
      </c>
      <c r="E1113" s="3">
        <f t="shared" si="268"/>
        <v>2</v>
      </c>
      <c r="F1113" s="3">
        <f t="shared" si="269"/>
        <v>10</v>
      </c>
      <c r="G1113" s="3">
        <v>0</v>
      </c>
      <c r="H1113" s="60">
        <f t="shared" si="273"/>
        <v>1</v>
      </c>
      <c r="I1113" s="54">
        <f t="shared" si="272"/>
        <v>10</v>
      </c>
      <c r="J1113" s="61"/>
      <c r="K1113" s="30"/>
      <c r="L1113" s="1" t="s">
        <v>21</v>
      </c>
      <c r="M1113" s="2">
        <v>4</v>
      </c>
      <c r="N1113" s="1" t="s">
        <v>976</v>
      </c>
      <c r="O1113" s="220" t="s">
        <v>328</v>
      </c>
      <c r="P1113" s="220"/>
      <c r="Q1113" s="1" t="s">
        <v>1002</v>
      </c>
      <c r="R1113" s="1" t="s">
        <v>18</v>
      </c>
      <c r="S1113" s="13" t="s">
        <v>1003</v>
      </c>
      <c r="T1113" s="1" t="s">
        <v>976</v>
      </c>
      <c r="V1113" s="1" t="str">
        <f t="shared" si="270"/>
        <v>2.10\0.1:10</v>
      </c>
      <c r="W1113" s="1" t="s">
        <v>1000</v>
      </c>
      <c r="X1113" s="3" t="s">
        <v>4</v>
      </c>
      <c r="Y1113" s="266"/>
      <c r="AC1113" s="7"/>
      <c r="AD1113" s="7"/>
      <c r="AE1113" s="7"/>
      <c r="AG1113" s="3" t="s">
        <v>768</v>
      </c>
      <c r="AH1113" s="3">
        <v>21</v>
      </c>
      <c r="AI1113" s="3">
        <v>22</v>
      </c>
      <c r="AM1113" s="3"/>
    </row>
    <row r="1114" spans="1:39" x14ac:dyDescent="0.3">
      <c r="A1114" s="5" t="str">
        <f t="shared" si="271"/>
        <v>SUB902</v>
      </c>
      <c r="B1114" s="1" t="s">
        <v>848</v>
      </c>
      <c r="C1114" s="2" t="str">
        <f t="shared" si="267"/>
        <v>DIO1</v>
      </c>
      <c r="D1114" s="2">
        <v>130</v>
      </c>
      <c r="E1114" s="3">
        <f t="shared" si="268"/>
        <v>2</v>
      </c>
      <c r="F1114" s="3">
        <f t="shared" si="269"/>
        <v>10</v>
      </c>
      <c r="G1114" s="3">
        <v>0</v>
      </c>
      <c r="H1114" s="60">
        <f t="shared" si="273"/>
        <v>1</v>
      </c>
      <c r="I1114" s="54">
        <f t="shared" si="272"/>
        <v>11</v>
      </c>
      <c r="J1114" s="61"/>
      <c r="K1114" s="30"/>
      <c r="L1114" s="1" t="s">
        <v>21</v>
      </c>
      <c r="M1114" s="2">
        <v>4</v>
      </c>
      <c r="N1114" s="1" t="s">
        <v>976</v>
      </c>
      <c r="O1114" s="220" t="s">
        <v>326</v>
      </c>
      <c r="P1114" s="220"/>
      <c r="Q1114" s="1" t="s">
        <v>1002</v>
      </c>
      <c r="R1114" s="1" t="s">
        <v>18</v>
      </c>
      <c r="S1114" s="13" t="s">
        <v>1001</v>
      </c>
      <c r="T1114" s="1" t="s">
        <v>976</v>
      </c>
      <c r="V1114" s="1" t="str">
        <f t="shared" si="270"/>
        <v>2.10\0.1:11</v>
      </c>
      <c r="W1114" s="1" t="s">
        <v>1000</v>
      </c>
      <c r="X1114" s="3" t="s">
        <v>4</v>
      </c>
      <c r="Y1114" s="266"/>
      <c r="AC1114" s="7"/>
      <c r="AD1114" s="7"/>
      <c r="AE1114" s="7"/>
      <c r="AG1114" s="3" t="s">
        <v>768</v>
      </c>
      <c r="AH1114" s="3">
        <v>23</v>
      </c>
      <c r="AI1114" s="3">
        <v>24</v>
      </c>
      <c r="AM1114" s="3"/>
    </row>
    <row r="1115" spans="1:39" x14ac:dyDescent="0.3">
      <c r="A1115" s="5" t="str">
        <f t="shared" si="271"/>
        <v>SUB902</v>
      </c>
      <c r="B1115" s="1" t="s">
        <v>848</v>
      </c>
      <c r="C1115" s="2" t="str">
        <f t="shared" si="267"/>
        <v>DIO1</v>
      </c>
      <c r="D1115" s="2">
        <v>130</v>
      </c>
      <c r="E1115" s="3">
        <f t="shared" si="268"/>
        <v>2</v>
      </c>
      <c r="F1115" s="3">
        <f t="shared" si="269"/>
        <v>10</v>
      </c>
      <c r="G1115" s="3">
        <v>0</v>
      </c>
      <c r="H1115" s="60">
        <f t="shared" si="273"/>
        <v>1</v>
      </c>
      <c r="I1115" s="54">
        <f t="shared" si="272"/>
        <v>12</v>
      </c>
      <c r="J1115" s="61"/>
      <c r="K1115" s="30"/>
      <c r="L1115" s="1" t="s">
        <v>21</v>
      </c>
      <c r="M1115" s="2"/>
      <c r="O1115" s="12"/>
      <c r="P1115" s="12"/>
      <c r="Q1115" s="12" t="s">
        <v>302</v>
      </c>
      <c r="R1115" s="12" t="s">
        <v>302</v>
      </c>
      <c r="S1115" s="13"/>
      <c r="V1115" s="1" t="str">
        <f t="shared" si="270"/>
        <v>2.10\0.1:12</v>
      </c>
      <c r="Y1115" s="7"/>
      <c r="Z1115" s="206"/>
      <c r="AA1115" s="206"/>
      <c r="AC1115" s="7"/>
      <c r="AD1115" s="7"/>
      <c r="AE1115" s="7"/>
      <c r="AG1115" s="3" t="s">
        <v>768</v>
      </c>
      <c r="AH1115" s="3">
        <v>25</v>
      </c>
      <c r="AI1115" s="3">
        <v>26</v>
      </c>
      <c r="AM1115" s="3"/>
    </row>
    <row r="1116" spans="1:39" x14ac:dyDescent="0.3">
      <c r="A1116" s="5" t="str">
        <f t="shared" si="271"/>
        <v>SUB902</v>
      </c>
      <c r="B1116" s="1" t="s">
        <v>848</v>
      </c>
      <c r="C1116" s="2" t="str">
        <f t="shared" si="267"/>
        <v>DIO1</v>
      </c>
      <c r="D1116" s="2">
        <v>130</v>
      </c>
      <c r="E1116" s="3">
        <f t="shared" si="268"/>
        <v>2</v>
      </c>
      <c r="F1116" s="3">
        <f t="shared" si="269"/>
        <v>10</v>
      </c>
      <c r="G1116" s="3">
        <v>0</v>
      </c>
      <c r="H1116" s="60">
        <f t="shared" si="273"/>
        <v>1</v>
      </c>
      <c r="I1116" s="54">
        <f t="shared" si="272"/>
        <v>13</v>
      </c>
      <c r="J1116" s="61"/>
      <c r="K1116" s="30"/>
      <c r="L1116" s="1" t="s">
        <v>21</v>
      </c>
      <c r="M1116" s="2"/>
      <c r="Q1116" s="1" t="s">
        <v>302</v>
      </c>
      <c r="R1116" s="1" t="s">
        <v>302</v>
      </c>
      <c r="S1116" s="13"/>
      <c r="V1116" s="1" t="str">
        <f t="shared" si="270"/>
        <v>2.10\0.1:13</v>
      </c>
      <c r="Y1116" s="7"/>
      <c r="Z1116" s="206"/>
      <c r="AA1116" s="206"/>
      <c r="AC1116" s="7"/>
      <c r="AD1116" s="7"/>
      <c r="AE1116" s="7"/>
      <c r="AG1116" s="3" t="s">
        <v>768</v>
      </c>
      <c r="AH1116" s="3">
        <v>27</v>
      </c>
      <c r="AI1116" s="3">
        <v>28</v>
      </c>
      <c r="AM1116" s="3"/>
    </row>
    <row r="1117" spans="1:39" x14ac:dyDescent="0.3">
      <c r="A1117" s="5" t="str">
        <f t="shared" si="271"/>
        <v>SUB902</v>
      </c>
      <c r="B1117" s="1" t="s">
        <v>848</v>
      </c>
      <c r="C1117" s="2" t="str">
        <f t="shared" si="267"/>
        <v>DIO1</v>
      </c>
      <c r="D1117" s="2">
        <v>130</v>
      </c>
      <c r="E1117" s="3">
        <f t="shared" si="268"/>
        <v>2</v>
      </c>
      <c r="F1117" s="3">
        <f t="shared" si="269"/>
        <v>10</v>
      </c>
      <c r="G1117" s="3">
        <v>0</v>
      </c>
      <c r="H1117" s="60">
        <f t="shared" si="273"/>
        <v>1</v>
      </c>
      <c r="I1117" s="54">
        <f t="shared" si="272"/>
        <v>14</v>
      </c>
      <c r="J1117" s="61"/>
      <c r="K1117" s="30"/>
      <c r="L1117" s="1" t="s">
        <v>21</v>
      </c>
      <c r="M1117" s="2"/>
      <c r="Q1117" s="1" t="s">
        <v>302</v>
      </c>
      <c r="R1117" s="1" t="s">
        <v>302</v>
      </c>
      <c r="S1117" s="13"/>
      <c r="V1117" s="1" t="str">
        <f t="shared" si="270"/>
        <v>2.10\0.1:14</v>
      </c>
      <c r="Y1117" s="7"/>
      <c r="Z1117" s="206"/>
      <c r="AA1117" s="206"/>
      <c r="AC1117" s="7"/>
      <c r="AD1117" s="7"/>
      <c r="AE1117" s="7"/>
      <c r="AG1117" s="3" t="s">
        <v>768</v>
      </c>
      <c r="AH1117" s="3">
        <v>29</v>
      </c>
      <c r="AI1117" s="3">
        <v>30</v>
      </c>
      <c r="AM1117" s="3"/>
    </row>
    <row r="1118" spans="1:39" x14ac:dyDescent="0.3">
      <c r="A1118" s="5" t="str">
        <f t="shared" si="271"/>
        <v>SUB902</v>
      </c>
      <c r="B1118" s="1" t="s">
        <v>848</v>
      </c>
      <c r="C1118" s="2" t="str">
        <f t="shared" si="267"/>
        <v>DIO1</v>
      </c>
      <c r="D1118" s="2">
        <v>130</v>
      </c>
      <c r="E1118" s="3">
        <f t="shared" si="268"/>
        <v>2</v>
      </c>
      <c r="F1118" s="3">
        <f t="shared" si="269"/>
        <v>10</v>
      </c>
      <c r="G1118" s="3">
        <v>0</v>
      </c>
      <c r="H1118" s="60">
        <f t="shared" ref="H1118:H1134" si="274">H1114</f>
        <v>1</v>
      </c>
      <c r="I1118" s="54">
        <f t="shared" si="272"/>
        <v>15</v>
      </c>
      <c r="J1118" s="61"/>
      <c r="K1118" s="30"/>
      <c r="L1118" s="1" t="s">
        <v>21</v>
      </c>
      <c r="M1118" s="2">
        <v>4</v>
      </c>
      <c r="N1118" s="1" t="s">
        <v>907</v>
      </c>
      <c r="O1118" s="1" t="s">
        <v>999</v>
      </c>
      <c r="P1118" s="1" t="s">
        <v>871</v>
      </c>
      <c r="Q1118" s="1" t="s">
        <v>998</v>
      </c>
      <c r="R1118" s="1" t="s">
        <v>734</v>
      </c>
      <c r="S1118" s="13"/>
      <c r="T1118" s="1" t="s">
        <v>875</v>
      </c>
      <c r="V1118" s="1" t="str">
        <f t="shared" si="270"/>
        <v>2.10\0.1:15</v>
      </c>
      <c r="W1118" s="13" t="s">
        <v>867</v>
      </c>
      <c r="X1118" s="3" t="s">
        <v>4</v>
      </c>
      <c r="Y1118" s="266" t="s">
        <v>956</v>
      </c>
      <c r="Z1118" s="206"/>
      <c r="AA1118" s="206"/>
      <c r="AC1118" s="7"/>
      <c r="AD1118" s="7"/>
      <c r="AE1118" s="7"/>
      <c r="AG1118" s="3" t="s">
        <v>768</v>
      </c>
      <c r="AH1118" s="3">
        <v>31</v>
      </c>
      <c r="AI1118" s="3">
        <v>32</v>
      </c>
      <c r="AM1118" s="3"/>
    </row>
    <row r="1119" spans="1:39" x14ac:dyDescent="0.3">
      <c r="A1119" s="5" t="str">
        <f t="shared" si="271"/>
        <v>SUB902</v>
      </c>
      <c r="B1119" s="1" t="s">
        <v>848</v>
      </c>
      <c r="C1119" s="2" t="str">
        <f t="shared" si="267"/>
        <v>DIO1</v>
      </c>
      <c r="D1119" s="2">
        <v>130</v>
      </c>
      <c r="E1119" s="3">
        <f t="shared" si="268"/>
        <v>2</v>
      </c>
      <c r="F1119" s="3">
        <f t="shared" si="269"/>
        <v>10</v>
      </c>
      <c r="G1119" s="3">
        <v>0</v>
      </c>
      <c r="H1119" s="60">
        <f t="shared" si="274"/>
        <v>1</v>
      </c>
      <c r="I1119" s="54">
        <f t="shared" si="272"/>
        <v>16</v>
      </c>
      <c r="J1119" s="61"/>
      <c r="K1119" s="2"/>
      <c r="L1119" s="1" t="s">
        <v>21</v>
      </c>
      <c r="M1119" s="2">
        <v>4</v>
      </c>
      <c r="N1119" s="1" t="s">
        <v>886</v>
      </c>
      <c r="O1119" s="1" t="s">
        <v>997</v>
      </c>
      <c r="P1119" s="1" t="s">
        <v>871</v>
      </c>
      <c r="Q1119" s="1" t="s">
        <v>996</v>
      </c>
      <c r="R1119" s="1" t="s">
        <v>734</v>
      </c>
      <c r="S1119" s="13"/>
      <c r="T1119" s="1" t="s">
        <v>854</v>
      </c>
      <c r="V1119" s="1" t="str">
        <f t="shared" si="270"/>
        <v>2.10\0.1:16</v>
      </c>
      <c r="W1119" s="13" t="s">
        <v>867</v>
      </c>
      <c r="X1119" s="3" t="s">
        <v>4</v>
      </c>
      <c r="Y1119" s="266"/>
      <c r="Z1119" s="206"/>
      <c r="AA1119" s="206"/>
      <c r="AC1119" s="7"/>
      <c r="AD1119" s="7"/>
      <c r="AE1119" s="7"/>
      <c r="AG1119" s="3" t="s">
        <v>768</v>
      </c>
      <c r="AH1119" s="3">
        <v>33</v>
      </c>
      <c r="AI1119" s="3">
        <v>34</v>
      </c>
      <c r="AM1119" s="3"/>
    </row>
    <row r="1120" spans="1:39" ht="14.5" x14ac:dyDescent="0.35">
      <c r="A1120" s="5" t="str">
        <f t="shared" si="271"/>
        <v>SUB902</v>
      </c>
      <c r="B1120" s="1" t="s">
        <v>848</v>
      </c>
      <c r="C1120" s="2" t="str">
        <f t="shared" si="267"/>
        <v>DIO1</v>
      </c>
      <c r="D1120" s="2">
        <v>130</v>
      </c>
      <c r="E1120" s="3">
        <f t="shared" si="268"/>
        <v>2</v>
      </c>
      <c r="F1120" s="3">
        <f t="shared" si="269"/>
        <v>10</v>
      </c>
      <c r="G1120" s="3">
        <v>0</v>
      </c>
      <c r="H1120" s="60">
        <f t="shared" si="274"/>
        <v>1</v>
      </c>
      <c r="I1120" s="54">
        <f t="shared" si="272"/>
        <v>17</v>
      </c>
      <c r="J1120" s="61"/>
      <c r="K1120" s="30"/>
      <c r="L1120" s="1" t="s">
        <v>21</v>
      </c>
      <c r="M1120" s="2"/>
      <c r="Q1120" s="41" t="s">
        <v>302</v>
      </c>
      <c r="R1120" s="1" t="s">
        <v>302</v>
      </c>
      <c r="S1120" s="13"/>
      <c r="V1120" s="1" t="str">
        <f t="shared" si="270"/>
        <v>2.10\0.1:17</v>
      </c>
      <c r="Y1120" s="219"/>
      <c r="Z1120" s="206"/>
      <c r="AA1120" s="206"/>
      <c r="AC1120" s="7"/>
      <c r="AD1120" s="7"/>
      <c r="AE1120" s="7"/>
      <c r="AG1120" s="3" t="s">
        <v>768</v>
      </c>
      <c r="AH1120" s="3">
        <v>35</v>
      </c>
      <c r="AI1120" s="3">
        <v>36</v>
      </c>
      <c r="AM1120" s="3"/>
    </row>
    <row r="1121" spans="1:39" ht="14.5" x14ac:dyDescent="0.35">
      <c r="A1121" s="5" t="str">
        <f t="shared" si="271"/>
        <v>SUB902</v>
      </c>
      <c r="B1121" s="1" t="s">
        <v>848</v>
      </c>
      <c r="C1121" s="2" t="str">
        <f t="shared" si="267"/>
        <v>DIO1</v>
      </c>
      <c r="D1121" s="2">
        <v>130</v>
      </c>
      <c r="E1121" s="3">
        <f t="shared" si="268"/>
        <v>2</v>
      </c>
      <c r="F1121" s="3">
        <f t="shared" si="269"/>
        <v>10</v>
      </c>
      <c r="G1121" s="3">
        <v>0</v>
      </c>
      <c r="H1121" s="60">
        <f t="shared" si="274"/>
        <v>1</v>
      </c>
      <c r="I1121" s="54">
        <f t="shared" si="272"/>
        <v>18</v>
      </c>
      <c r="J1121" s="61"/>
      <c r="K1121" s="30"/>
      <c r="L1121" s="1" t="s">
        <v>21</v>
      </c>
      <c r="M1121" s="2"/>
      <c r="Q1121" s="41" t="s">
        <v>302</v>
      </c>
      <c r="R1121" s="1" t="s">
        <v>302</v>
      </c>
      <c r="S1121" s="13"/>
      <c r="V1121" s="1" t="str">
        <f t="shared" si="270"/>
        <v>2.10\0.1:18</v>
      </c>
      <c r="Y1121" s="219"/>
      <c r="Z1121" s="206"/>
      <c r="AA1121" s="206"/>
      <c r="AC1121" s="7"/>
      <c r="AD1121" s="7"/>
      <c r="AE1121" s="7"/>
      <c r="AG1121" s="3" t="s">
        <v>768</v>
      </c>
      <c r="AH1121" s="3">
        <v>37</v>
      </c>
      <c r="AI1121" s="3">
        <v>38</v>
      </c>
      <c r="AM1121" s="3"/>
    </row>
    <row r="1122" spans="1:39" ht="29" x14ac:dyDescent="0.3">
      <c r="A1122" s="5" t="str">
        <f t="shared" si="271"/>
        <v>SUB902</v>
      </c>
      <c r="B1122" s="1" t="s">
        <v>848</v>
      </c>
      <c r="C1122" s="2" t="str">
        <f t="shared" si="267"/>
        <v>DIO1</v>
      </c>
      <c r="D1122" s="2">
        <v>130</v>
      </c>
      <c r="E1122" s="3">
        <f t="shared" si="268"/>
        <v>2</v>
      </c>
      <c r="F1122" s="3">
        <f t="shared" si="269"/>
        <v>10</v>
      </c>
      <c r="G1122" s="3">
        <v>0</v>
      </c>
      <c r="H1122" s="60">
        <f t="shared" si="274"/>
        <v>1</v>
      </c>
      <c r="I1122" s="54">
        <f t="shared" si="272"/>
        <v>19</v>
      </c>
      <c r="J1122" s="61"/>
      <c r="K1122" s="30"/>
      <c r="L1122" s="1" t="s">
        <v>21</v>
      </c>
      <c r="M1122" s="2">
        <v>4</v>
      </c>
      <c r="N1122" s="1" t="s">
        <v>995</v>
      </c>
      <c r="O1122" s="220" t="s">
        <v>994</v>
      </c>
      <c r="P1122" s="220" t="s">
        <v>871</v>
      </c>
      <c r="Q1122" s="221" t="s">
        <v>993</v>
      </c>
      <c r="R1122" s="220" t="s">
        <v>992</v>
      </c>
      <c r="S1122" s="13"/>
      <c r="T1122" s="1" t="s">
        <v>875</v>
      </c>
      <c r="V1122" s="1" t="str">
        <f t="shared" si="270"/>
        <v>2.10\0.1:19</v>
      </c>
      <c r="W1122" s="13" t="s">
        <v>853</v>
      </c>
      <c r="X1122" s="3" t="s">
        <v>4</v>
      </c>
      <c r="Y1122" s="63" t="s">
        <v>991</v>
      </c>
      <c r="Z1122" s="206"/>
      <c r="AA1122" s="206"/>
      <c r="AC1122" s="7"/>
      <c r="AD1122" s="7"/>
      <c r="AE1122" s="7"/>
      <c r="AG1122" s="3" t="s">
        <v>768</v>
      </c>
      <c r="AH1122" s="3">
        <v>39</v>
      </c>
      <c r="AI1122" s="3">
        <v>40</v>
      </c>
      <c r="AM1122" s="3"/>
    </row>
    <row r="1123" spans="1:39" ht="29" x14ac:dyDescent="0.3">
      <c r="A1123" s="5" t="str">
        <f t="shared" si="271"/>
        <v>SUB902</v>
      </c>
      <c r="B1123" s="1" t="s">
        <v>848</v>
      </c>
      <c r="C1123" s="2" t="str">
        <f t="shared" si="267"/>
        <v>DIO1</v>
      </c>
      <c r="D1123" s="2">
        <v>130</v>
      </c>
      <c r="E1123" s="3">
        <f t="shared" si="268"/>
        <v>2</v>
      </c>
      <c r="F1123" s="3">
        <f t="shared" si="269"/>
        <v>10</v>
      </c>
      <c r="G1123" s="3">
        <v>0</v>
      </c>
      <c r="H1123" s="60">
        <f t="shared" si="274"/>
        <v>1</v>
      </c>
      <c r="I1123" s="54">
        <f t="shared" si="272"/>
        <v>20</v>
      </c>
      <c r="J1123" s="61"/>
      <c r="K1123" s="30"/>
      <c r="L1123" s="1" t="s">
        <v>21</v>
      </c>
      <c r="M1123" s="2">
        <v>4</v>
      </c>
      <c r="N1123" s="1" t="s">
        <v>990</v>
      </c>
      <c r="O1123" s="1" t="s">
        <v>989</v>
      </c>
      <c r="P1123" s="1" t="s">
        <v>871</v>
      </c>
      <c r="Q1123" s="2" t="s">
        <v>988</v>
      </c>
      <c r="R1123" s="2" t="s">
        <v>734</v>
      </c>
      <c r="S1123" s="13"/>
      <c r="T1123" s="1" t="s">
        <v>845</v>
      </c>
      <c r="V1123" s="1" t="str">
        <f t="shared" si="270"/>
        <v>2.10\0.1:20</v>
      </c>
      <c r="W1123" s="13" t="s">
        <v>853</v>
      </c>
      <c r="X1123" s="3" t="s">
        <v>4</v>
      </c>
      <c r="Y1123" s="63" t="s">
        <v>987</v>
      </c>
      <c r="Z1123" s="206"/>
      <c r="AA1123" s="206"/>
      <c r="AC1123" s="7"/>
      <c r="AD1123" s="7"/>
      <c r="AE1123" s="7"/>
      <c r="AG1123" s="3" t="s">
        <v>768</v>
      </c>
      <c r="AH1123" s="3">
        <v>41</v>
      </c>
      <c r="AI1123" s="3">
        <v>42</v>
      </c>
      <c r="AM1123" s="3"/>
    </row>
    <row r="1124" spans="1:39" ht="29" x14ac:dyDescent="0.3">
      <c r="A1124" s="5" t="str">
        <f t="shared" si="271"/>
        <v>SUB902</v>
      </c>
      <c r="B1124" s="1" t="s">
        <v>848</v>
      </c>
      <c r="C1124" s="2" t="str">
        <f t="shared" si="267"/>
        <v>DIO1</v>
      </c>
      <c r="D1124" s="2">
        <v>130</v>
      </c>
      <c r="E1124" s="3">
        <f t="shared" si="268"/>
        <v>2</v>
      </c>
      <c r="F1124" s="3">
        <f t="shared" si="269"/>
        <v>10</v>
      </c>
      <c r="G1124" s="3">
        <v>0</v>
      </c>
      <c r="H1124" s="60">
        <f t="shared" si="274"/>
        <v>1</v>
      </c>
      <c r="I1124" s="54">
        <f t="shared" si="272"/>
        <v>21</v>
      </c>
      <c r="J1124" s="61"/>
      <c r="K1124" s="30"/>
      <c r="L1124" s="1" t="s">
        <v>21</v>
      </c>
      <c r="M1124" s="2">
        <v>4</v>
      </c>
      <c r="N1124" s="1" t="s">
        <v>986</v>
      </c>
      <c r="O1124" s="1" t="s">
        <v>985</v>
      </c>
      <c r="P1124" s="1" t="s">
        <v>871</v>
      </c>
      <c r="Q1124" s="2" t="s">
        <v>984</v>
      </c>
      <c r="R1124" s="2" t="s">
        <v>734</v>
      </c>
      <c r="S1124" s="13"/>
      <c r="T1124" s="1" t="s">
        <v>838</v>
      </c>
      <c r="V1124" s="1" t="str">
        <f t="shared" si="270"/>
        <v>2.10\0.1:21</v>
      </c>
      <c r="W1124" s="13" t="s">
        <v>853</v>
      </c>
      <c r="X1124" s="3" t="s">
        <v>4</v>
      </c>
      <c r="Y1124" s="63" t="s">
        <v>983</v>
      </c>
      <c r="Z1124" s="206"/>
      <c r="AA1124" s="206"/>
      <c r="AC1124" s="7"/>
      <c r="AD1124" s="7"/>
      <c r="AE1124" s="7"/>
      <c r="AG1124" s="3" t="s">
        <v>768</v>
      </c>
      <c r="AH1124" s="3">
        <v>43</v>
      </c>
      <c r="AI1124" s="3">
        <v>44</v>
      </c>
      <c r="AM1124" s="3"/>
    </row>
    <row r="1125" spans="1:39" ht="14.5" x14ac:dyDescent="0.35">
      <c r="A1125" s="5" t="str">
        <f t="shared" si="271"/>
        <v>SUB902</v>
      </c>
      <c r="B1125" s="1" t="s">
        <v>848</v>
      </c>
      <c r="C1125" s="2" t="str">
        <f t="shared" si="267"/>
        <v>DIO1</v>
      </c>
      <c r="D1125" s="2">
        <v>130</v>
      </c>
      <c r="E1125" s="3">
        <f t="shared" si="268"/>
        <v>2</v>
      </c>
      <c r="F1125" s="3">
        <f t="shared" si="269"/>
        <v>10</v>
      </c>
      <c r="G1125" s="3">
        <v>0</v>
      </c>
      <c r="H1125" s="60">
        <f t="shared" si="274"/>
        <v>1</v>
      </c>
      <c r="I1125" s="54">
        <f t="shared" si="272"/>
        <v>22</v>
      </c>
      <c r="J1125" s="61"/>
      <c r="K1125" s="30"/>
      <c r="L1125" s="1" t="s">
        <v>21</v>
      </c>
      <c r="M1125" s="2"/>
      <c r="Q1125" s="2" t="s">
        <v>302</v>
      </c>
      <c r="R1125" s="2" t="s">
        <v>302</v>
      </c>
      <c r="S1125" s="13"/>
      <c r="V1125" s="1" t="str">
        <f t="shared" si="270"/>
        <v>2.10\0.1:22</v>
      </c>
      <c r="Y1125" s="219"/>
      <c r="AG1125" s="3" t="s">
        <v>768</v>
      </c>
      <c r="AH1125" s="3">
        <v>45</v>
      </c>
      <c r="AI1125" s="3">
        <v>46</v>
      </c>
      <c r="AM1125" s="3"/>
    </row>
    <row r="1126" spans="1:39" ht="14.5" x14ac:dyDescent="0.35">
      <c r="A1126" s="5" t="str">
        <f t="shared" si="271"/>
        <v>SUB902</v>
      </c>
      <c r="B1126" s="1" t="s">
        <v>848</v>
      </c>
      <c r="C1126" s="2" t="str">
        <f t="shared" si="267"/>
        <v>DIO1</v>
      </c>
      <c r="D1126" s="2">
        <v>130</v>
      </c>
      <c r="E1126" s="3">
        <f t="shared" si="268"/>
        <v>2</v>
      </c>
      <c r="F1126" s="3">
        <f t="shared" si="269"/>
        <v>10</v>
      </c>
      <c r="G1126" s="3">
        <v>0</v>
      </c>
      <c r="H1126" s="60">
        <f t="shared" si="274"/>
        <v>1</v>
      </c>
      <c r="I1126" s="54">
        <f t="shared" si="272"/>
        <v>23</v>
      </c>
      <c r="J1126" s="61"/>
      <c r="K1126" s="30"/>
      <c r="L1126" s="1" t="s">
        <v>21</v>
      </c>
      <c r="M1126" s="2"/>
      <c r="Q1126" s="2" t="s">
        <v>302</v>
      </c>
      <c r="R1126" s="2" t="s">
        <v>302</v>
      </c>
      <c r="S1126" s="13"/>
      <c r="V1126" s="1" t="str">
        <f t="shared" si="270"/>
        <v>2.10\0.1:23</v>
      </c>
      <c r="Y1126" s="219"/>
      <c r="AG1126" s="3" t="s">
        <v>768</v>
      </c>
      <c r="AH1126" s="3">
        <v>47</v>
      </c>
      <c r="AI1126" s="3">
        <v>48</v>
      </c>
      <c r="AM1126" s="3"/>
    </row>
    <row r="1127" spans="1:39" ht="14.5" x14ac:dyDescent="0.35">
      <c r="A1127" s="5" t="str">
        <f t="shared" si="271"/>
        <v>SUB902</v>
      </c>
      <c r="B1127" s="1" t="s">
        <v>848</v>
      </c>
      <c r="C1127" s="2" t="str">
        <f t="shared" si="267"/>
        <v>DIO1</v>
      </c>
      <c r="D1127" s="2">
        <v>130</v>
      </c>
      <c r="E1127" s="3">
        <f t="shared" si="268"/>
        <v>2</v>
      </c>
      <c r="F1127" s="3">
        <f t="shared" si="269"/>
        <v>10</v>
      </c>
      <c r="G1127" s="3">
        <v>0</v>
      </c>
      <c r="H1127" s="60">
        <f t="shared" si="274"/>
        <v>1</v>
      </c>
      <c r="I1127" s="54">
        <f t="shared" si="272"/>
        <v>24</v>
      </c>
      <c r="J1127" s="61"/>
      <c r="K1127" s="30"/>
      <c r="L1127" s="1" t="s">
        <v>21</v>
      </c>
      <c r="M1127" s="2"/>
      <c r="Q1127" s="2" t="s">
        <v>302</v>
      </c>
      <c r="R1127" s="2" t="s">
        <v>302</v>
      </c>
      <c r="S1127" s="13"/>
      <c r="V1127" s="1" t="str">
        <f t="shared" si="270"/>
        <v>2.10\0.1:24</v>
      </c>
      <c r="Y1127" s="219"/>
      <c r="AG1127" s="3" t="s">
        <v>768</v>
      </c>
      <c r="AH1127" s="3">
        <v>49</v>
      </c>
      <c r="AI1127" s="3">
        <v>50</v>
      </c>
      <c r="AM1127" s="3"/>
    </row>
    <row r="1128" spans="1:39" ht="14.5" x14ac:dyDescent="0.35">
      <c r="A1128" s="5" t="str">
        <f t="shared" si="271"/>
        <v>SUB902</v>
      </c>
      <c r="B1128" s="1" t="s">
        <v>848</v>
      </c>
      <c r="C1128" s="2" t="str">
        <f t="shared" si="267"/>
        <v>DIO1</v>
      </c>
      <c r="D1128" s="2">
        <v>130</v>
      </c>
      <c r="E1128" s="3">
        <f t="shared" si="268"/>
        <v>2</v>
      </c>
      <c r="F1128" s="3">
        <f t="shared" si="269"/>
        <v>10</v>
      </c>
      <c r="G1128" s="3">
        <v>0</v>
      </c>
      <c r="H1128" s="60">
        <f t="shared" si="274"/>
        <v>1</v>
      </c>
      <c r="I1128" s="54">
        <f t="shared" si="272"/>
        <v>25</v>
      </c>
      <c r="J1128" s="61"/>
      <c r="K1128" s="30"/>
      <c r="L1128" s="1" t="s">
        <v>21</v>
      </c>
      <c r="M1128" s="2">
        <v>4</v>
      </c>
      <c r="N1128" s="1" t="s">
        <v>976</v>
      </c>
      <c r="O1128" s="1" t="s">
        <v>448</v>
      </c>
      <c r="Q1128" s="1" t="s">
        <v>982</v>
      </c>
      <c r="R1128" s="1" t="s">
        <v>18</v>
      </c>
      <c r="S1128" s="13" t="s">
        <v>446</v>
      </c>
      <c r="T1128" s="1" t="s">
        <v>976</v>
      </c>
      <c r="V1128" s="1" t="str">
        <f t="shared" si="270"/>
        <v>2.10\0.1:25</v>
      </c>
      <c r="W1128" s="1" t="s">
        <v>971</v>
      </c>
      <c r="X1128" s="18" t="s">
        <v>4</v>
      </c>
      <c r="Y1128" s="85" t="s">
        <v>445</v>
      </c>
      <c r="AG1128" s="3" t="s">
        <v>768</v>
      </c>
      <c r="AH1128" s="3">
        <v>51</v>
      </c>
      <c r="AI1128" s="3">
        <v>52</v>
      </c>
      <c r="AM1128" s="3"/>
    </row>
    <row r="1129" spans="1:39" ht="14.5" x14ac:dyDescent="0.35">
      <c r="A1129" s="5" t="str">
        <f t="shared" si="271"/>
        <v>SUB902</v>
      </c>
      <c r="B1129" s="1" t="s">
        <v>848</v>
      </c>
      <c r="C1129" s="2" t="str">
        <f t="shared" si="267"/>
        <v>DIO1</v>
      </c>
      <c r="D1129" s="2">
        <v>130</v>
      </c>
      <c r="E1129" s="3">
        <f t="shared" si="268"/>
        <v>2</v>
      </c>
      <c r="F1129" s="3">
        <f t="shared" si="269"/>
        <v>10</v>
      </c>
      <c r="G1129" s="3">
        <v>0</v>
      </c>
      <c r="H1129" s="60">
        <f t="shared" si="274"/>
        <v>1</v>
      </c>
      <c r="I1129" s="54">
        <f t="shared" si="272"/>
        <v>26</v>
      </c>
      <c r="J1129" s="61"/>
      <c r="K1129" s="30"/>
      <c r="L1129" s="1" t="s">
        <v>21</v>
      </c>
      <c r="M1129" s="2">
        <v>4</v>
      </c>
      <c r="N1129" s="1" t="s">
        <v>976</v>
      </c>
      <c r="O1129" s="1" t="s">
        <v>435</v>
      </c>
      <c r="Q1129" s="1" t="s">
        <v>981</v>
      </c>
      <c r="R1129" s="1" t="s">
        <v>18</v>
      </c>
      <c r="S1129" s="13" t="s">
        <v>443</v>
      </c>
      <c r="T1129" s="1" t="s">
        <v>976</v>
      </c>
      <c r="V1129" s="1" t="str">
        <f t="shared" si="270"/>
        <v>2.10\0.1:26</v>
      </c>
      <c r="W1129" s="1" t="s">
        <v>971</v>
      </c>
      <c r="X1129" s="18" t="s">
        <v>4</v>
      </c>
      <c r="Y1129" s="85" t="s">
        <v>445</v>
      </c>
      <c r="AG1129" s="3" t="s">
        <v>768</v>
      </c>
      <c r="AH1129" s="3">
        <v>53</v>
      </c>
      <c r="AI1129" s="3">
        <v>54</v>
      </c>
      <c r="AM1129" s="3"/>
    </row>
    <row r="1130" spans="1:39" ht="14.5" x14ac:dyDescent="0.35">
      <c r="A1130" s="5" t="str">
        <f t="shared" si="271"/>
        <v>SUB902</v>
      </c>
      <c r="B1130" s="1" t="s">
        <v>848</v>
      </c>
      <c r="C1130" s="2" t="str">
        <f t="shared" si="267"/>
        <v>DIO1</v>
      </c>
      <c r="D1130" s="2">
        <v>130</v>
      </c>
      <c r="E1130" s="3">
        <f t="shared" si="268"/>
        <v>2</v>
      </c>
      <c r="F1130" s="3">
        <f t="shared" si="269"/>
        <v>10</v>
      </c>
      <c r="G1130" s="3">
        <v>0</v>
      </c>
      <c r="H1130" s="60">
        <f t="shared" si="274"/>
        <v>1</v>
      </c>
      <c r="I1130" s="54">
        <f t="shared" si="272"/>
        <v>27</v>
      </c>
      <c r="J1130" s="61"/>
      <c r="K1130" s="30"/>
      <c r="L1130" s="1" t="s">
        <v>21</v>
      </c>
      <c r="M1130" s="2">
        <v>4</v>
      </c>
      <c r="N1130" s="1" t="s">
        <v>976</v>
      </c>
      <c r="O1130" s="1" t="s">
        <v>422</v>
      </c>
      <c r="Q1130" s="1" t="s">
        <v>980</v>
      </c>
      <c r="R1130" s="1" t="s">
        <v>18</v>
      </c>
      <c r="S1130" s="13" t="s">
        <v>979</v>
      </c>
      <c r="T1130" s="1" t="s">
        <v>976</v>
      </c>
      <c r="V1130" s="1" t="str">
        <f t="shared" si="270"/>
        <v>2.10\0.1:27</v>
      </c>
      <c r="W1130" s="1" t="s">
        <v>971</v>
      </c>
      <c r="X1130" s="18" t="s">
        <v>4</v>
      </c>
      <c r="Y1130" s="85" t="s">
        <v>445</v>
      </c>
      <c r="AG1130" s="3" t="s">
        <v>768</v>
      </c>
      <c r="AH1130" s="3">
        <v>55</v>
      </c>
      <c r="AI1130" s="3">
        <v>56</v>
      </c>
      <c r="AM1130" s="3"/>
    </row>
    <row r="1131" spans="1:39" ht="14.5" x14ac:dyDescent="0.35">
      <c r="A1131" s="5" t="str">
        <f t="shared" si="271"/>
        <v>SUB902</v>
      </c>
      <c r="B1131" s="1" t="s">
        <v>848</v>
      </c>
      <c r="C1131" s="2" t="str">
        <f t="shared" si="267"/>
        <v>DIO1</v>
      </c>
      <c r="D1131" s="2">
        <v>130</v>
      </c>
      <c r="E1131" s="3">
        <f t="shared" si="268"/>
        <v>2</v>
      </c>
      <c r="F1131" s="3">
        <f t="shared" si="269"/>
        <v>10</v>
      </c>
      <c r="G1131" s="3">
        <v>0</v>
      </c>
      <c r="H1131" s="60">
        <f t="shared" si="274"/>
        <v>1</v>
      </c>
      <c r="I1131" s="54">
        <f t="shared" si="272"/>
        <v>28</v>
      </c>
      <c r="J1131" s="61"/>
      <c r="K1131" s="30"/>
      <c r="L1131" s="1" t="s">
        <v>21</v>
      </c>
      <c r="M1131" s="2">
        <v>4</v>
      </c>
      <c r="N1131" s="1" t="s">
        <v>976</v>
      </c>
      <c r="O1131" s="1" t="s">
        <v>644</v>
      </c>
      <c r="Q1131" s="1" t="s">
        <v>978</v>
      </c>
      <c r="R1131" s="1" t="s">
        <v>18</v>
      </c>
      <c r="S1131" s="13" t="s">
        <v>977</v>
      </c>
      <c r="T1131" s="1" t="s">
        <v>976</v>
      </c>
      <c r="V1131" s="1" t="str">
        <f t="shared" si="270"/>
        <v>2.10\0.1:28</v>
      </c>
      <c r="W1131" s="1" t="s">
        <v>971</v>
      </c>
      <c r="X1131" s="18" t="s">
        <v>4</v>
      </c>
      <c r="Y1131" s="85" t="s">
        <v>445</v>
      </c>
      <c r="AG1131" s="3" t="s">
        <v>768</v>
      </c>
      <c r="AH1131" s="3">
        <v>57</v>
      </c>
      <c r="AI1131" s="3">
        <v>58</v>
      </c>
      <c r="AM1131" s="3"/>
    </row>
    <row r="1132" spans="1:39" ht="14.5" x14ac:dyDescent="0.35">
      <c r="A1132" s="5" t="str">
        <f t="shared" si="271"/>
        <v>SUB902</v>
      </c>
      <c r="B1132" s="1" t="s">
        <v>848</v>
      </c>
      <c r="C1132" s="2" t="str">
        <f t="shared" ref="C1132:C1163" si="275">+C1131</f>
        <v>DIO1</v>
      </c>
      <c r="D1132" s="2">
        <v>130</v>
      </c>
      <c r="E1132" s="3">
        <f t="shared" ref="E1132:E1163" si="276">+E1131</f>
        <v>2</v>
      </c>
      <c r="F1132" s="3">
        <f t="shared" ref="F1132:F1163" si="277">+F1131</f>
        <v>10</v>
      </c>
      <c r="G1132" s="3">
        <v>0</v>
      </c>
      <c r="H1132" s="60">
        <f t="shared" si="274"/>
        <v>1</v>
      </c>
      <c r="I1132" s="54">
        <f t="shared" si="272"/>
        <v>29</v>
      </c>
      <c r="J1132" s="61"/>
      <c r="K1132" s="30"/>
      <c r="L1132" s="1" t="s">
        <v>21</v>
      </c>
      <c r="M1132" s="2">
        <v>4</v>
      </c>
      <c r="N1132" s="1" t="s">
        <v>973</v>
      </c>
      <c r="O1132" s="1" t="s">
        <v>72</v>
      </c>
      <c r="Q1132" s="1" t="s">
        <v>975</v>
      </c>
      <c r="R1132" s="1" t="s">
        <v>24</v>
      </c>
      <c r="S1132" s="13" t="s">
        <v>974</v>
      </c>
      <c r="T1132" s="13" t="s">
        <v>973</v>
      </c>
      <c r="V1132" s="1" t="str">
        <f t="shared" si="270"/>
        <v>2.10\0.1:29</v>
      </c>
      <c r="W1132" s="1" t="s">
        <v>971</v>
      </c>
      <c r="X1132" s="18" t="s">
        <v>4</v>
      </c>
      <c r="Y1132" s="219"/>
      <c r="AG1132" s="3" t="s">
        <v>768</v>
      </c>
      <c r="AH1132" s="3">
        <v>59</v>
      </c>
      <c r="AI1132" s="3">
        <v>60</v>
      </c>
      <c r="AM1132" s="3"/>
    </row>
    <row r="1133" spans="1:39" ht="14.5" x14ac:dyDescent="0.35">
      <c r="A1133" s="5" t="str">
        <f t="shared" si="271"/>
        <v>SUB902</v>
      </c>
      <c r="B1133" s="1" t="s">
        <v>848</v>
      </c>
      <c r="C1133" s="2" t="str">
        <f t="shared" si="275"/>
        <v>DIO1</v>
      </c>
      <c r="D1133" s="2">
        <v>130</v>
      </c>
      <c r="E1133" s="3">
        <f t="shared" si="276"/>
        <v>2</v>
      </c>
      <c r="F1133" s="3">
        <f t="shared" si="277"/>
        <v>10</v>
      </c>
      <c r="G1133" s="3">
        <v>0</v>
      </c>
      <c r="H1133" s="60">
        <f t="shared" si="274"/>
        <v>1</v>
      </c>
      <c r="I1133" s="54">
        <f t="shared" si="272"/>
        <v>30</v>
      </c>
      <c r="J1133" s="61"/>
      <c r="K1133" s="30"/>
      <c r="L1133" s="1" t="s">
        <v>21</v>
      </c>
      <c r="M1133" s="2">
        <v>4</v>
      </c>
      <c r="N1133" s="1" t="s">
        <v>973</v>
      </c>
      <c r="O1133" s="1" t="s">
        <v>439</v>
      </c>
      <c r="Q1133" s="1" t="s">
        <v>662</v>
      </c>
      <c r="R1133" s="1" t="s">
        <v>24</v>
      </c>
      <c r="S1133" s="13" t="s">
        <v>766</v>
      </c>
      <c r="T1133" s="13" t="s">
        <v>973</v>
      </c>
      <c r="V1133" s="1" t="str">
        <f t="shared" si="270"/>
        <v>2.10\0.1:30</v>
      </c>
      <c r="W1133" s="1" t="s">
        <v>971</v>
      </c>
      <c r="X1133" s="18" t="s">
        <v>4</v>
      </c>
      <c r="Y1133" s="219"/>
      <c r="AG1133" s="3" t="s">
        <v>768</v>
      </c>
      <c r="AH1133" s="3">
        <v>61</v>
      </c>
      <c r="AI1133" s="3">
        <v>62</v>
      </c>
      <c r="AM1133" s="3"/>
    </row>
    <row r="1134" spans="1:39" ht="29.5" thickBot="1" x14ac:dyDescent="0.35">
      <c r="A1134" s="5" t="str">
        <f t="shared" si="271"/>
        <v>SUB902</v>
      </c>
      <c r="B1134" s="1" t="s">
        <v>848</v>
      </c>
      <c r="C1134" s="2" t="str">
        <f t="shared" si="275"/>
        <v>DIO1</v>
      </c>
      <c r="D1134" s="2">
        <v>130</v>
      </c>
      <c r="E1134" s="3">
        <f t="shared" si="276"/>
        <v>2</v>
      </c>
      <c r="F1134" s="3">
        <f t="shared" si="277"/>
        <v>10</v>
      </c>
      <c r="G1134" s="3">
        <v>0</v>
      </c>
      <c r="H1134" s="60">
        <f t="shared" si="274"/>
        <v>1</v>
      </c>
      <c r="I1134" s="59">
        <f t="shared" si="272"/>
        <v>31</v>
      </c>
      <c r="J1134" s="58"/>
      <c r="K1134" s="30"/>
      <c r="L1134" s="1" t="s">
        <v>21</v>
      </c>
      <c r="M1134" s="2">
        <v>4</v>
      </c>
      <c r="N1134" s="1" t="s">
        <v>851</v>
      </c>
      <c r="O1134" s="1" t="s">
        <v>448</v>
      </c>
      <c r="Q1134" s="1" t="s">
        <v>972</v>
      </c>
      <c r="R1134" s="1" t="s">
        <v>18</v>
      </c>
      <c r="S1134" s="13" t="s">
        <v>631</v>
      </c>
      <c r="T1134" s="13" t="s">
        <v>851</v>
      </c>
      <c r="V1134" s="1" t="str">
        <f t="shared" si="270"/>
        <v>2.10\0.1:31</v>
      </c>
      <c r="W1134" s="1" t="s">
        <v>971</v>
      </c>
      <c r="X1134" s="18" t="s">
        <v>4</v>
      </c>
      <c r="Y1134" s="63" t="s">
        <v>970</v>
      </c>
      <c r="AG1134" s="3" t="s">
        <v>768</v>
      </c>
      <c r="AH1134" s="3">
        <v>63</v>
      </c>
      <c r="AI1134" s="3">
        <v>64</v>
      </c>
      <c r="AM1134" s="3"/>
    </row>
    <row r="1135" spans="1:39" x14ac:dyDescent="0.3">
      <c r="A1135" s="76" t="s">
        <v>849</v>
      </c>
      <c r="B1135" s="1" t="s">
        <v>848</v>
      </c>
      <c r="C1135" s="2" t="str">
        <f t="shared" si="275"/>
        <v>DIO1</v>
      </c>
      <c r="D1135" s="2">
        <v>130</v>
      </c>
      <c r="E1135" s="3">
        <f t="shared" si="276"/>
        <v>2</v>
      </c>
      <c r="F1135" s="3">
        <f t="shared" si="277"/>
        <v>10</v>
      </c>
      <c r="G1135" s="3">
        <v>0</v>
      </c>
      <c r="H1135" s="57">
        <f>+H1119+1</f>
        <v>2</v>
      </c>
      <c r="I1135" s="56">
        <v>0</v>
      </c>
      <c r="J1135" s="222" t="s">
        <v>316</v>
      </c>
      <c r="K1135" s="2" t="s">
        <v>315</v>
      </c>
      <c r="L1135" s="1" t="s">
        <v>21</v>
      </c>
      <c r="M1135" s="2">
        <v>4</v>
      </c>
      <c r="N1135" s="1" t="s">
        <v>847</v>
      </c>
      <c r="O1135" s="1" t="s">
        <v>962</v>
      </c>
      <c r="P1135" s="1" t="s">
        <v>846</v>
      </c>
      <c r="Q1135" s="1" t="s">
        <v>963</v>
      </c>
      <c r="R1135" s="1" t="s">
        <v>46</v>
      </c>
      <c r="S1135" s="13" t="s">
        <v>962</v>
      </c>
      <c r="T1135" s="1" t="s">
        <v>845</v>
      </c>
      <c r="V1135" s="1" t="str">
        <f t="shared" ref="V1135:V1166" si="278">+CONCATENATE(E1135,".",F1135,"\",G1135,".",H1135,":",I1135)</f>
        <v>2.10\0.2:0</v>
      </c>
      <c r="W1135" s="1" t="s">
        <v>969</v>
      </c>
      <c r="Y1135" s="268" t="s">
        <v>844</v>
      </c>
      <c r="Z1135" s="206"/>
      <c r="AA1135" s="206"/>
      <c r="AC1135" s="7"/>
      <c r="AD1135" s="7"/>
      <c r="AE1135" s="7"/>
      <c r="AG1135" s="3" t="s">
        <v>732</v>
      </c>
      <c r="AH1135" s="3">
        <v>1</v>
      </c>
      <c r="AI1135" s="3">
        <v>2</v>
      </c>
      <c r="AM1135" s="3"/>
    </row>
    <row r="1136" spans="1:39" x14ac:dyDescent="0.3">
      <c r="A1136" s="5" t="str">
        <f t="shared" ref="A1136:A1166" si="279">A1135</f>
        <v>SUB902</v>
      </c>
      <c r="B1136" s="1" t="s">
        <v>848</v>
      </c>
      <c r="C1136" s="2" t="str">
        <f t="shared" si="275"/>
        <v>DIO1</v>
      </c>
      <c r="D1136" s="2">
        <v>130</v>
      </c>
      <c r="E1136" s="3">
        <f t="shared" si="276"/>
        <v>2</v>
      </c>
      <c r="F1136" s="3">
        <f t="shared" si="277"/>
        <v>10</v>
      </c>
      <c r="G1136" s="3">
        <v>0</v>
      </c>
      <c r="H1136" s="60">
        <f>H1135</f>
        <v>2</v>
      </c>
      <c r="I1136" s="54">
        <f t="shared" ref="I1136:I1166" si="280">+I1135+1</f>
        <v>1</v>
      </c>
      <c r="J1136" s="61"/>
      <c r="L1136" s="1" t="s">
        <v>21</v>
      </c>
      <c r="M1136" s="2">
        <v>4</v>
      </c>
      <c r="N1136" s="1" t="s">
        <v>847</v>
      </c>
      <c r="O1136" s="1" t="s">
        <v>959</v>
      </c>
      <c r="P1136" s="1" t="s">
        <v>846</v>
      </c>
      <c r="Q1136" s="1" t="s">
        <v>960</v>
      </c>
      <c r="R1136" s="1" t="s">
        <v>46</v>
      </c>
      <c r="S1136" s="13" t="s">
        <v>959</v>
      </c>
      <c r="T1136" s="1" t="s">
        <v>845</v>
      </c>
      <c r="V1136" s="1" t="str">
        <f t="shared" si="278"/>
        <v>2.10\0.2:1</v>
      </c>
      <c r="W1136" s="1" t="s">
        <v>969</v>
      </c>
      <c r="Y1136" s="266"/>
      <c r="Z1136" s="206"/>
      <c r="AA1136" s="206"/>
      <c r="AC1136" s="7"/>
      <c r="AD1136" s="7"/>
      <c r="AE1136" s="7"/>
      <c r="AG1136" s="3" t="s">
        <v>732</v>
      </c>
      <c r="AH1136" s="3">
        <v>3</v>
      </c>
      <c r="AI1136" s="3">
        <v>4</v>
      </c>
      <c r="AM1136" s="3"/>
    </row>
    <row r="1137" spans="1:39" ht="14.5" x14ac:dyDescent="0.35">
      <c r="A1137" s="5" t="str">
        <f t="shared" si="279"/>
        <v>SUB902</v>
      </c>
      <c r="B1137" s="1" t="s">
        <v>848</v>
      </c>
      <c r="C1137" s="2" t="str">
        <f t="shared" si="275"/>
        <v>DIO1</v>
      </c>
      <c r="D1137" s="2">
        <v>130</v>
      </c>
      <c r="E1137" s="3">
        <f t="shared" si="276"/>
        <v>2</v>
      </c>
      <c r="F1137" s="3">
        <f t="shared" si="277"/>
        <v>10</v>
      </c>
      <c r="G1137" s="3">
        <v>0</v>
      </c>
      <c r="H1137" s="60">
        <f>H1135</f>
        <v>2</v>
      </c>
      <c r="I1137" s="54">
        <f t="shared" si="280"/>
        <v>2</v>
      </c>
      <c r="J1137" s="61"/>
      <c r="K1137" s="30"/>
      <c r="L1137" s="1" t="s">
        <v>21</v>
      </c>
      <c r="M1137" s="2">
        <v>4</v>
      </c>
      <c r="N1137" s="1" t="s">
        <v>845</v>
      </c>
      <c r="O1137" s="1" t="s">
        <v>967</v>
      </c>
      <c r="P1137" s="1" t="s">
        <v>846</v>
      </c>
      <c r="Q1137" s="1" t="s">
        <v>966</v>
      </c>
      <c r="R1137" s="1" t="s">
        <v>18</v>
      </c>
      <c r="S1137" s="13"/>
      <c r="T1137" s="1" t="s">
        <v>845</v>
      </c>
      <c r="V1137" s="1" t="str">
        <f t="shared" si="278"/>
        <v>2.10\0.2:2</v>
      </c>
      <c r="W1137" s="1" t="s">
        <v>969</v>
      </c>
      <c r="Y1137" s="82" t="s">
        <v>445</v>
      </c>
      <c r="Z1137" s="206"/>
      <c r="AA1137" s="206"/>
      <c r="AC1137" s="7"/>
      <c r="AD1137" s="7"/>
      <c r="AE1137" s="7"/>
      <c r="AG1137" s="3" t="s">
        <v>732</v>
      </c>
      <c r="AH1137" s="3">
        <v>5</v>
      </c>
      <c r="AI1137" s="3">
        <v>6</v>
      </c>
      <c r="AM1137" s="3"/>
    </row>
    <row r="1138" spans="1:39" ht="14.5" x14ac:dyDescent="0.35">
      <c r="A1138" s="5" t="str">
        <f t="shared" si="279"/>
        <v>SUB902</v>
      </c>
      <c r="B1138" s="1" t="s">
        <v>848</v>
      </c>
      <c r="C1138" s="2" t="str">
        <f t="shared" si="275"/>
        <v>DIO1</v>
      </c>
      <c r="D1138" s="2">
        <v>130</v>
      </c>
      <c r="E1138" s="3">
        <f t="shared" si="276"/>
        <v>2</v>
      </c>
      <c r="F1138" s="3">
        <f t="shared" si="277"/>
        <v>10</v>
      </c>
      <c r="G1138" s="3">
        <v>0</v>
      </c>
      <c r="H1138" s="60">
        <f t="shared" ref="H1138:H1149" si="281">H1135</f>
        <v>2</v>
      </c>
      <c r="I1138" s="54">
        <f t="shared" si="280"/>
        <v>3</v>
      </c>
      <c r="J1138" s="61"/>
      <c r="K1138" s="30"/>
      <c r="L1138" s="1" t="s">
        <v>21</v>
      </c>
      <c r="M1138" s="2">
        <v>4</v>
      </c>
      <c r="N1138" s="1" t="s">
        <v>845</v>
      </c>
      <c r="O1138" s="1" t="s">
        <v>320</v>
      </c>
      <c r="P1138" s="1" t="s">
        <v>846</v>
      </c>
      <c r="Q1138" s="1" t="s">
        <v>319</v>
      </c>
      <c r="R1138" s="1" t="s">
        <v>18</v>
      </c>
      <c r="S1138" s="13" t="s">
        <v>318</v>
      </c>
      <c r="T1138" s="1" t="s">
        <v>845</v>
      </c>
      <c r="V1138" s="1" t="str">
        <f t="shared" si="278"/>
        <v>2.10\0.2:3</v>
      </c>
      <c r="W1138" s="1" t="s">
        <v>969</v>
      </c>
      <c r="Y1138" s="82" t="s">
        <v>968</v>
      </c>
      <c r="Z1138" s="206"/>
      <c r="AA1138" s="206"/>
      <c r="AC1138" s="7"/>
      <c r="AD1138" s="7"/>
      <c r="AE1138" s="7"/>
      <c r="AG1138" s="3" t="s">
        <v>732</v>
      </c>
      <c r="AH1138" s="3">
        <v>7</v>
      </c>
      <c r="AI1138" s="3">
        <v>8</v>
      </c>
      <c r="AM1138" s="3"/>
    </row>
    <row r="1139" spans="1:39" ht="14.5" x14ac:dyDescent="0.35">
      <c r="A1139" s="5" t="str">
        <f t="shared" si="279"/>
        <v>SUB902</v>
      </c>
      <c r="B1139" s="1" t="s">
        <v>848</v>
      </c>
      <c r="C1139" s="2" t="str">
        <f t="shared" si="275"/>
        <v>DIO1</v>
      </c>
      <c r="D1139" s="2">
        <v>130</v>
      </c>
      <c r="E1139" s="3">
        <f t="shared" si="276"/>
        <v>2</v>
      </c>
      <c r="F1139" s="3">
        <f t="shared" si="277"/>
        <v>10</v>
      </c>
      <c r="G1139" s="3">
        <v>0</v>
      </c>
      <c r="H1139" s="60">
        <f t="shared" si="281"/>
        <v>2</v>
      </c>
      <c r="I1139" s="54">
        <f t="shared" si="280"/>
        <v>4</v>
      </c>
      <c r="J1139" s="61"/>
      <c r="K1139" s="30"/>
      <c r="L1139" s="1" t="s">
        <v>21</v>
      </c>
      <c r="M1139" s="2"/>
      <c r="Q1139" s="1" t="s">
        <v>302</v>
      </c>
      <c r="R1139" s="1" t="s">
        <v>302</v>
      </c>
      <c r="S1139" s="13"/>
      <c r="V1139" s="1" t="str">
        <f t="shared" si="278"/>
        <v>2.10\0.2:4</v>
      </c>
      <c r="Y1139" s="219"/>
      <c r="Z1139" s="206"/>
      <c r="AA1139" s="206"/>
      <c r="AC1139" s="7"/>
      <c r="AD1139" s="7"/>
      <c r="AE1139" s="7"/>
      <c r="AG1139" s="3" t="s">
        <v>732</v>
      </c>
      <c r="AH1139" s="3">
        <v>9</v>
      </c>
      <c r="AI1139" s="3">
        <v>10</v>
      </c>
      <c r="AM1139" s="3"/>
    </row>
    <row r="1140" spans="1:39" ht="14.5" x14ac:dyDescent="0.35">
      <c r="A1140" s="5" t="str">
        <f t="shared" si="279"/>
        <v>SUB902</v>
      </c>
      <c r="B1140" s="1" t="s">
        <v>848</v>
      </c>
      <c r="C1140" s="2" t="str">
        <f t="shared" si="275"/>
        <v>DIO1</v>
      </c>
      <c r="D1140" s="2">
        <v>130</v>
      </c>
      <c r="E1140" s="3">
        <f t="shared" si="276"/>
        <v>2</v>
      </c>
      <c r="F1140" s="3">
        <f t="shared" si="277"/>
        <v>10</v>
      </c>
      <c r="G1140" s="3">
        <v>0</v>
      </c>
      <c r="H1140" s="60">
        <f t="shared" si="281"/>
        <v>2</v>
      </c>
      <c r="I1140" s="54">
        <f t="shared" si="280"/>
        <v>5</v>
      </c>
      <c r="J1140" s="61"/>
      <c r="K1140" s="30"/>
      <c r="L1140" s="1" t="s">
        <v>21</v>
      </c>
      <c r="M1140" s="2"/>
      <c r="Q1140" s="1" t="s">
        <v>302</v>
      </c>
      <c r="R1140" s="1" t="s">
        <v>302</v>
      </c>
      <c r="S1140" s="13"/>
      <c r="V1140" s="1" t="str">
        <f t="shared" si="278"/>
        <v>2.10\0.2:5</v>
      </c>
      <c r="Y1140" s="219"/>
      <c r="Z1140" s="206"/>
      <c r="AA1140" s="206"/>
      <c r="AC1140" s="7"/>
      <c r="AD1140" s="7"/>
      <c r="AE1140" s="7"/>
      <c r="AG1140" s="3" t="s">
        <v>732</v>
      </c>
      <c r="AH1140" s="3">
        <v>11</v>
      </c>
      <c r="AI1140" s="3">
        <v>12</v>
      </c>
      <c r="AM1140" s="3"/>
    </row>
    <row r="1141" spans="1:39" ht="14.5" x14ac:dyDescent="0.35">
      <c r="A1141" s="5" t="str">
        <f t="shared" si="279"/>
        <v>SUB902</v>
      </c>
      <c r="B1141" s="1" t="s">
        <v>848</v>
      </c>
      <c r="C1141" s="2" t="str">
        <f t="shared" si="275"/>
        <v>DIO1</v>
      </c>
      <c r="D1141" s="2">
        <v>130</v>
      </c>
      <c r="E1141" s="3">
        <f t="shared" si="276"/>
        <v>2</v>
      </c>
      <c r="F1141" s="3">
        <f t="shared" si="277"/>
        <v>10</v>
      </c>
      <c r="G1141" s="3">
        <v>0</v>
      </c>
      <c r="H1141" s="60">
        <f t="shared" si="281"/>
        <v>2</v>
      </c>
      <c r="I1141" s="54">
        <f t="shared" si="280"/>
        <v>6</v>
      </c>
      <c r="J1141" s="61"/>
      <c r="K1141" s="30"/>
      <c r="L1141" s="1" t="s">
        <v>21</v>
      </c>
      <c r="M1141" s="2"/>
      <c r="O1141" s="220"/>
      <c r="P1141" s="220"/>
      <c r="Q1141" s="1" t="s">
        <v>302</v>
      </c>
      <c r="R1141" s="1" t="s">
        <v>302</v>
      </c>
      <c r="S1141" s="13"/>
      <c r="V1141" s="1" t="str">
        <f t="shared" si="278"/>
        <v>2.10\0.2:6</v>
      </c>
      <c r="Y1141" s="219"/>
      <c r="Z1141" s="206"/>
      <c r="AA1141" s="206"/>
      <c r="AC1141" s="7"/>
      <c r="AD1141" s="7"/>
      <c r="AE1141" s="7"/>
      <c r="AG1141" s="3" t="s">
        <v>732</v>
      </c>
      <c r="AH1141" s="3">
        <v>13</v>
      </c>
      <c r="AI1141" s="3">
        <v>14</v>
      </c>
      <c r="AM1141" s="3"/>
    </row>
    <row r="1142" spans="1:39" x14ac:dyDescent="0.3">
      <c r="A1142" s="5" t="str">
        <f t="shared" si="279"/>
        <v>SUB902</v>
      </c>
      <c r="B1142" s="1" t="s">
        <v>848</v>
      </c>
      <c r="C1142" s="2" t="str">
        <f t="shared" si="275"/>
        <v>DIO1</v>
      </c>
      <c r="D1142" s="2">
        <v>130</v>
      </c>
      <c r="E1142" s="3">
        <f t="shared" si="276"/>
        <v>2</v>
      </c>
      <c r="F1142" s="3">
        <f t="shared" si="277"/>
        <v>10</v>
      </c>
      <c r="G1142" s="3">
        <v>0</v>
      </c>
      <c r="H1142" s="60">
        <f t="shared" si="281"/>
        <v>2</v>
      </c>
      <c r="I1142" s="54">
        <f t="shared" si="280"/>
        <v>7</v>
      </c>
      <c r="J1142" s="61"/>
      <c r="K1142" s="30"/>
      <c r="L1142" s="1" t="s">
        <v>21</v>
      </c>
      <c r="M1142" s="2">
        <v>4</v>
      </c>
      <c r="N1142" s="1" t="s">
        <v>842</v>
      </c>
      <c r="O1142" s="220" t="s">
        <v>962</v>
      </c>
      <c r="P1142" s="220" t="s">
        <v>841</v>
      </c>
      <c r="Q1142" s="1" t="s">
        <v>963</v>
      </c>
      <c r="R1142" s="1" t="s">
        <v>46</v>
      </c>
      <c r="S1142" s="13" t="s">
        <v>962</v>
      </c>
      <c r="T1142" s="1" t="s">
        <v>838</v>
      </c>
      <c r="V1142" s="1" t="str">
        <f t="shared" si="278"/>
        <v>2.10\0.2:7</v>
      </c>
      <c r="W1142" s="1" t="s">
        <v>965</v>
      </c>
      <c r="Y1142" s="268" t="s">
        <v>837</v>
      </c>
      <c r="Z1142" s="206"/>
      <c r="AA1142" s="206"/>
      <c r="AC1142" s="7"/>
      <c r="AD1142" s="7"/>
      <c r="AE1142" s="7"/>
      <c r="AG1142" s="3" t="s">
        <v>732</v>
      </c>
      <c r="AH1142" s="3">
        <v>15</v>
      </c>
      <c r="AI1142" s="3">
        <v>16</v>
      </c>
      <c r="AM1142" s="3"/>
    </row>
    <row r="1143" spans="1:39" x14ac:dyDescent="0.3">
      <c r="A1143" s="5" t="str">
        <f t="shared" si="279"/>
        <v>SUB902</v>
      </c>
      <c r="B1143" s="1" t="s">
        <v>848</v>
      </c>
      <c r="C1143" s="2" t="str">
        <f t="shared" si="275"/>
        <v>DIO1</v>
      </c>
      <c r="D1143" s="2">
        <v>130</v>
      </c>
      <c r="E1143" s="3">
        <f t="shared" si="276"/>
        <v>2</v>
      </c>
      <c r="F1143" s="3">
        <f t="shared" si="277"/>
        <v>10</v>
      </c>
      <c r="G1143" s="3">
        <v>0</v>
      </c>
      <c r="H1143" s="60">
        <f t="shared" si="281"/>
        <v>2</v>
      </c>
      <c r="I1143" s="54">
        <f t="shared" si="280"/>
        <v>8</v>
      </c>
      <c r="J1143" s="61"/>
      <c r="K1143" s="30"/>
      <c r="L1143" s="1" t="s">
        <v>21</v>
      </c>
      <c r="M1143" s="2">
        <v>4</v>
      </c>
      <c r="N1143" s="1" t="s">
        <v>842</v>
      </c>
      <c r="O1143" s="1" t="s">
        <v>959</v>
      </c>
      <c r="P1143" s="1" t="s">
        <v>841</v>
      </c>
      <c r="Q1143" s="1" t="s">
        <v>960</v>
      </c>
      <c r="R1143" s="1" t="s">
        <v>46</v>
      </c>
      <c r="S1143" s="13" t="s">
        <v>959</v>
      </c>
      <c r="T1143" s="1" t="s">
        <v>838</v>
      </c>
      <c r="V1143" s="1" t="str">
        <f t="shared" si="278"/>
        <v>2.10\0.2:8</v>
      </c>
      <c r="W1143" s="1" t="s">
        <v>965</v>
      </c>
      <c r="Y1143" s="266"/>
      <c r="Z1143" s="206"/>
      <c r="AA1143" s="206"/>
      <c r="AC1143" s="7"/>
      <c r="AD1143" s="7"/>
      <c r="AE1143" s="7"/>
      <c r="AG1143" s="3" t="s">
        <v>732</v>
      </c>
      <c r="AH1143" s="3">
        <v>17</v>
      </c>
      <c r="AI1143" s="3">
        <v>18</v>
      </c>
      <c r="AM1143" s="3"/>
    </row>
    <row r="1144" spans="1:39" ht="14.5" x14ac:dyDescent="0.35">
      <c r="A1144" s="5" t="str">
        <f t="shared" si="279"/>
        <v>SUB902</v>
      </c>
      <c r="B1144" s="1" t="s">
        <v>848</v>
      </c>
      <c r="C1144" s="2" t="str">
        <f t="shared" si="275"/>
        <v>DIO1</v>
      </c>
      <c r="D1144" s="2">
        <v>130</v>
      </c>
      <c r="E1144" s="3">
        <f t="shared" si="276"/>
        <v>2</v>
      </c>
      <c r="F1144" s="3">
        <f t="shared" si="277"/>
        <v>10</v>
      </c>
      <c r="G1144" s="3">
        <v>0</v>
      </c>
      <c r="H1144" s="60">
        <f t="shared" si="281"/>
        <v>2</v>
      </c>
      <c r="I1144" s="54">
        <f t="shared" si="280"/>
        <v>9</v>
      </c>
      <c r="J1144" s="61"/>
      <c r="K1144" s="30"/>
      <c r="L1144" s="1" t="s">
        <v>21</v>
      </c>
      <c r="M1144" s="2">
        <v>4</v>
      </c>
      <c r="N1144" s="1" t="s">
        <v>838</v>
      </c>
      <c r="O1144" s="1" t="s">
        <v>967</v>
      </c>
      <c r="P1144" s="1" t="s">
        <v>841</v>
      </c>
      <c r="Q1144" s="1" t="s">
        <v>966</v>
      </c>
      <c r="R1144" s="1" t="s">
        <v>18</v>
      </c>
      <c r="S1144" s="13"/>
      <c r="T1144" s="1" t="s">
        <v>838</v>
      </c>
      <c r="V1144" s="1" t="str">
        <f t="shared" si="278"/>
        <v>2.10\0.2:9</v>
      </c>
      <c r="W1144" s="1" t="s">
        <v>965</v>
      </c>
      <c r="Y1144" s="82" t="s">
        <v>445</v>
      </c>
      <c r="Z1144" s="206"/>
      <c r="AA1144" s="206"/>
      <c r="AC1144" s="7"/>
      <c r="AD1144" s="7"/>
      <c r="AE1144" s="7"/>
      <c r="AG1144" s="3" t="s">
        <v>732</v>
      </c>
      <c r="AH1144" s="3">
        <f t="shared" ref="AH1144:AH1166" si="282">AH1143+2</f>
        <v>19</v>
      </c>
      <c r="AI1144" s="3">
        <f t="shared" ref="AI1144:AI1166" si="283">AI1143+2</f>
        <v>20</v>
      </c>
      <c r="AM1144" s="3"/>
    </row>
    <row r="1145" spans="1:39" ht="14.5" x14ac:dyDescent="0.35">
      <c r="A1145" s="5" t="str">
        <f t="shared" si="279"/>
        <v>SUB902</v>
      </c>
      <c r="B1145" s="1" t="s">
        <v>848</v>
      </c>
      <c r="C1145" s="2" t="str">
        <f t="shared" si="275"/>
        <v>DIO1</v>
      </c>
      <c r="D1145" s="2">
        <v>130</v>
      </c>
      <c r="E1145" s="3">
        <f t="shared" si="276"/>
        <v>2</v>
      </c>
      <c r="F1145" s="3">
        <f t="shared" si="277"/>
        <v>10</v>
      </c>
      <c r="G1145" s="3">
        <v>0</v>
      </c>
      <c r="H1145" s="60">
        <f t="shared" si="281"/>
        <v>2</v>
      </c>
      <c r="I1145" s="54">
        <f t="shared" si="280"/>
        <v>10</v>
      </c>
      <c r="J1145" s="61"/>
      <c r="K1145" s="30"/>
      <c r="L1145" s="1" t="s">
        <v>21</v>
      </c>
      <c r="M1145" s="2">
        <v>4</v>
      </c>
      <c r="N1145" s="1" t="s">
        <v>838</v>
      </c>
      <c r="O1145" s="220" t="s">
        <v>320</v>
      </c>
      <c r="P1145" s="220" t="s">
        <v>841</v>
      </c>
      <c r="Q1145" s="1" t="s">
        <v>319</v>
      </c>
      <c r="R1145" s="1" t="s">
        <v>18</v>
      </c>
      <c r="S1145" s="13" t="s">
        <v>318</v>
      </c>
      <c r="T1145" s="1" t="s">
        <v>838</v>
      </c>
      <c r="V1145" s="1" t="str">
        <f t="shared" si="278"/>
        <v>2.10\0.2:10</v>
      </c>
      <c r="W1145" s="1" t="s">
        <v>965</v>
      </c>
      <c r="Y1145" s="82" t="s">
        <v>964</v>
      </c>
      <c r="AC1145" s="7"/>
      <c r="AD1145" s="7"/>
      <c r="AE1145" s="7"/>
      <c r="AG1145" s="3" t="s">
        <v>732</v>
      </c>
      <c r="AH1145" s="3">
        <f t="shared" si="282"/>
        <v>21</v>
      </c>
      <c r="AI1145" s="3">
        <f t="shared" si="283"/>
        <v>22</v>
      </c>
      <c r="AM1145" s="3"/>
    </row>
    <row r="1146" spans="1:39" x14ac:dyDescent="0.3">
      <c r="A1146" s="5" t="str">
        <f t="shared" si="279"/>
        <v>SUB902</v>
      </c>
      <c r="B1146" s="1" t="s">
        <v>848</v>
      </c>
      <c r="C1146" s="2" t="str">
        <f t="shared" si="275"/>
        <v>DIO1</v>
      </c>
      <c r="D1146" s="2">
        <v>130</v>
      </c>
      <c r="E1146" s="3">
        <f t="shared" si="276"/>
        <v>2</v>
      </c>
      <c r="F1146" s="3">
        <f t="shared" si="277"/>
        <v>10</v>
      </c>
      <c r="G1146" s="3">
        <v>0</v>
      </c>
      <c r="H1146" s="60">
        <f t="shared" si="281"/>
        <v>2</v>
      </c>
      <c r="I1146" s="54">
        <f t="shared" si="280"/>
        <v>11</v>
      </c>
      <c r="J1146" s="61"/>
      <c r="K1146" s="30"/>
      <c r="L1146" s="1" t="s">
        <v>21</v>
      </c>
      <c r="M1146" s="2"/>
      <c r="O1146" s="220"/>
      <c r="P1146" s="220"/>
      <c r="Q1146" s="1" t="s">
        <v>302</v>
      </c>
      <c r="R1146" s="1" t="s">
        <v>302</v>
      </c>
      <c r="S1146" s="13"/>
      <c r="V1146" s="1" t="str">
        <f t="shared" si="278"/>
        <v>2.10\0.2:11</v>
      </c>
      <c r="AC1146" s="7"/>
      <c r="AD1146" s="7"/>
      <c r="AE1146" s="7"/>
      <c r="AG1146" s="3" t="s">
        <v>732</v>
      </c>
      <c r="AH1146" s="3">
        <f t="shared" si="282"/>
        <v>23</v>
      </c>
      <c r="AI1146" s="3">
        <f t="shared" si="283"/>
        <v>24</v>
      </c>
      <c r="AM1146" s="3"/>
    </row>
    <row r="1147" spans="1:39" x14ac:dyDescent="0.3">
      <c r="A1147" s="5" t="str">
        <f t="shared" si="279"/>
        <v>SUB902</v>
      </c>
      <c r="B1147" s="1" t="s">
        <v>848</v>
      </c>
      <c r="C1147" s="2" t="str">
        <f t="shared" si="275"/>
        <v>DIO1</v>
      </c>
      <c r="D1147" s="2">
        <v>130</v>
      </c>
      <c r="E1147" s="3">
        <f t="shared" si="276"/>
        <v>2</v>
      </c>
      <c r="F1147" s="3">
        <f t="shared" si="277"/>
        <v>10</v>
      </c>
      <c r="G1147" s="3">
        <v>0</v>
      </c>
      <c r="H1147" s="60">
        <f t="shared" si="281"/>
        <v>2</v>
      </c>
      <c r="I1147" s="54">
        <f t="shared" si="280"/>
        <v>12</v>
      </c>
      <c r="J1147" s="61"/>
      <c r="K1147" s="30"/>
      <c r="L1147" s="1" t="s">
        <v>21</v>
      </c>
      <c r="M1147" s="2"/>
      <c r="O1147" s="12"/>
      <c r="P1147" s="12"/>
      <c r="Q1147" s="12" t="s">
        <v>302</v>
      </c>
      <c r="R1147" s="12" t="s">
        <v>302</v>
      </c>
      <c r="S1147" s="13"/>
      <c r="V1147" s="1" t="str">
        <f t="shared" si="278"/>
        <v>2.10\0.2:12</v>
      </c>
      <c r="Y1147" s="7"/>
      <c r="Z1147" s="206"/>
      <c r="AA1147" s="206"/>
      <c r="AC1147" s="7"/>
      <c r="AD1147" s="7"/>
      <c r="AE1147" s="7"/>
      <c r="AG1147" s="3" t="s">
        <v>732</v>
      </c>
      <c r="AH1147" s="3">
        <f t="shared" si="282"/>
        <v>25</v>
      </c>
      <c r="AI1147" s="3">
        <f t="shared" si="283"/>
        <v>26</v>
      </c>
      <c r="AM1147" s="3"/>
    </row>
    <row r="1148" spans="1:39" x14ac:dyDescent="0.3">
      <c r="A1148" s="5" t="str">
        <f t="shared" si="279"/>
        <v>SUB902</v>
      </c>
      <c r="B1148" s="1" t="s">
        <v>848</v>
      </c>
      <c r="C1148" s="2" t="str">
        <f t="shared" si="275"/>
        <v>DIO1</v>
      </c>
      <c r="D1148" s="2">
        <v>130</v>
      </c>
      <c r="E1148" s="3">
        <f t="shared" si="276"/>
        <v>2</v>
      </c>
      <c r="F1148" s="3">
        <f t="shared" si="277"/>
        <v>10</v>
      </c>
      <c r="G1148" s="3">
        <v>0</v>
      </c>
      <c r="H1148" s="60">
        <f t="shared" si="281"/>
        <v>2</v>
      </c>
      <c r="I1148" s="54">
        <f t="shared" si="280"/>
        <v>13</v>
      </c>
      <c r="J1148" s="61"/>
      <c r="K1148" s="30"/>
      <c r="L1148" s="1" t="s">
        <v>21</v>
      </c>
      <c r="M1148" s="2"/>
      <c r="Q1148" s="1" t="s">
        <v>302</v>
      </c>
      <c r="R1148" s="1" t="s">
        <v>302</v>
      </c>
      <c r="S1148" s="13"/>
      <c r="V1148" s="1" t="str">
        <f t="shared" si="278"/>
        <v>2.10\0.2:13</v>
      </c>
      <c r="Y1148" s="7"/>
      <c r="Z1148" s="206"/>
      <c r="AA1148" s="206"/>
      <c r="AC1148" s="7"/>
      <c r="AD1148" s="7"/>
      <c r="AE1148" s="7"/>
      <c r="AG1148" s="3" t="s">
        <v>732</v>
      </c>
      <c r="AH1148" s="3">
        <f t="shared" si="282"/>
        <v>27</v>
      </c>
      <c r="AI1148" s="3">
        <f t="shared" si="283"/>
        <v>28</v>
      </c>
      <c r="AM1148" s="3"/>
    </row>
    <row r="1149" spans="1:39" x14ac:dyDescent="0.3">
      <c r="A1149" s="5" t="str">
        <f t="shared" si="279"/>
        <v>SUB902</v>
      </c>
      <c r="B1149" s="1" t="s">
        <v>848</v>
      </c>
      <c r="C1149" s="2" t="str">
        <f t="shared" si="275"/>
        <v>DIO1</v>
      </c>
      <c r="D1149" s="2">
        <v>130</v>
      </c>
      <c r="E1149" s="3">
        <f t="shared" si="276"/>
        <v>2</v>
      </c>
      <c r="F1149" s="3">
        <f t="shared" si="277"/>
        <v>10</v>
      </c>
      <c r="G1149" s="3">
        <v>0</v>
      </c>
      <c r="H1149" s="60">
        <f t="shared" si="281"/>
        <v>2</v>
      </c>
      <c r="I1149" s="54">
        <f t="shared" si="280"/>
        <v>14</v>
      </c>
      <c r="J1149" s="61"/>
      <c r="K1149" s="30"/>
      <c r="L1149" s="1" t="s">
        <v>21</v>
      </c>
      <c r="M1149" s="2"/>
      <c r="Q1149" s="1" t="s">
        <v>302</v>
      </c>
      <c r="R1149" s="1" t="s">
        <v>302</v>
      </c>
      <c r="S1149" s="13"/>
      <c r="V1149" s="1" t="str">
        <f t="shared" si="278"/>
        <v>2.10\0.2:14</v>
      </c>
      <c r="Y1149" s="7"/>
      <c r="Z1149" s="206"/>
      <c r="AA1149" s="206"/>
      <c r="AC1149" s="7"/>
      <c r="AD1149" s="7"/>
      <c r="AE1149" s="7"/>
      <c r="AG1149" s="3" t="s">
        <v>732</v>
      </c>
      <c r="AH1149" s="3">
        <f t="shared" si="282"/>
        <v>29</v>
      </c>
      <c r="AI1149" s="3">
        <f t="shared" si="283"/>
        <v>30</v>
      </c>
      <c r="AM1149" s="3"/>
    </row>
    <row r="1150" spans="1:39" x14ac:dyDescent="0.3">
      <c r="A1150" s="5" t="str">
        <f t="shared" si="279"/>
        <v>SUB902</v>
      </c>
      <c r="B1150" s="1" t="s">
        <v>848</v>
      </c>
      <c r="C1150" s="2" t="str">
        <f t="shared" si="275"/>
        <v>DIO1</v>
      </c>
      <c r="D1150" s="2">
        <v>130</v>
      </c>
      <c r="E1150" s="3">
        <f t="shared" si="276"/>
        <v>2</v>
      </c>
      <c r="F1150" s="3">
        <f t="shared" si="277"/>
        <v>10</v>
      </c>
      <c r="G1150" s="3">
        <v>0</v>
      </c>
      <c r="H1150" s="60">
        <f t="shared" ref="H1150:H1166" si="284">H1146</f>
        <v>2</v>
      </c>
      <c r="I1150" s="54">
        <f t="shared" si="280"/>
        <v>15</v>
      </c>
      <c r="J1150" s="61"/>
      <c r="K1150" s="30"/>
      <c r="L1150" s="1" t="s">
        <v>21</v>
      </c>
      <c r="M1150" s="2">
        <v>4</v>
      </c>
      <c r="N1150" s="1" t="s">
        <v>859</v>
      </c>
      <c r="O1150" s="1" t="s">
        <v>962</v>
      </c>
      <c r="P1150" s="1" t="s">
        <v>857</v>
      </c>
      <c r="Q1150" s="1" t="s">
        <v>963</v>
      </c>
      <c r="R1150" s="1" t="s">
        <v>46</v>
      </c>
      <c r="S1150" s="13" t="s">
        <v>962</v>
      </c>
      <c r="T1150" s="1" t="s">
        <v>854</v>
      </c>
      <c r="V1150" s="1" t="str">
        <f t="shared" si="278"/>
        <v>2.10\0.2:15</v>
      </c>
      <c r="W1150" s="13" t="s">
        <v>853</v>
      </c>
      <c r="X1150" s="3" t="s">
        <v>4</v>
      </c>
      <c r="Y1150" s="268" t="s">
        <v>961</v>
      </c>
      <c r="Z1150" s="206"/>
      <c r="AA1150" s="206"/>
      <c r="AC1150" s="7"/>
      <c r="AD1150" s="7"/>
      <c r="AE1150" s="7"/>
      <c r="AG1150" s="3" t="s">
        <v>732</v>
      </c>
      <c r="AH1150" s="3">
        <f t="shared" si="282"/>
        <v>31</v>
      </c>
      <c r="AI1150" s="3">
        <f t="shared" si="283"/>
        <v>32</v>
      </c>
      <c r="AM1150" s="3"/>
    </row>
    <row r="1151" spans="1:39" x14ac:dyDescent="0.3">
      <c r="A1151" s="5" t="str">
        <f t="shared" si="279"/>
        <v>SUB902</v>
      </c>
      <c r="B1151" s="1" t="s">
        <v>848</v>
      </c>
      <c r="C1151" s="2" t="str">
        <f t="shared" si="275"/>
        <v>DIO1</v>
      </c>
      <c r="D1151" s="2">
        <v>130</v>
      </c>
      <c r="E1151" s="3">
        <f t="shared" si="276"/>
        <v>2</v>
      </c>
      <c r="F1151" s="3">
        <f t="shared" si="277"/>
        <v>10</v>
      </c>
      <c r="G1151" s="3">
        <v>0</v>
      </c>
      <c r="H1151" s="60">
        <f t="shared" si="284"/>
        <v>2</v>
      </c>
      <c r="I1151" s="54">
        <f t="shared" si="280"/>
        <v>16</v>
      </c>
      <c r="J1151" s="61"/>
      <c r="K1151" s="30"/>
      <c r="L1151" s="1" t="s">
        <v>21</v>
      </c>
      <c r="M1151" s="2"/>
      <c r="N1151" s="1" t="s">
        <v>859</v>
      </c>
      <c r="O1151" s="1" t="s">
        <v>959</v>
      </c>
      <c r="P1151" s="1" t="s">
        <v>857</v>
      </c>
      <c r="Q1151" s="1" t="s">
        <v>960</v>
      </c>
      <c r="R1151" s="1" t="s">
        <v>46</v>
      </c>
      <c r="S1151" s="13" t="s">
        <v>959</v>
      </c>
      <c r="T1151" s="1" t="s">
        <v>854</v>
      </c>
      <c r="V1151" s="1" t="str">
        <f t="shared" si="278"/>
        <v>2.10\0.2:16</v>
      </c>
      <c r="W1151" s="13" t="s">
        <v>853</v>
      </c>
      <c r="X1151" s="3" t="s">
        <v>4</v>
      </c>
      <c r="Y1151" s="268"/>
      <c r="Z1151" s="206"/>
      <c r="AA1151" s="206"/>
      <c r="AC1151" s="7"/>
      <c r="AD1151" s="7"/>
      <c r="AE1151" s="7"/>
      <c r="AG1151" s="3" t="s">
        <v>732</v>
      </c>
      <c r="AH1151" s="3">
        <f t="shared" si="282"/>
        <v>33</v>
      </c>
      <c r="AI1151" s="3">
        <f t="shared" si="283"/>
        <v>34</v>
      </c>
      <c r="AM1151" s="3"/>
    </row>
    <row r="1152" spans="1:39" x14ac:dyDescent="0.3">
      <c r="A1152" s="5" t="str">
        <f t="shared" si="279"/>
        <v>SUB902</v>
      </c>
      <c r="B1152" s="1" t="s">
        <v>848</v>
      </c>
      <c r="C1152" s="2" t="str">
        <f t="shared" si="275"/>
        <v>DIO1</v>
      </c>
      <c r="D1152" s="2">
        <v>130</v>
      </c>
      <c r="E1152" s="3">
        <f t="shared" si="276"/>
        <v>2</v>
      </c>
      <c r="F1152" s="3">
        <f t="shared" si="277"/>
        <v>10</v>
      </c>
      <c r="G1152" s="3">
        <v>0</v>
      </c>
      <c r="H1152" s="60">
        <f t="shared" si="284"/>
        <v>2</v>
      </c>
      <c r="I1152" s="54">
        <f t="shared" si="280"/>
        <v>17</v>
      </c>
      <c r="J1152" s="61"/>
      <c r="K1152" s="30"/>
      <c r="L1152" s="1" t="s">
        <v>21</v>
      </c>
      <c r="M1152" s="2">
        <v>4</v>
      </c>
      <c r="N1152" s="1" t="s">
        <v>859</v>
      </c>
      <c r="O1152" s="1" t="s">
        <v>957</v>
      </c>
      <c r="P1152" s="1" t="s">
        <v>857</v>
      </c>
      <c r="Q1152" s="41" t="s">
        <v>958</v>
      </c>
      <c r="R1152" s="1" t="s">
        <v>46</v>
      </c>
      <c r="S1152" s="13" t="s">
        <v>957</v>
      </c>
      <c r="T1152" s="1" t="s">
        <v>854</v>
      </c>
      <c r="V1152" s="1" t="str">
        <f t="shared" si="278"/>
        <v>2.10\0.2:17</v>
      </c>
      <c r="W1152" s="13" t="s">
        <v>853</v>
      </c>
      <c r="X1152" s="3" t="s">
        <v>4</v>
      </c>
      <c r="Y1152" s="268"/>
      <c r="Z1152" s="206"/>
      <c r="AA1152" s="206"/>
      <c r="AC1152" s="7"/>
      <c r="AD1152" s="7"/>
      <c r="AE1152" s="7"/>
      <c r="AG1152" s="3" t="s">
        <v>732</v>
      </c>
      <c r="AH1152" s="3">
        <f t="shared" si="282"/>
        <v>35</v>
      </c>
      <c r="AI1152" s="3">
        <f t="shared" si="283"/>
        <v>36</v>
      </c>
      <c r="AM1152" s="3"/>
    </row>
    <row r="1153" spans="1:39" x14ac:dyDescent="0.3">
      <c r="A1153" s="5" t="str">
        <f t="shared" si="279"/>
        <v>SUB902</v>
      </c>
      <c r="B1153" s="1" t="s">
        <v>848</v>
      </c>
      <c r="C1153" s="2" t="str">
        <f t="shared" si="275"/>
        <v>DIO1</v>
      </c>
      <c r="D1153" s="2">
        <v>130</v>
      </c>
      <c r="E1153" s="3">
        <f t="shared" si="276"/>
        <v>2</v>
      </c>
      <c r="F1153" s="3">
        <f t="shared" si="277"/>
        <v>10</v>
      </c>
      <c r="G1153" s="3">
        <v>0</v>
      </c>
      <c r="H1153" s="60">
        <f t="shared" si="284"/>
        <v>2</v>
      </c>
      <c r="I1153" s="54">
        <f t="shared" si="280"/>
        <v>18</v>
      </c>
      <c r="J1153" s="61"/>
      <c r="K1153" s="30"/>
      <c r="L1153" s="1" t="s">
        <v>21</v>
      </c>
      <c r="M1153" s="2"/>
      <c r="Q1153" s="41" t="s">
        <v>302</v>
      </c>
      <c r="R1153" s="1" t="s">
        <v>302</v>
      </c>
      <c r="S1153" s="13"/>
      <c r="V1153" s="1" t="str">
        <f t="shared" si="278"/>
        <v>2.10\0.2:18</v>
      </c>
      <c r="Y1153" s="7"/>
      <c r="Z1153" s="206"/>
      <c r="AA1153" s="206"/>
      <c r="AC1153" s="7"/>
      <c r="AD1153" s="7"/>
      <c r="AE1153" s="7"/>
      <c r="AG1153" s="3" t="s">
        <v>732</v>
      </c>
      <c r="AH1153" s="3">
        <f t="shared" si="282"/>
        <v>37</v>
      </c>
      <c r="AI1153" s="3">
        <f t="shared" si="283"/>
        <v>38</v>
      </c>
      <c r="AM1153" s="3"/>
    </row>
    <row r="1154" spans="1:39" ht="14.5" x14ac:dyDescent="0.35">
      <c r="A1154" s="5" t="str">
        <f t="shared" si="279"/>
        <v>SUB902</v>
      </c>
      <c r="B1154" s="1" t="s">
        <v>848</v>
      </c>
      <c r="C1154" s="2" t="str">
        <f t="shared" si="275"/>
        <v>DIO1</v>
      </c>
      <c r="D1154" s="2">
        <v>130</v>
      </c>
      <c r="E1154" s="3">
        <f t="shared" si="276"/>
        <v>2</v>
      </c>
      <c r="F1154" s="3">
        <f t="shared" si="277"/>
        <v>10</v>
      </c>
      <c r="G1154" s="3">
        <v>0</v>
      </c>
      <c r="H1154" s="60">
        <f t="shared" si="284"/>
        <v>2</v>
      </c>
      <c r="I1154" s="54">
        <f t="shared" si="280"/>
        <v>19</v>
      </c>
      <c r="J1154" s="61"/>
      <c r="K1154" s="30"/>
      <c r="L1154" s="1" t="s">
        <v>21</v>
      </c>
      <c r="M1154" s="2"/>
      <c r="O1154" s="220"/>
      <c r="P1154" s="220"/>
      <c r="Q1154" s="221" t="s">
        <v>302</v>
      </c>
      <c r="R1154" s="220" t="s">
        <v>302</v>
      </c>
      <c r="S1154" s="13"/>
      <c r="V1154" s="1" t="str">
        <f t="shared" si="278"/>
        <v>2.10\0.2:19</v>
      </c>
      <c r="Y1154" s="219"/>
      <c r="Z1154" s="206"/>
      <c r="AA1154" s="206"/>
      <c r="AC1154" s="7"/>
      <c r="AD1154" s="7"/>
      <c r="AE1154" s="7"/>
      <c r="AG1154" s="3" t="s">
        <v>732</v>
      </c>
      <c r="AH1154" s="3">
        <f t="shared" si="282"/>
        <v>39</v>
      </c>
      <c r="AI1154" s="3">
        <f t="shared" si="283"/>
        <v>40</v>
      </c>
      <c r="AM1154" s="3"/>
    </row>
    <row r="1155" spans="1:39" x14ac:dyDescent="0.3">
      <c r="A1155" s="5" t="str">
        <f t="shared" si="279"/>
        <v>SUB902</v>
      </c>
      <c r="B1155" s="1" t="s">
        <v>848</v>
      </c>
      <c r="C1155" s="2" t="str">
        <f t="shared" si="275"/>
        <v>DIO1</v>
      </c>
      <c r="D1155" s="2">
        <v>130</v>
      </c>
      <c r="E1155" s="3">
        <f t="shared" si="276"/>
        <v>2</v>
      </c>
      <c r="F1155" s="3">
        <f t="shared" si="277"/>
        <v>10</v>
      </c>
      <c r="G1155" s="3">
        <v>0</v>
      </c>
      <c r="H1155" s="60">
        <f t="shared" si="284"/>
        <v>2</v>
      </c>
      <c r="I1155" s="54">
        <f t="shared" si="280"/>
        <v>20</v>
      </c>
      <c r="J1155" s="61"/>
      <c r="K1155" s="30"/>
      <c r="L1155" s="1" t="s">
        <v>21</v>
      </c>
      <c r="M1155" s="2"/>
      <c r="Q1155" s="2" t="s">
        <v>302</v>
      </c>
      <c r="R1155" s="2" t="s">
        <v>302</v>
      </c>
      <c r="S1155" s="13"/>
      <c r="V1155" s="1" t="str">
        <f t="shared" si="278"/>
        <v>2.10\0.2:20</v>
      </c>
      <c r="Y1155" s="7"/>
      <c r="Z1155" s="206"/>
      <c r="AA1155" s="206"/>
      <c r="AC1155" s="7"/>
      <c r="AD1155" s="7"/>
      <c r="AE1155" s="7"/>
      <c r="AG1155" s="3" t="s">
        <v>732</v>
      </c>
      <c r="AH1155" s="3">
        <f t="shared" si="282"/>
        <v>41</v>
      </c>
      <c r="AI1155" s="3">
        <f t="shared" si="283"/>
        <v>42</v>
      </c>
      <c r="AM1155" s="3"/>
    </row>
    <row r="1156" spans="1:39" x14ac:dyDescent="0.3">
      <c r="A1156" s="5" t="str">
        <f t="shared" si="279"/>
        <v>SUB902</v>
      </c>
      <c r="B1156" s="1" t="s">
        <v>848</v>
      </c>
      <c r="C1156" s="2" t="str">
        <f t="shared" si="275"/>
        <v>DIO1</v>
      </c>
      <c r="D1156" s="2">
        <v>130</v>
      </c>
      <c r="E1156" s="3">
        <f t="shared" si="276"/>
        <v>2</v>
      </c>
      <c r="F1156" s="3">
        <f t="shared" si="277"/>
        <v>10</v>
      </c>
      <c r="G1156" s="3">
        <v>0</v>
      </c>
      <c r="H1156" s="60">
        <f t="shared" si="284"/>
        <v>2</v>
      </c>
      <c r="I1156" s="54">
        <f t="shared" si="280"/>
        <v>21</v>
      </c>
      <c r="J1156" s="61"/>
      <c r="K1156" s="30"/>
      <c r="L1156" s="1" t="s">
        <v>21</v>
      </c>
      <c r="M1156" s="2">
        <v>4</v>
      </c>
      <c r="N1156" s="1" t="s">
        <v>877</v>
      </c>
      <c r="O1156" s="1" t="s">
        <v>56</v>
      </c>
      <c r="P1156" s="1" t="s">
        <v>871</v>
      </c>
      <c r="Q1156" s="2" t="s">
        <v>55</v>
      </c>
      <c r="R1156" s="2" t="s">
        <v>54</v>
      </c>
      <c r="S1156" s="13"/>
      <c r="T1156" s="1" t="s">
        <v>877</v>
      </c>
      <c r="V1156" s="1" t="str">
        <f t="shared" si="278"/>
        <v>2.10\0.2:21</v>
      </c>
      <c r="W1156" s="13" t="s">
        <v>867</v>
      </c>
      <c r="X1156" s="3" t="s">
        <v>4</v>
      </c>
      <c r="Y1156" s="266" t="s">
        <v>956</v>
      </c>
      <c r="Z1156" s="206"/>
      <c r="AA1156" s="206"/>
      <c r="AC1156" s="7"/>
      <c r="AD1156" s="7"/>
      <c r="AE1156" s="7"/>
      <c r="AG1156" s="3" t="s">
        <v>732</v>
      </c>
      <c r="AH1156" s="3">
        <f t="shared" si="282"/>
        <v>43</v>
      </c>
      <c r="AI1156" s="3">
        <f t="shared" si="283"/>
        <v>44</v>
      </c>
      <c r="AM1156" s="3"/>
    </row>
    <row r="1157" spans="1:39" x14ac:dyDescent="0.3">
      <c r="A1157" s="5" t="str">
        <f t="shared" si="279"/>
        <v>SUB902</v>
      </c>
      <c r="B1157" s="1" t="s">
        <v>848</v>
      </c>
      <c r="C1157" s="2" t="str">
        <f t="shared" si="275"/>
        <v>DIO1</v>
      </c>
      <c r="D1157" s="2">
        <v>130</v>
      </c>
      <c r="E1157" s="3">
        <f t="shared" si="276"/>
        <v>2</v>
      </c>
      <c r="F1157" s="3">
        <f t="shared" si="277"/>
        <v>10</v>
      </c>
      <c r="G1157" s="3">
        <v>0</v>
      </c>
      <c r="H1157" s="60">
        <f t="shared" si="284"/>
        <v>2</v>
      </c>
      <c r="I1157" s="54">
        <f t="shared" si="280"/>
        <v>22</v>
      </c>
      <c r="J1157" s="61"/>
      <c r="K1157" s="30"/>
      <c r="L1157" s="1" t="s">
        <v>21</v>
      </c>
      <c r="M1157" s="2">
        <v>4</v>
      </c>
      <c r="N1157" s="1" t="s">
        <v>877</v>
      </c>
      <c r="O1157" s="1" t="s">
        <v>736</v>
      </c>
      <c r="P1157" s="1" t="s">
        <v>871</v>
      </c>
      <c r="Q1157" s="2" t="s">
        <v>955</v>
      </c>
      <c r="R1157" s="2" t="s">
        <v>954</v>
      </c>
      <c r="S1157" s="13"/>
      <c r="T1157" s="1" t="s">
        <v>877</v>
      </c>
      <c r="V1157" s="1" t="str">
        <f t="shared" si="278"/>
        <v>2.10\0.2:22</v>
      </c>
      <c r="W1157" s="13" t="s">
        <v>867</v>
      </c>
      <c r="X1157" s="3" t="s">
        <v>4</v>
      </c>
      <c r="Y1157" s="266"/>
      <c r="AG1157" s="3" t="s">
        <v>732</v>
      </c>
      <c r="AH1157" s="3">
        <f t="shared" si="282"/>
        <v>45</v>
      </c>
      <c r="AI1157" s="3">
        <f t="shared" si="283"/>
        <v>46</v>
      </c>
      <c r="AM1157" s="3"/>
    </row>
    <row r="1158" spans="1:39" x14ac:dyDescent="0.3">
      <c r="A1158" s="5" t="str">
        <f t="shared" si="279"/>
        <v>SUB902</v>
      </c>
      <c r="B1158" s="1" t="s">
        <v>848</v>
      </c>
      <c r="C1158" s="2" t="str">
        <f t="shared" si="275"/>
        <v>DIO1</v>
      </c>
      <c r="D1158" s="2">
        <v>130</v>
      </c>
      <c r="E1158" s="3">
        <f t="shared" si="276"/>
        <v>2</v>
      </c>
      <c r="F1158" s="3">
        <f t="shared" si="277"/>
        <v>10</v>
      </c>
      <c r="G1158" s="3">
        <v>0</v>
      </c>
      <c r="H1158" s="60">
        <f t="shared" si="284"/>
        <v>2</v>
      </c>
      <c r="I1158" s="54">
        <f t="shared" si="280"/>
        <v>23</v>
      </c>
      <c r="J1158" s="61"/>
      <c r="K1158" s="30"/>
      <c r="L1158" s="1" t="s">
        <v>21</v>
      </c>
      <c r="M1158" s="2">
        <v>4</v>
      </c>
      <c r="N1158" s="1" t="s">
        <v>877</v>
      </c>
      <c r="O1158" s="1" t="s">
        <v>953</v>
      </c>
      <c r="P1158" s="1" t="s">
        <v>871</v>
      </c>
      <c r="Q1158" s="2" t="s">
        <v>952</v>
      </c>
      <c r="R1158" s="2" t="s">
        <v>24</v>
      </c>
      <c r="S1158" s="13"/>
      <c r="T1158" s="1" t="s">
        <v>877</v>
      </c>
      <c r="V1158" s="1" t="str">
        <f t="shared" si="278"/>
        <v>2.10\0.2:23</v>
      </c>
      <c r="W1158" s="13" t="s">
        <v>867</v>
      </c>
      <c r="X1158" s="3" t="s">
        <v>4</v>
      </c>
      <c r="Y1158" s="266"/>
      <c r="AG1158" s="3" t="s">
        <v>732</v>
      </c>
      <c r="AH1158" s="3">
        <f t="shared" si="282"/>
        <v>47</v>
      </c>
      <c r="AI1158" s="3">
        <f t="shared" si="283"/>
        <v>48</v>
      </c>
      <c r="AM1158" s="3"/>
    </row>
    <row r="1159" spans="1:39" x14ac:dyDescent="0.3">
      <c r="A1159" s="5" t="str">
        <f t="shared" si="279"/>
        <v>SUB902</v>
      </c>
      <c r="B1159" s="1" t="s">
        <v>848</v>
      </c>
      <c r="C1159" s="2" t="str">
        <f t="shared" si="275"/>
        <v>DIO1</v>
      </c>
      <c r="D1159" s="2">
        <v>130</v>
      </c>
      <c r="E1159" s="3">
        <f t="shared" si="276"/>
        <v>2</v>
      </c>
      <c r="F1159" s="3">
        <f t="shared" si="277"/>
        <v>10</v>
      </c>
      <c r="G1159" s="3">
        <v>0</v>
      </c>
      <c r="H1159" s="60">
        <f t="shared" si="284"/>
        <v>2</v>
      </c>
      <c r="I1159" s="54">
        <f t="shared" si="280"/>
        <v>24</v>
      </c>
      <c r="J1159" s="61"/>
      <c r="K1159" s="30"/>
      <c r="L1159" s="1" t="s">
        <v>21</v>
      </c>
      <c r="M1159" s="2">
        <v>4</v>
      </c>
      <c r="N1159" s="1" t="s">
        <v>877</v>
      </c>
      <c r="O1159" s="1" t="s">
        <v>448</v>
      </c>
      <c r="P1159" s="1" t="s">
        <v>871</v>
      </c>
      <c r="Q1159" s="2" t="s">
        <v>951</v>
      </c>
      <c r="R1159" s="2" t="s">
        <v>638</v>
      </c>
      <c r="S1159" s="13"/>
      <c r="T1159" s="1" t="s">
        <v>877</v>
      </c>
      <c r="V1159" s="1" t="str">
        <f t="shared" si="278"/>
        <v>2.10\0.2:24</v>
      </c>
      <c r="W1159" s="13" t="s">
        <v>867</v>
      </c>
      <c r="X1159" s="3" t="s">
        <v>4</v>
      </c>
      <c r="Y1159" s="266"/>
      <c r="AG1159" s="3" t="s">
        <v>732</v>
      </c>
      <c r="AH1159" s="3">
        <f t="shared" si="282"/>
        <v>49</v>
      </c>
      <c r="AI1159" s="3">
        <f t="shared" si="283"/>
        <v>50</v>
      </c>
      <c r="AM1159" s="3"/>
    </row>
    <row r="1160" spans="1:39" x14ac:dyDescent="0.3">
      <c r="A1160" s="5" t="str">
        <f t="shared" si="279"/>
        <v>SUB902</v>
      </c>
      <c r="B1160" s="1" t="s">
        <v>848</v>
      </c>
      <c r="C1160" s="2" t="str">
        <f t="shared" si="275"/>
        <v>DIO1</v>
      </c>
      <c r="D1160" s="2">
        <v>130</v>
      </c>
      <c r="E1160" s="3">
        <f t="shared" si="276"/>
        <v>2</v>
      </c>
      <c r="F1160" s="3">
        <f t="shared" si="277"/>
        <v>10</v>
      </c>
      <c r="G1160" s="3">
        <v>0</v>
      </c>
      <c r="H1160" s="60">
        <f t="shared" si="284"/>
        <v>2</v>
      </c>
      <c r="I1160" s="54">
        <f t="shared" si="280"/>
        <v>25</v>
      </c>
      <c r="J1160" s="61"/>
      <c r="K1160" s="30"/>
      <c r="L1160" s="1" t="s">
        <v>21</v>
      </c>
      <c r="M1160" s="2">
        <v>4</v>
      </c>
      <c r="N1160" s="1" t="s">
        <v>877</v>
      </c>
      <c r="O1160" s="1" t="s">
        <v>72</v>
      </c>
      <c r="P1160" s="1" t="s">
        <v>871</v>
      </c>
      <c r="Q1160" s="1" t="s">
        <v>950</v>
      </c>
      <c r="R1160" s="1" t="s">
        <v>24</v>
      </c>
      <c r="S1160" s="13"/>
      <c r="T1160" s="1" t="s">
        <v>877</v>
      </c>
      <c r="V1160" s="1" t="str">
        <f t="shared" si="278"/>
        <v>2.10\0.2:25</v>
      </c>
      <c r="W1160" s="13" t="s">
        <v>867</v>
      </c>
      <c r="X1160" s="3" t="s">
        <v>4</v>
      </c>
      <c r="Y1160" s="266"/>
      <c r="AG1160" s="3" t="s">
        <v>732</v>
      </c>
      <c r="AH1160" s="3">
        <f t="shared" si="282"/>
        <v>51</v>
      </c>
      <c r="AI1160" s="3">
        <f t="shared" si="283"/>
        <v>52</v>
      </c>
      <c r="AM1160" s="3"/>
    </row>
    <row r="1161" spans="1:39" ht="14.5" x14ac:dyDescent="0.35">
      <c r="A1161" s="5" t="str">
        <f t="shared" si="279"/>
        <v>SUB902</v>
      </c>
      <c r="B1161" s="1" t="s">
        <v>848</v>
      </c>
      <c r="C1161" s="2" t="str">
        <f t="shared" si="275"/>
        <v>DIO1</v>
      </c>
      <c r="D1161" s="2">
        <v>130</v>
      </c>
      <c r="E1161" s="3">
        <f t="shared" si="276"/>
        <v>2</v>
      </c>
      <c r="F1161" s="3">
        <f t="shared" si="277"/>
        <v>10</v>
      </c>
      <c r="G1161" s="3">
        <v>0</v>
      </c>
      <c r="H1161" s="60">
        <f t="shared" si="284"/>
        <v>2</v>
      </c>
      <c r="I1161" s="54">
        <f t="shared" si="280"/>
        <v>26</v>
      </c>
      <c r="J1161" s="61"/>
      <c r="K1161" s="30"/>
      <c r="L1161" s="1" t="s">
        <v>21</v>
      </c>
      <c r="Q1161" s="1" t="s">
        <v>302</v>
      </c>
      <c r="R1161" s="1" t="s">
        <v>302</v>
      </c>
      <c r="S1161" s="13"/>
      <c r="V1161" s="1" t="str">
        <f t="shared" si="278"/>
        <v>2.10\0.2:26</v>
      </c>
      <c r="Y1161" s="219"/>
      <c r="AG1161" s="3" t="s">
        <v>732</v>
      </c>
      <c r="AH1161" s="3">
        <f t="shared" si="282"/>
        <v>53</v>
      </c>
      <c r="AI1161" s="3">
        <f t="shared" si="283"/>
        <v>54</v>
      </c>
      <c r="AM1161" s="3"/>
    </row>
    <row r="1162" spans="1:39" x14ac:dyDescent="0.3">
      <c r="A1162" s="5" t="str">
        <f t="shared" si="279"/>
        <v>SUB902</v>
      </c>
      <c r="B1162" s="1" t="s">
        <v>848</v>
      </c>
      <c r="C1162" s="2" t="str">
        <f t="shared" si="275"/>
        <v>DIO1</v>
      </c>
      <c r="D1162" s="2">
        <v>130</v>
      </c>
      <c r="E1162" s="3">
        <f t="shared" si="276"/>
        <v>2</v>
      </c>
      <c r="F1162" s="3">
        <f t="shared" si="277"/>
        <v>10</v>
      </c>
      <c r="G1162" s="3">
        <v>0</v>
      </c>
      <c r="H1162" s="60">
        <f t="shared" si="284"/>
        <v>2</v>
      </c>
      <c r="I1162" s="54">
        <f t="shared" si="280"/>
        <v>27</v>
      </c>
      <c r="J1162" s="61"/>
      <c r="K1162" s="30"/>
      <c r="L1162" s="1" t="s">
        <v>21</v>
      </c>
      <c r="M1162" s="2">
        <v>4</v>
      </c>
      <c r="N1162" s="1" t="s">
        <v>873</v>
      </c>
      <c r="O1162" s="1" t="s">
        <v>56</v>
      </c>
      <c r="P1162" s="1" t="s">
        <v>871</v>
      </c>
      <c r="Q1162" s="1" t="s">
        <v>55</v>
      </c>
      <c r="R1162" s="1" t="s">
        <v>54</v>
      </c>
      <c r="S1162" s="13"/>
      <c r="T1162" s="1" t="s">
        <v>873</v>
      </c>
      <c r="V1162" s="1" t="str">
        <f t="shared" si="278"/>
        <v>2.10\0.2:27</v>
      </c>
      <c r="W1162" s="13" t="s">
        <v>867</v>
      </c>
      <c r="X1162" s="3" t="s">
        <v>4</v>
      </c>
      <c r="Y1162" s="266" t="s">
        <v>956</v>
      </c>
      <c r="AG1162" s="3" t="s">
        <v>732</v>
      </c>
      <c r="AH1162" s="3">
        <f t="shared" si="282"/>
        <v>55</v>
      </c>
      <c r="AI1162" s="3">
        <f t="shared" si="283"/>
        <v>56</v>
      </c>
      <c r="AM1162" s="3"/>
    </row>
    <row r="1163" spans="1:39" x14ac:dyDescent="0.3">
      <c r="A1163" s="5" t="str">
        <f t="shared" si="279"/>
        <v>SUB902</v>
      </c>
      <c r="B1163" s="1" t="s">
        <v>848</v>
      </c>
      <c r="C1163" s="2" t="str">
        <f t="shared" si="275"/>
        <v>DIO1</v>
      </c>
      <c r="D1163" s="2">
        <v>130</v>
      </c>
      <c r="E1163" s="3">
        <f t="shared" si="276"/>
        <v>2</v>
      </c>
      <c r="F1163" s="3">
        <f t="shared" si="277"/>
        <v>10</v>
      </c>
      <c r="G1163" s="3">
        <v>0</v>
      </c>
      <c r="H1163" s="60">
        <f t="shared" si="284"/>
        <v>2</v>
      </c>
      <c r="I1163" s="54">
        <f t="shared" si="280"/>
        <v>28</v>
      </c>
      <c r="J1163" s="61"/>
      <c r="K1163" s="30"/>
      <c r="L1163" s="1" t="s">
        <v>21</v>
      </c>
      <c r="M1163" s="2">
        <v>4</v>
      </c>
      <c r="N1163" s="1" t="s">
        <v>873</v>
      </c>
      <c r="O1163" s="1" t="s">
        <v>736</v>
      </c>
      <c r="P1163" s="1" t="s">
        <v>871</v>
      </c>
      <c r="Q1163" s="1" t="s">
        <v>955</v>
      </c>
      <c r="R1163" s="1" t="s">
        <v>954</v>
      </c>
      <c r="S1163" s="13"/>
      <c r="T1163" s="1" t="s">
        <v>873</v>
      </c>
      <c r="V1163" s="1" t="str">
        <f t="shared" si="278"/>
        <v>2.10\0.2:28</v>
      </c>
      <c r="W1163" s="13" t="s">
        <v>867</v>
      </c>
      <c r="X1163" s="3" t="s">
        <v>4</v>
      </c>
      <c r="Y1163" s="266"/>
      <c r="AG1163" s="3" t="s">
        <v>732</v>
      </c>
      <c r="AH1163" s="3">
        <f t="shared" si="282"/>
        <v>57</v>
      </c>
      <c r="AI1163" s="3">
        <f t="shared" si="283"/>
        <v>58</v>
      </c>
      <c r="AM1163" s="3"/>
    </row>
    <row r="1164" spans="1:39" x14ac:dyDescent="0.3">
      <c r="A1164" s="5" t="str">
        <f t="shared" si="279"/>
        <v>SUB902</v>
      </c>
      <c r="B1164" s="1" t="s">
        <v>848</v>
      </c>
      <c r="C1164" s="2" t="str">
        <f t="shared" ref="C1164:C1195" si="285">+C1163</f>
        <v>DIO1</v>
      </c>
      <c r="D1164" s="2">
        <v>130</v>
      </c>
      <c r="E1164" s="3">
        <f t="shared" ref="E1164:E1195" si="286">+E1163</f>
        <v>2</v>
      </c>
      <c r="F1164" s="3">
        <f t="shared" ref="F1164:F1195" si="287">+F1163</f>
        <v>10</v>
      </c>
      <c r="G1164" s="3">
        <v>0</v>
      </c>
      <c r="H1164" s="60">
        <f t="shared" si="284"/>
        <v>2</v>
      </c>
      <c r="I1164" s="54">
        <f t="shared" si="280"/>
        <v>29</v>
      </c>
      <c r="J1164" s="61"/>
      <c r="K1164" s="30"/>
      <c r="L1164" s="1" t="s">
        <v>21</v>
      </c>
      <c r="M1164" s="2">
        <v>4</v>
      </c>
      <c r="N1164" s="1" t="s">
        <v>873</v>
      </c>
      <c r="O1164" s="1" t="s">
        <v>953</v>
      </c>
      <c r="P1164" s="1" t="s">
        <v>871</v>
      </c>
      <c r="Q1164" s="1" t="s">
        <v>952</v>
      </c>
      <c r="R1164" s="1" t="s">
        <v>24</v>
      </c>
      <c r="S1164" s="13"/>
      <c r="T1164" s="1" t="s">
        <v>873</v>
      </c>
      <c r="V1164" s="1" t="str">
        <f t="shared" si="278"/>
        <v>2.10\0.2:29</v>
      </c>
      <c r="W1164" s="13" t="s">
        <v>867</v>
      </c>
      <c r="X1164" s="3" t="s">
        <v>4</v>
      </c>
      <c r="Y1164" s="266"/>
      <c r="AG1164" s="3" t="s">
        <v>732</v>
      </c>
      <c r="AH1164" s="3">
        <f t="shared" si="282"/>
        <v>59</v>
      </c>
      <c r="AI1164" s="3">
        <f t="shared" si="283"/>
        <v>60</v>
      </c>
      <c r="AM1164" s="3"/>
    </row>
    <row r="1165" spans="1:39" x14ac:dyDescent="0.3">
      <c r="A1165" s="5" t="str">
        <f t="shared" si="279"/>
        <v>SUB902</v>
      </c>
      <c r="B1165" s="1" t="s">
        <v>848</v>
      </c>
      <c r="C1165" s="2" t="str">
        <f t="shared" si="285"/>
        <v>DIO1</v>
      </c>
      <c r="D1165" s="2">
        <v>130</v>
      </c>
      <c r="E1165" s="3">
        <f t="shared" si="286"/>
        <v>2</v>
      </c>
      <c r="F1165" s="3">
        <f t="shared" si="287"/>
        <v>10</v>
      </c>
      <c r="G1165" s="3">
        <v>0</v>
      </c>
      <c r="H1165" s="60">
        <f t="shared" si="284"/>
        <v>2</v>
      </c>
      <c r="I1165" s="54">
        <f t="shared" si="280"/>
        <v>30</v>
      </c>
      <c r="J1165" s="61"/>
      <c r="K1165" s="30"/>
      <c r="L1165" s="1" t="s">
        <v>21</v>
      </c>
      <c r="M1165" s="2">
        <v>4</v>
      </c>
      <c r="N1165" s="1" t="s">
        <v>873</v>
      </c>
      <c r="O1165" s="1" t="s">
        <v>448</v>
      </c>
      <c r="P1165" s="1" t="s">
        <v>871</v>
      </c>
      <c r="Q1165" s="1" t="s">
        <v>951</v>
      </c>
      <c r="R1165" s="1" t="s">
        <v>638</v>
      </c>
      <c r="S1165" s="13"/>
      <c r="T1165" s="1" t="s">
        <v>873</v>
      </c>
      <c r="V1165" s="1" t="str">
        <f t="shared" si="278"/>
        <v>2.10\0.2:30</v>
      </c>
      <c r="W1165" s="13" t="s">
        <v>867</v>
      </c>
      <c r="X1165" s="3" t="s">
        <v>4</v>
      </c>
      <c r="Y1165" s="266"/>
      <c r="AG1165" s="3" t="s">
        <v>732</v>
      </c>
      <c r="AH1165" s="3">
        <f t="shared" si="282"/>
        <v>61</v>
      </c>
      <c r="AI1165" s="3">
        <f t="shared" si="283"/>
        <v>62</v>
      </c>
      <c r="AM1165" s="3"/>
    </row>
    <row r="1166" spans="1:39" ht="13.5" thickBot="1" x14ac:dyDescent="0.35">
      <c r="A1166" s="5" t="str">
        <f t="shared" si="279"/>
        <v>SUB902</v>
      </c>
      <c r="B1166" s="1" t="s">
        <v>848</v>
      </c>
      <c r="C1166" s="2" t="str">
        <f t="shared" si="285"/>
        <v>DIO1</v>
      </c>
      <c r="D1166" s="2">
        <v>130</v>
      </c>
      <c r="E1166" s="3">
        <f t="shared" si="286"/>
        <v>2</v>
      </c>
      <c r="F1166" s="3">
        <f t="shared" si="287"/>
        <v>10</v>
      </c>
      <c r="G1166" s="3">
        <v>0</v>
      </c>
      <c r="H1166" s="60">
        <f t="shared" si="284"/>
        <v>2</v>
      </c>
      <c r="I1166" s="59">
        <f t="shared" si="280"/>
        <v>31</v>
      </c>
      <c r="J1166" s="58"/>
      <c r="K1166" s="30"/>
      <c r="L1166" s="1" t="s">
        <v>21</v>
      </c>
      <c r="M1166" s="2">
        <v>4</v>
      </c>
      <c r="N1166" s="1" t="s">
        <v>873</v>
      </c>
      <c r="O1166" s="1" t="s">
        <v>72</v>
      </c>
      <c r="P1166" s="1" t="s">
        <v>871</v>
      </c>
      <c r="Q1166" s="1" t="s">
        <v>950</v>
      </c>
      <c r="R1166" s="1" t="s">
        <v>24</v>
      </c>
      <c r="S1166" s="13"/>
      <c r="T1166" s="1" t="s">
        <v>873</v>
      </c>
      <c r="V1166" s="1" t="str">
        <f t="shared" si="278"/>
        <v>2.10\0.2:31</v>
      </c>
      <c r="W1166" s="13" t="s">
        <v>867</v>
      </c>
      <c r="X1166" s="3" t="s">
        <v>4</v>
      </c>
      <c r="Y1166" s="266"/>
      <c r="AG1166" s="3" t="s">
        <v>732</v>
      </c>
      <c r="AH1166" s="3">
        <f t="shared" si="282"/>
        <v>63</v>
      </c>
      <c r="AI1166" s="3">
        <f t="shared" si="283"/>
        <v>64</v>
      </c>
      <c r="AM1166" s="3"/>
    </row>
    <row r="1167" spans="1:39" x14ac:dyDescent="0.3">
      <c r="A1167" s="76" t="s">
        <v>849</v>
      </c>
      <c r="B1167" s="1" t="s">
        <v>848</v>
      </c>
      <c r="C1167" s="2" t="str">
        <f t="shared" si="285"/>
        <v>DIO1</v>
      </c>
      <c r="D1167" s="2">
        <v>130</v>
      </c>
      <c r="E1167" s="3">
        <f t="shared" si="286"/>
        <v>2</v>
      </c>
      <c r="F1167" s="3">
        <f t="shared" si="287"/>
        <v>10</v>
      </c>
      <c r="G1167" s="3">
        <v>0</v>
      </c>
      <c r="H1167" s="223">
        <f>+H1151+1</f>
        <v>3</v>
      </c>
      <c r="I1167" s="56">
        <v>0</v>
      </c>
      <c r="J1167" s="222" t="s">
        <v>316</v>
      </c>
      <c r="K1167" s="2" t="s">
        <v>315</v>
      </c>
      <c r="L1167" s="1" t="s">
        <v>21</v>
      </c>
      <c r="M1167" s="2">
        <v>5</v>
      </c>
      <c r="N1167" s="1" t="s">
        <v>947</v>
      </c>
      <c r="O1167" s="1" t="s">
        <v>320</v>
      </c>
      <c r="P1167" s="1" t="s">
        <v>948</v>
      </c>
      <c r="Q1167" s="1" t="s">
        <v>319</v>
      </c>
      <c r="R1167" s="1" t="s">
        <v>18</v>
      </c>
      <c r="S1167" s="13" t="s">
        <v>318</v>
      </c>
      <c r="T1167" s="1" t="s">
        <v>947</v>
      </c>
      <c r="V1167" s="1" t="str">
        <f t="shared" ref="V1167:V1198" si="288">+CONCATENATE(E1167,".",F1167,"\",G1167,".",H1167,":",I1167)</f>
        <v>2.10\0.3:0</v>
      </c>
      <c r="W1167" s="1" t="s">
        <v>946</v>
      </c>
      <c r="X1167" s="18" t="s">
        <v>4</v>
      </c>
      <c r="Y1167" s="266" t="s">
        <v>949</v>
      </c>
      <c r="Z1167" s="206"/>
      <c r="AA1167" s="206"/>
      <c r="AC1167" s="7"/>
      <c r="AD1167" s="7"/>
      <c r="AE1167" s="7"/>
      <c r="AG1167" s="3" t="s">
        <v>668</v>
      </c>
      <c r="AH1167" s="3">
        <v>1</v>
      </c>
      <c r="AI1167" s="3">
        <v>2</v>
      </c>
      <c r="AM1167" s="3"/>
    </row>
    <row r="1168" spans="1:39" x14ac:dyDescent="0.3">
      <c r="A1168" s="5" t="str">
        <f t="shared" ref="A1168:A1198" si="289">A1167</f>
        <v>SUB902</v>
      </c>
      <c r="B1168" s="1" t="s">
        <v>848</v>
      </c>
      <c r="C1168" s="2" t="str">
        <f t="shared" si="285"/>
        <v>DIO1</v>
      </c>
      <c r="D1168" s="2">
        <v>130</v>
      </c>
      <c r="E1168" s="3">
        <f t="shared" si="286"/>
        <v>2</v>
      </c>
      <c r="F1168" s="3">
        <f t="shared" si="287"/>
        <v>10</v>
      </c>
      <c r="G1168" s="3">
        <v>0</v>
      </c>
      <c r="H1168" s="60">
        <f>H1167</f>
        <v>3</v>
      </c>
      <c r="I1168" s="54">
        <f t="shared" ref="I1168:I1198" si="290">+I1167+1</f>
        <v>1</v>
      </c>
      <c r="J1168" s="61"/>
      <c r="L1168" s="1" t="s">
        <v>21</v>
      </c>
      <c r="M1168" s="2">
        <v>5</v>
      </c>
      <c r="N1168" s="1" t="s">
        <v>947</v>
      </c>
      <c r="O1168" s="1" t="s">
        <v>72</v>
      </c>
      <c r="P1168" s="1" t="s">
        <v>948</v>
      </c>
      <c r="Q1168" s="1" t="s">
        <v>378</v>
      </c>
      <c r="R1168" s="1" t="s">
        <v>24</v>
      </c>
      <c r="S1168" s="13" t="s">
        <v>38</v>
      </c>
      <c r="T1168" s="1" t="s">
        <v>947</v>
      </c>
      <c r="V1168" s="1" t="str">
        <f t="shared" si="288"/>
        <v>2.10\0.3:1</v>
      </c>
      <c r="W1168" s="1" t="s">
        <v>946</v>
      </c>
      <c r="X1168" s="18" t="s">
        <v>4</v>
      </c>
      <c r="Y1168" s="266"/>
      <c r="Z1168" s="206"/>
      <c r="AA1168" s="206"/>
      <c r="AC1168" s="7"/>
      <c r="AD1168" s="7"/>
      <c r="AE1168" s="7"/>
      <c r="AG1168" s="3" t="s">
        <v>668</v>
      </c>
      <c r="AH1168" s="3">
        <v>3</v>
      </c>
      <c r="AI1168" s="3">
        <v>4</v>
      </c>
      <c r="AM1168" s="3"/>
    </row>
    <row r="1169" spans="1:39" x14ac:dyDescent="0.3">
      <c r="A1169" s="5" t="str">
        <f t="shared" si="289"/>
        <v>SUB902</v>
      </c>
      <c r="B1169" s="1" t="s">
        <v>848</v>
      </c>
      <c r="C1169" s="2" t="str">
        <f t="shared" si="285"/>
        <v>DIO1</v>
      </c>
      <c r="D1169" s="2">
        <v>130</v>
      </c>
      <c r="E1169" s="3">
        <f t="shared" si="286"/>
        <v>2</v>
      </c>
      <c r="F1169" s="3">
        <f t="shared" si="287"/>
        <v>10</v>
      </c>
      <c r="G1169" s="3">
        <v>0</v>
      </c>
      <c r="H1169" s="60">
        <f>H1167</f>
        <v>3</v>
      </c>
      <c r="I1169" s="54">
        <f t="shared" si="290"/>
        <v>2</v>
      </c>
      <c r="J1169" s="61"/>
      <c r="K1169" s="30"/>
      <c r="L1169" s="1" t="s">
        <v>21</v>
      </c>
      <c r="M1169" s="2">
        <v>5</v>
      </c>
      <c r="N1169" s="1" t="s">
        <v>947</v>
      </c>
      <c r="O1169" s="1" t="s">
        <v>41</v>
      </c>
      <c r="P1169" s="1" t="s">
        <v>948</v>
      </c>
      <c r="Q1169" s="1" t="s">
        <v>378</v>
      </c>
      <c r="R1169" s="1" t="s">
        <v>67</v>
      </c>
      <c r="S1169" s="13" t="s">
        <v>38</v>
      </c>
      <c r="T1169" s="1" t="s">
        <v>947</v>
      </c>
      <c r="V1169" s="1" t="str">
        <f t="shared" si="288"/>
        <v>2.10\0.3:2</v>
      </c>
      <c r="W1169" s="1" t="s">
        <v>946</v>
      </c>
      <c r="X1169" s="18" t="s">
        <v>4</v>
      </c>
      <c r="Y1169" s="266"/>
      <c r="Z1169" s="206"/>
      <c r="AA1169" s="206"/>
      <c r="AC1169" s="7"/>
      <c r="AD1169" s="7"/>
      <c r="AE1169" s="7"/>
      <c r="AG1169" s="3" t="s">
        <v>668</v>
      </c>
      <c r="AH1169" s="3">
        <v>5</v>
      </c>
      <c r="AI1169" s="3">
        <v>6</v>
      </c>
      <c r="AM1169" s="3"/>
    </row>
    <row r="1170" spans="1:39" x14ac:dyDescent="0.3">
      <c r="A1170" s="5" t="str">
        <f t="shared" si="289"/>
        <v>SUB902</v>
      </c>
      <c r="B1170" s="1" t="s">
        <v>848</v>
      </c>
      <c r="C1170" s="2" t="str">
        <f t="shared" si="285"/>
        <v>DIO1</v>
      </c>
      <c r="D1170" s="2">
        <v>130</v>
      </c>
      <c r="E1170" s="3">
        <f t="shared" si="286"/>
        <v>2</v>
      </c>
      <c r="F1170" s="3">
        <f t="shared" si="287"/>
        <v>10</v>
      </c>
      <c r="G1170" s="3">
        <v>0</v>
      </c>
      <c r="H1170" s="60">
        <f t="shared" ref="H1170:H1181" si="291">H1167</f>
        <v>3</v>
      </c>
      <c r="I1170" s="54">
        <f t="shared" si="290"/>
        <v>3</v>
      </c>
      <c r="J1170" s="61"/>
      <c r="K1170" s="30"/>
      <c r="L1170" s="1" t="s">
        <v>21</v>
      </c>
      <c r="M1170" s="2">
        <v>5</v>
      </c>
      <c r="N1170" s="1" t="s">
        <v>909</v>
      </c>
      <c r="O1170" s="1" t="s">
        <v>320</v>
      </c>
      <c r="P1170" s="1" t="s">
        <v>944</v>
      </c>
      <c r="Q1170" s="1" t="s">
        <v>319</v>
      </c>
      <c r="R1170" s="1" t="s">
        <v>18</v>
      </c>
      <c r="S1170" s="13" t="s">
        <v>318</v>
      </c>
      <c r="T1170" s="1" t="s">
        <v>909</v>
      </c>
      <c r="V1170" s="1" t="str">
        <f t="shared" si="288"/>
        <v>2.10\0.3:3</v>
      </c>
      <c r="W1170" s="1" t="s">
        <v>943</v>
      </c>
      <c r="X1170" s="18" t="s">
        <v>4</v>
      </c>
      <c r="Y1170" s="266" t="s">
        <v>945</v>
      </c>
      <c r="Z1170" s="206"/>
      <c r="AA1170" s="206"/>
      <c r="AC1170" s="7"/>
      <c r="AD1170" s="7"/>
      <c r="AE1170" s="7"/>
      <c r="AG1170" s="3" t="s">
        <v>668</v>
      </c>
      <c r="AH1170" s="3">
        <v>7</v>
      </c>
      <c r="AI1170" s="3">
        <v>8</v>
      </c>
      <c r="AM1170" s="3"/>
    </row>
    <row r="1171" spans="1:39" x14ac:dyDescent="0.3">
      <c r="A1171" s="5" t="str">
        <f t="shared" si="289"/>
        <v>SUB902</v>
      </c>
      <c r="B1171" s="1" t="s">
        <v>848</v>
      </c>
      <c r="C1171" s="2" t="str">
        <f t="shared" si="285"/>
        <v>DIO1</v>
      </c>
      <c r="D1171" s="2">
        <v>130</v>
      </c>
      <c r="E1171" s="3">
        <f t="shared" si="286"/>
        <v>2</v>
      </c>
      <c r="F1171" s="3">
        <f t="shared" si="287"/>
        <v>10</v>
      </c>
      <c r="G1171" s="3">
        <v>0</v>
      </c>
      <c r="H1171" s="60">
        <f t="shared" si="291"/>
        <v>3</v>
      </c>
      <c r="I1171" s="54">
        <f t="shared" si="290"/>
        <v>4</v>
      </c>
      <c r="J1171" s="61"/>
      <c r="K1171" s="30"/>
      <c r="L1171" s="1" t="s">
        <v>21</v>
      </c>
      <c r="M1171" s="2">
        <v>5</v>
      </c>
      <c r="N1171" s="1" t="s">
        <v>909</v>
      </c>
      <c r="O1171" s="1" t="s">
        <v>72</v>
      </c>
      <c r="P1171" s="1" t="s">
        <v>944</v>
      </c>
      <c r="Q1171" s="1" t="s">
        <v>378</v>
      </c>
      <c r="R1171" s="1" t="s">
        <v>24</v>
      </c>
      <c r="S1171" s="13" t="s">
        <v>38</v>
      </c>
      <c r="T1171" s="1" t="s">
        <v>909</v>
      </c>
      <c r="V1171" s="1" t="str">
        <f t="shared" si="288"/>
        <v>2.10\0.3:4</v>
      </c>
      <c r="W1171" s="1" t="s">
        <v>943</v>
      </c>
      <c r="X1171" s="18" t="s">
        <v>4</v>
      </c>
      <c r="Y1171" s="266"/>
      <c r="Z1171" s="206"/>
      <c r="AA1171" s="206"/>
      <c r="AC1171" s="7"/>
      <c r="AD1171" s="7"/>
      <c r="AE1171" s="7"/>
      <c r="AG1171" s="3" t="s">
        <v>668</v>
      </c>
      <c r="AH1171" s="3">
        <v>9</v>
      </c>
      <c r="AI1171" s="3">
        <v>10</v>
      </c>
      <c r="AM1171" s="3"/>
    </row>
    <row r="1172" spans="1:39" x14ac:dyDescent="0.3">
      <c r="A1172" s="5" t="str">
        <f t="shared" si="289"/>
        <v>SUB902</v>
      </c>
      <c r="B1172" s="1" t="s">
        <v>848</v>
      </c>
      <c r="C1172" s="2" t="str">
        <f t="shared" si="285"/>
        <v>DIO1</v>
      </c>
      <c r="D1172" s="2">
        <v>130</v>
      </c>
      <c r="E1172" s="3">
        <f t="shared" si="286"/>
        <v>2</v>
      </c>
      <c r="F1172" s="3">
        <f t="shared" si="287"/>
        <v>10</v>
      </c>
      <c r="G1172" s="3">
        <v>0</v>
      </c>
      <c r="H1172" s="60">
        <f t="shared" si="291"/>
        <v>3</v>
      </c>
      <c r="I1172" s="54">
        <f t="shared" si="290"/>
        <v>5</v>
      </c>
      <c r="J1172" s="61"/>
      <c r="K1172" s="30"/>
      <c r="L1172" s="1" t="s">
        <v>21</v>
      </c>
      <c r="M1172" s="2">
        <v>5</v>
      </c>
      <c r="N1172" s="1" t="s">
        <v>909</v>
      </c>
      <c r="O1172" s="1" t="s">
        <v>41</v>
      </c>
      <c r="P1172" s="1" t="s">
        <v>944</v>
      </c>
      <c r="Q1172" s="1" t="s">
        <v>378</v>
      </c>
      <c r="R1172" s="1" t="s">
        <v>67</v>
      </c>
      <c r="S1172" s="13" t="s">
        <v>38</v>
      </c>
      <c r="T1172" s="1" t="s">
        <v>909</v>
      </c>
      <c r="V1172" s="1" t="str">
        <f t="shared" si="288"/>
        <v>2.10\0.3:5</v>
      </c>
      <c r="W1172" s="1" t="s">
        <v>943</v>
      </c>
      <c r="X1172" s="18" t="s">
        <v>4</v>
      </c>
      <c r="Y1172" s="266"/>
      <c r="Z1172" s="206"/>
      <c r="AA1172" s="206"/>
      <c r="AC1172" s="7"/>
      <c r="AD1172" s="7"/>
      <c r="AE1172" s="7"/>
      <c r="AG1172" s="3" t="s">
        <v>668</v>
      </c>
      <c r="AH1172" s="3">
        <v>11</v>
      </c>
      <c r="AI1172" s="3">
        <v>12</v>
      </c>
      <c r="AM1172" s="3"/>
    </row>
    <row r="1173" spans="1:39" x14ac:dyDescent="0.3">
      <c r="A1173" s="5" t="str">
        <f t="shared" si="289"/>
        <v>SUB902</v>
      </c>
      <c r="B1173" s="1" t="s">
        <v>848</v>
      </c>
      <c r="C1173" s="2" t="str">
        <f t="shared" si="285"/>
        <v>DIO1</v>
      </c>
      <c r="D1173" s="2">
        <v>130</v>
      </c>
      <c r="E1173" s="3">
        <f t="shared" si="286"/>
        <v>2</v>
      </c>
      <c r="F1173" s="3">
        <f t="shared" si="287"/>
        <v>10</v>
      </c>
      <c r="G1173" s="3">
        <v>0</v>
      </c>
      <c r="H1173" s="60">
        <f t="shared" si="291"/>
        <v>3</v>
      </c>
      <c r="I1173" s="54">
        <f t="shared" si="290"/>
        <v>6</v>
      </c>
      <c r="J1173" s="61"/>
      <c r="K1173" s="30"/>
      <c r="L1173" s="1" t="s">
        <v>21</v>
      </c>
      <c r="M1173" s="2">
        <v>5</v>
      </c>
      <c r="N1173" s="1" t="s">
        <v>851</v>
      </c>
      <c r="O1173" s="220" t="s">
        <v>320</v>
      </c>
      <c r="P1173" s="220" t="s">
        <v>941</v>
      </c>
      <c r="Q1173" s="1" t="s">
        <v>319</v>
      </c>
      <c r="R1173" s="1" t="s">
        <v>18</v>
      </c>
      <c r="S1173" s="13" t="s">
        <v>318</v>
      </c>
      <c r="T1173" s="1" t="s">
        <v>851</v>
      </c>
      <c r="V1173" s="1" t="str">
        <f t="shared" si="288"/>
        <v>2.10\0.3:6</v>
      </c>
      <c r="W1173" s="1" t="s">
        <v>940</v>
      </c>
      <c r="X1173" s="18" t="s">
        <v>4</v>
      </c>
      <c r="Y1173" s="266" t="s">
        <v>942</v>
      </c>
      <c r="Z1173" s="206"/>
      <c r="AA1173" s="206"/>
      <c r="AC1173" s="7"/>
      <c r="AD1173" s="7"/>
      <c r="AE1173" s="7"/>
      <c r="AG1173" s="3" t="s">
        <v>668</v>
      </c>
      <c r="AH1173" s="3">
        <v>13</v>
      </c>
      <c r="AI1173" s="3">
        <v>14</v>
      </c>
      <c r="AM1173" s="3"/>
    </row>
    <row r="1174" spans="1:39" x14ac:dyDescent="0.3">
      <c r="A1174" s="5" t="str">
        <f t="shared" si="289"/>
        <v>SUB902</v>
      </c>
      <c r="B1174" s="1" t="s">
        <v>848</v>
      </c>
      <c r="C1174" s="2" t="str">
        <f t="shared" si="285"/>
        <v>DIO1</v>
      </c>
      <c r="D1174" s="2">
        <v>130</v>
      </c>
      <c r="E1174" s="3">
        <f t="shared" si="286"/>
        <v>2</v>
      </c>
      <c r="F1174" s="3">
        <f t="shared" si="287"/>
        <v>10</v>
      </c>
      <c r="G1174" s="3">
        <v>0</v>
      </c>
      <c r="H1174" s="60">
        <f t="shared" si="291"/>
        <v>3</v>
      </c>
      <c r="I1174" s="54">
        <f t="shared" si="290"/>
        <v>7</v>
      </c>
      <c r="J1174" s="61"/>
      <c r="K1174" s="30"/>
      <c r="L1174" s="1" t="s">
        <v>21</v>
      </c>
      <c r="M1174" s="2">
        <v>5</v>
      </c>
      <c r="N1174" s="1" t="s">
        <v>851</v>
      </c>
      <c r="O1174" s="220" t="s">
        <v>72</v>
      </c>
      <c r="P1174" s="220" t="s">
        <v>941</v>
      </c>
      <c r="Q1174" s="1" t="s">
        <v>378</v>
      </c>
      <c r="R1174" s="1" t="s">
        <v>24</v>
      </c>
      <c r="S1174" s="13" t="s">
        <v>38</v>
      </c>
      <c r="T1174" s="1" t="s">
        <v>851</v>
      </c>
      <c r="V1174" s="1" t="str">
        <f t="shared" si="288"/>
        <v>2.10\0.3:7</v>
      </c>
      <c r="W1174" s="1" t="s">
        <v>940</v>
      </c>
      <c r="X1174" s="18" t="s">
        <v>4</v>
      </c>
      <c r="Y1174" s="266"/>
      <c r="Z1174" s="206"/>
      <c r="AA1174" s="206"/>
      <c r="AC1174" s="7"/>
      <c r="AD1174" s="7"/>
      <c r="AE1174" s="7"/>
      <c r="AG1174" s="3" t="s">
        <v>668</v>
      </c>
      <c r="AH1174" s="3">
        <v>15</v>
      </c>
      <c r="AI1174" s="3">
        <v>16</v>
      </c>
      <c r="AM1174" s="3"/>
    </row>
    <row r="1175" spans="1:39" x14ac:dyDescent="0.3">
      <c r="A1175" s="5" t="str">
        <f t="shared" si="289"/>
        <v>SUB902</v>
      </c>
      <c r="B1175" s="1" t="s">
        <v>848</v>
      </c>
      <c r="C1175" s="2" t="str">
        <f t="shared" si="285"/>
        <v>DIO1</v>
      </c>
      <c r="D1175" s="2">
        <v>130</v>
      </c>
      <c r="E1175" s="3">
        <f t="shared" si="286"/>
        <v>2</v>
      </c>
      <c r="F1175" s="3">
        <f t="shared" si="287"/>
        <v>10</v>
      </c>
      <c r="G1175" s="3">
        <v>0</v>
      </c>
      <c r="H1175" s="60">
        <f t="shared" si="291"/>
        <v>3</v>
      </c>
      <c r="I1175" s="54">
        <f t="shared" si="290"/>
        <v>8</v>
      </c>
      <c r="J1175" s="61"/>
      <c r="K1175" s="30"/>
      <c r="L1175" s="1" t="s">
        <v>21</v>
      </c>
      <c r="M1175" s="2">
        <v>5</v>
      </c>
      <c r="N1175" s="1" t="s">
        <v>851</v>
      </c>
      <c r="O1175" s="1" t="s">
        <v>41</v>
      </c>
      <c r="P1175" s="1" t="s">
        <v>941</v>
      </c>
      <c r="Q1175" s="1" t="s">
        <v>378</v>
      </c>
      <c r="R1175" s="1" t="s">
        <v>67</v>
      </c>
      <c r="S1175" s="13" t="s">
        <v>38</v>
      </c>
      <c r="T1175" s="1" t="s">
        <v>851</v>
      </c>
      <c r="V1175" s="1" t="str">
        <f t="shared" si="288"/>
        <v>2.10\0.3:8</v>
      </c>
      <c r="W1175" s="1" t="s">
        <v>940</v>
      </c>
      <c r="X1175" s="18" t="s">
        <v>4</v>
      </c>
      <c r="Y1175" s="266"/>
      <c r="Z1175" s="206"/>
      <c r="AA1175" s="206"/>
      <c r="AC1175" s="7"/>
      <c r="AD1175" s="7"/>
      <c r="AE1175" s="7"/>
      <c r="AG1175" s="3" t="s">
        <v>668</v>
      </c>
      <c r="AH1175" s="3">
        <v>17</v>
      </c>
      <c r="AI1175" s="3">
        <v>18</v>
      </c>
      <c r="AM1175" s="3"/>
    </row>
    <row r="1176" spans="1:39" x14ac:dyDescent="0.3">
      <c r="A1176" s="5" t="str">
        <f t="shared" si="289"/>
        <v>SUB902</v>
      </c>
      <c r="B1176" s="1" t="s">
        <v>848</v>
      </c>
      <c r="C1176" s="2" t="str">
        <f t="shared" si="285"/>
        <v>DIO1</v>
      </c>
      <c r="D1176" s="2">
        <v>130</v>
      </c>
      <c r="E1176" s="3">
        <f t="shared" si="286"/>
        <v>2</v>
      </c>
      <c r="F1176" s="3">
        <f t="shared" si="287"/>
        <v>10</v>
      </c>
      <c r="G1176" s="3">
        <v>0</v>
      </c>
      <c r="H1176" s="60">
        <f t="shared" si="291"/>
        <v>3</v>
      </c>
      <c r="I1176" s="54">
        <f t="shared" si="290"/>
        <v>9</v>
      </c>
      <c r="J1176" s="61"/>
      <c r="K1176" s="30"/>
      <c r="L1176" s="1" t="s">
        <v>21</v>
      </c>
      <c r="M1176" s="2"/>
      <c r="N1176" s="40"/>
      <c r="P1176" s="40"/>
      <c r="Q1176" s="1" t="s">
        <v>302</v>
      </c>
      <c r="R1176" s="1" t="s">
        <v>302</v>
      </c>
      <c r="S1176" s="13"/>
      <c r="V1176" s="1" t="str">
        <f t="shared" si="288"/>
        <v>2.10\0.3:9</v>
      </c>
      <c r="Y1176" s="7"/>
      <c r="Z1176" s="206"/>
      <c r="AA1176" s="206"/>
      <c r="AC1176" s="7"/>
      <c r="AD1176" s="7"/>
      <c r="AE1176" s="7"/>
      <c r="AG1176" s="3" t="s">
        <v>668</v>
      </c>
      <c r="AH1176" s="3">
        <v>19</v>
      </c>
      <c r="AI1176" s="3">
        <v>20</v>
      </c>
      <c r="AM1176" s="3"/>
    </row>
    <row r="1177" spans="1:39" x14ac:dyDescent="0.3">
      <c r="A1177" s="5" t="str">
        <f t="shared" si="289"/>
        <v>SUB902</v>
      </c>
      <c r="B1177" s="1" t="s">
        <v>848</v>
      </c>
      <c r="C1177" s="2" t="str">
        <f t="shared" si="285"/>
        <v>DIO1</v>
      </c>
      <c r="D1177" s="2">
        <v>130</v>
      </c>
      <c r="E1177" s="3">
        <f t="shared" si="286"/>
        <v>2</v>
      </c>
      <c r="F1177" s="3">
        <f t="shared" si="287"/>
        <v>10</v>
      </c>
      <c r="G1177" s="3">
        <v>0</v>
      </c>
      <c r="H1177" s="60">
        <f t="shared" si="291"/>
        <v>3</v>
      </c>
      <c r="I1177" s="54">
        <f t="shared" si="290"/>
        <v>10</v>
      </c>
      <c r="J1177" s="61"/>
      <c r="K1177" s="30"/>
      <c r="L1177" s="1" t="s">
        <v>21</v>
      </c>
      <c r="M1177" s="2"/>
      <c r="N1177" s="40"/>
      <c r="O1177" s="220"/>
      <c r="P1177" s="224"/>
      <c r="Q1177" s="1" t="s">
        <v>302</v>
      </c>
      <c r="R1177" s="1" t="s">
        <v>302</v>
      </c>
      <c r="S1177" s="13"/>
      <c r="V1177" s="1" t="str">
        <f t="shared" si="288"/>
        <v>2.10\0.3:10</v>
      </c>
      <c r="AC1177" s="7"/>
      <c r="AD1177" s="7"/>
      <c r="AE1177" s="7"/>
      <c r="AG1177" s="3" t="s">
        <v>668</v>
      </c>
      <c r="AH1177" s="3">
        <v>21</v>
      </c>
      <c r="AI1177" s="3">
        <v>22</v>
      </c>
      <c r="AM1177" s="3"/>
    </row>
    <row r="1178" spans="1:39" x14ac:dyDescent="0.3">
      <c r="A1178" s="5" t="str">
        <f t="shared" si="289"/>
        <v>SUB902</v>
      </c>
      <c r="B1178" s="1" t="s">
        <v>848</v>
      </c>
      <c r="C1178" s="2" t="str">
        <f t="shared" si="285"/>
        <v>DIO1</v>
      </c>
      <c r="D1178" s="2">
        <v>130</v>
      </c>
      <c r="E1178" s="3">
        <f t="shared" si="286"/>
        <v>2</v>
      </c>
      <c r="F1178" s="3">
        <f t="shared" si="287"/>
        <v>10</v>
      </c>
      <c r="G1178" s="3">
        <v>0</v>
      </c>
      <c r="H1178" s="60">
        <f t="shared" si="291"/>
        <v>3</v>
      </c>
      <c r="I1178" s="54">
        <f t="shared" si="290"/>
        <v>11</v>
      </c>
      <c r="J1178" s="61"/>
      <c r="K1178" s="30"/>
      <c r="L1178" s="1" t="s">
        <v>21</v>
      </c>
      <c r="M1178" s="2">
        <v>4</v>
      </c>
      <c r="N1178" s="1" t="s">
        <v>927</v>
      </c>
      <c r="O1178" s="220" t="s">
        <v>320</v>
      </c>
      <c r="P1178" s="220" t="s">
        <v>929</v>
      </c>
      <c r="Q1178" s="1" t="s">
        <v>319</v>
      </c>
      <c r="R1178" s="1" t="s">
        <v>18</v>
      </c>
      <c r="S1178" s="13" t="s">
        <v>372</v>
      </c>
      <c r="T1178" s="13" t="s">
        <v>927</v>
      </c>
      <c r="V1178" s="1" t="str">
        <f t="shared" si="288"/>
        <v>2.10\0.3:11</v>
      </c>
      <c r="W1178" s="1" t="s">
        <v>926</v>
      </c>
      <c r="X1178" s="3" t="s">
        <v>4</v>
      </c>
      <c r="Y1178" s="268" t="s">
        <v>939</v>
      </c>
      <c r="AC1178" s="7"/>
      <c r="AD1178" s="7"/>
      <c r="AE1178" s="7"/>
      <c r="AG1178" s="3" t="s">
        <v>668</v>
      </c>
      <c r="AH1178" s="3">
        <v>23</v>
      </c>
      <c r="AI1178" s="3">
        <v>24</v>
      </c>
      <c r="AM1178" s="3"/>
    </row>
    <row r="1179" spans="1:39" x14ac:dyDescent="0.3">
      <c r="A1179" s="5" t="str">
        <f t="shared" si="289"/>
        <v>SUB902</v>
      </c>
      <c r="B1179" s="1" t="s">
        <v>848</v>
      </c>
      <c r="C1179" s="2" t="str">
        <f t="shared" si="285"/>
        <v>DIO1</v>
      </c>
      <c r="D1179" s="2">
        <v>130</v>
      </c>
      <c r="E1179" s="3">
        <f t="shared" si="286"/>
        <v>2</v>
      </c>
      <c r="F1179" s="3">
        <f t="shared" si="287"/>
        <v>10</v>
      </c>
      <c r="G1179" s="3">
        <v>0</v>
      </c>
      <c r="H1179" s="60">
        <f t="shared" si="291"/>
        <v>3</v>
      </c>
      <c r="I1179" s="54">
        <f t="shared" si="290"/>
        <v>12</v>
      </c>
      <c r="J1179" s="61"/>
      <c r="K1179" s="30"/>
      <c r="L1179" s="1" t="s">
        <v>21</v>
      </c>
      <c r="M1179" s="2">
        <v>4</v>
      </c>
      <c r="N1179" s="1" t="s">
        <v>927</v>
      </c>
      <c r="O1179" s="12" t="s">
        <v>439</v>
      </c>
      <c r="P1179" s="12" t="s">
        <v>929</v>
      </c>
      <c r="Q1179" s="12" t="s">
        <v>938</v>
      </c>
      <c r="R1179" s="12" t="s">
        <v>24</v>
      </c>
      <c r="S1179" s="13" t="s">
        <v>437</v>
      </c>
      <c r="T1179" s="13" t="s">
        <v>927</v>
      </c>
      <c r="V1179" s="1" t="str">
        <f t="shared" si="288"/>
        <v>2.10\0.3:12</v>
      </c>
      <c r="W1179" s="1" t="s">
        <v>926</v>
      </c>
      <c r="X1179" s="3" t="s">
        <v>4</v>
      </c>
      <c r="Y1179" s="266"/>
      <c r="Z1179" s="206"/>
      <c r="AA1179" s="206"/>
      <c r="AC1179" s="7"/>
      <c r="AD1179" s="7"/>
      <c r="AE1179" s="7"/>
      <c r="AG1179" s="3" t="s">
        <v>668</v>
      </c>
      <c r="AH1179" s="3">
        <v>25</v>
      </c>
      <c r="AI1179" s="3">
        <v>26</v>
      </c>
      <c r="AM1179" s="3"/>
    </row>
    <row r="1180" spans="1:39" x14ac:dyDescent="0.3">
      <c r="A1180" s="5" t="str">
        <f t="shared" si="289"/>
        <v>SUB902</v>
      </c>
      <c r="B1180" s="1" t="s">
        <v>848</v>
      </c>
      <c r="C1180" s="2" t="str">
        <f t="shared" si="285"/>
        <v>DIO1</v>
      </c>
      <c r="D1180" s="2">
        <v>130</v>
      </c>
      <c r="E1180" s="3">
        <f t="shared" si="286"/>
        <v>2</v>
      </c>
      <c r="F1180" s="3">
        <f t="shared" si="287"/>
        <v>10</v>
      </c>
      <c r="G1180" s="3">
        <v>0</v>
      </c>
      <c r="H1180" s="60">
        <f t="shared" si="291"/>
        <v>3</v>
      </c>
      <c r="I1180" s="54">
        <f t="shared" si="290"/>
        <v>13</v>
      </c>
      <c r="J1180" s="61"/>
      <c r="K1180" s="30"/>
      <c r="L1180" s="1" t="s">
        <v>21</v>
      </c>
      <c r="M1180" s="2">
        <v>4</v>
      </c>
      <c r="N1180" s="1" t="s">
        <v>927</v>
      </c>
      <c r="O1180" s="1" t="s">
        <v>68</v>
      </c>
      <c r="P1180" s="1" t="s">
        <v>929</v>
      </c>
      <c r="Q1180" s="1" t="s">
        <v>937</v>
      </c>
      <c r="R1180" s="1" t="s">
        <v>18</v>
      </c>
      <c r="S1180" s="13" t="s">
        <v>936</v>
      </c>
      <c r="T1180" s="13" t="s">
        <v>927</v>
      </c>
      <c r="V1180" s="1" t="str">
        <f t="shared" si="288"/>
        <v>2.10\0.3:13</v>
      </c>
      <c r="W1180" s="1" t="s">
        <v>926</v>
      </c>
      <c r="X1180" s="3" t="s">
        <v>4</v>
      </c>
      <c r="Y1180" s="266"/>
      <c r="Z1180" s="206"/>
      <c r="AA1180" s="206"/>
      <c r="AC1180" s="7"/>
      <c r="AD1180" s="7"/>
      <c r="AE1180" s="7"/>
      <c r="AG1180" s="3" t="s">
        <v>668</v>
      </c>
      <c r="AH1180" s="3">
        <v>27</v>
      </c>
      <c r="AI1180" s="3">
        <v>28</v>
      </c>
      <c r="AM1180" s="3"/>
    </row>
    <row r="1181" spans="1:39" x14ac:dyDescent="0.3">
      <c r="A1181" s="5" t="str">
        <f t="shared" si="289"/>
        <v>SUB902</v>
      </c>
      <c r="B1181" s="1" t="s">
        <v>848</v>
      </c>
      <c r="C1181" s="2" t="str">
        <f t="shared" si="285"/>
        <v>DIO1</v>
      </c>
      <c r="D1181" s="2">
        <v>130</v>
      </c>
      <c r="E1181" s="3">
        <f t="shared" si="286"/>
        <v>2</v>
      </c>
      <c r="F1181" s="3">
        <f t="shared" si="287"/>
        <v>10</v>
      </c>
      <c r="G1181" s="3">
        <v>0</v>
      </c>
      <c r="H1181" s="60">
        <f t="shared" si="291"/>
        <v>3</v>
      </c>
      <c r="I1181" s="54">
        <f t="shared" si="290"/>
        <v>14</v>
      </c>
      <c r="J1181" s="61"/>
      <c r="K1181" s="30"/>
      <c r="L1181" s="1" t="s">
        <v>21</v>
      </c>
      <c r="M1181" s="2">
        <v>4</v>
      </c>
      <c r="N1181" s="1" t="s">
        <v>927</v>
      </c>
      <c r="O1181" s="1" t="s">
        <v>435</v>
      </c>
      <c r="P1181" s="1" t="s">
        <v>929</v>
      </c>
      <c r="Q1181" s="1" t="s">
        <v>935</v>
      </c>
      <c r="R1181" s="1" t="s">
        <v>18</v>
      </c>
      <c r="S1181" s="13" t="s">
        <v>934</v>
      </c>
      <c r="T1181" s="13" t="s">
        <v>927</v>
      </c>
      <c r="V1181" s="1" t="str">
        <f t="shared" si="288"/>
        <v>2.10\0.3:14</v>
      </c>
      <c r="W1181" s="1" t="s">
        <v>926</v>
      </c>
      <c r="X1181" s="3" t="s">
        <v>4</v>
      </c>
      <c r="Y1181" s="266"/>
      <c r="Z1181" s="206"/>
      <c r="AA1181" s="206"/>
      <c r="AC1181" s="7"/>
      <c r="AD1181" s="7"/>
      <c r="AE1181" s="7"/>
      <c r="AG1181" s="3" t="s">
        <v>668</v>
      </c>
      <c r="AH1181" s="3">
        <v>29</v>
      </c>
      <c r="AI1181" s="3">
        <v>30</v>
      </c>
      <c r="AM1181" s="3"/>
    </row>
    <row r="1182" spans="1:39" x14ac:dyDescent="0.3">
      <c r="A1182" s="5" t="str">
        <f t="shared" si="289"/>
        <v>SUB902</v>
      </c>
      <c r="B1182" s="1" t="s">
        <v>848</v>
      </c>
      <c r="C1182" s="2" t="str">
        <f t="shared" si="285"/>
        <v>DIO1</v>
      </c>
      <c r="D1182" s="2">
        <v>130</v>
      </c>
      <c r="E1182" s="3">
        <f t="shared" si="286"/>
        <v>2</v>
      </c>
      <c r="F1182" s="3">
        <f t="shared" si="287"/>
        <v>10</v>
      </c>
      <c r="G1182" s="3">
        <v>0</v>
      </c>
      <c r="H1182" s="60">
        <f t="shared" ref="H1182:H1198" si="292">H1178</f>
        <v>3</v>
      </c>
      <c r="I1182" s="54">
        <f t="shared" si="290"/>
        <v>15</v>
      </c>
      <c r="J1182" s="61"/>
      <c r="K1182" s="30"/>
      <c r="L1182" s="1" t="s">
        <v>21</v>
      </c>
      <c r="M1182" s="2">
        <v>4</v>
      </c>
      <c r="N1182" s="1" t="s">
        <v>927</v>
      </c>
      <c r="O1182" s="1" t="s">
        <v>367</v>
      </c>
      <c r="P1182" s="1" t="s">
        <v>929</v>
      </c>
      <c r="Q1182" s="1" t="s">
        <v>923</v>
      </c>
      <c r="R1182" s="1" t="s">
        <v>24</v>
      </c>
      <c r="S1182" s="13" t="s">
        <v>408</v>
      </c>
      <c r="T1182" s="13" t="s">
        <v>927</v>
      </c>
      <c r="V1182" s="1" t="str">
        <f t="shared" si="288"/>
        <v>2.10\0.3:15</v>
      </c>
      <c r="W1182" s="1" t="s">
        <v>926</v>
      </c>
      <c r="X1182" s="3" t="s">
        <v>4</v>
      </c>
      <c r="Y1182" s="266"/>
      <c r="Z1182" s="206"/>
      <c r="AA1182" s="206"/>
      <c r="AC1182" s="7"/>
      <c r="AD1182" s="7"/>
      <c r="AE1182" s="7"/>
      <c r="AG1182" s="3" t="s">
        <v>668</v>
      </c>
      <c r="AH1182" s="3">
        <v>31</v>
      </c>
      <c r="AI1182" s="3">
        <v>32</v>
      </c>
      <c r="AM1182" s="3"/>
    </row>
    <row r="1183" spans="1:39" x14ac:dyDescent="0.3">
      <c r="A1183" s="5" t="str">
        <f t="shared" si="289"/>
        <v>SUB902</v>
      </c>
      <c r="B1183" s="1" t="s">
        <v>848</v>
      </c>
      <c r="C1183" s="2" t="str">
        <f t="shared" si="285"/>
        <v>DIO1</v>
      </c>
      <c r="D1183" s="2">
        <v>130</v>
      </c>
      <c r="E1183" s="3">
        <f t="shared" si="286"/>
        <v>2</v>
      </c>
      <c r="F1183" s="3">
        <f t="shared" si="287"/>
        <v>10</v>
      </c>
      <c r="G1183" s="3">
        <v>0</v>
      </c>
      <c r="H1183" s="60">
        <f t="shared" si="292"/>
        <v>3</v>
      </c>
      <c r="I1183" s="54">
        <f t="shared" si="290"/>
        <v>16</v>
      </c>
      <c r="J1183" s="61"/>
      <c r="K1183" s="2"/>
      <c r="L1183" s="1" t="s">
        <v>21</v>
      </c>
      <c r="M1183" s="2">
        <v>4</v>
      </c>
      <c r="N1183" s="1" t="s">
        <v>927</v>
      </c>
      <c r="O1183" s="1" t="s">
        <v>364</v>
      </c>
      <c r="P1183" s="1" t="s">
        <v>929</v>
      </c>
      <c r="Q1183" s="1" t="s">
        <v>933</v>
      </c>
      <c r="R1183" s="1" t="s">
        <v>24</v>
      </c>
      <c r="S1183" s="13" t="s">
        <v>362</v>
      </c>
      <c r="T1183" s="13" t="s">
        <v>927</v>
      </c>
      <c r="V1183" s="1" t="str">
        <f t="shared" si="288"/>
        <v>2.10\0.3:16</v>
      </c>
      <c r="W1183" s="1" t="s">
        <v>926</v>
      </c>
      <c r="X1183" s="3" t="s">
        <v>4</v>
      </c>
      <c r="Y1183" s="266"/>
      <c r="Z1183" s="206"/>
      <c r="AA1183" s="206"/>
      <c r="AC1183" s="7"/>
      <c r="AD1183" s="7"/>
      <c r="AE1183" s="7"/>
      <c r="AG1183" s="3" t="s">
        <v>668</v>
      </c>
      <c r="AH1183" s="3">
        <v>33</v>
      </c>
      <c r="AI1183" s="3">
        <v>34</v>
      </c>
      <c r="AM1183" s="3"/>
    </row>
    <row r="1184" spans="1:39" x14ac:dyDescent="0.3">
      <c r="A1184" s="5" t="str">
        <f t="shared" si="289"/>
        <v>SUB902</v>
      </c>
      <c r="B1184" s="1" t="s">
        <v>848</v>
      </c>
      <c r="C1184" s="2" t="str">
        <f t="shared" si="285"/>
        <v>DIO1</v>
      </c>
      <c r="D1184" s="2">
        <v>130</v>
      </c>
      <c r="E1184" s="3">
        <f t="shared" si="286"/>
        <v>2</v>
      </c>
      <c r="F1184" s="3">
        <f t="shared" si="287"/>
        <v>10</v>
      </c>
      <c r="G1184" s="3">
        <v>0</v>
      </c>
      <c r="H1184" s="60">
        <f t="shared" si="292"/>
        <v>3</v>
      </c>
      <c r="I1184" s="54">
        <f t="shared" si="290"/>
        <v>17</v>
      </c>
      <c r="J1184" s="61"/>
      <c r="K1184" s="30"/>
      <c r="L1184" s="1" t="s">
        <v>21</v>
      </c>
      <c r="M1184" s="2">
        <v>4</v>
      </c>
      <c r="N1184" s="1" t="s">
        <v>927</v>
      </c>
      <c r="O1184" s="1" t="s">
        <v>361</v>
      </c>
      <c r="P1184" s="1" t="s">
        <v>929</v>
      </c>
      <c r="Q1184" s="41" t="s">
        <v>920</v>
      </c>
      <c r="R1184" s="1" t="s">
        <v>24</v>
      </c>
      <c r="S1184" s="13" t="s">
        <v>359</v>
      </c>
      <c r="T1184" s="13" t="s">
        <v>927</v>
      </c>
      <c r="V1184" s="1" t="str">
        <f t="shared" si="288"/>
        <v>2.10\0.3:17</v>
      </c>
      <c r="W1184" s="1" t="s">
        <v>926</v>
      </c>
      <c r="X1184" s="3" t="s">
        <v>4</v>
      </c>
      <c r="Y1184" s="266"/>
      <c r="Z1184" s="206"/>
      <c r="AA1184" s="206"/>
      <c r="AC1184" s="7"/>
      <c r="AD1184" s="7"/>
      <c r="AE1184" s="7"/>
      <c r="AG1184" s="3" t="s">
        <v>668</v>
      </c>
      <c r="AH1184" s="3">
        <v>35</v>
      </c>
      <c r="AI1184" s="3">
        <v>36</v>
      </c>
      <c r="AM1184" s="3"/>
    </row>
    <row r="1185" spans="1:39" x14ac:dyDescent="0.3">
      <c r="A1185" s="5" t="str">
        <f t="shared" si="289"/>
        <v>SUB902</v>
      </c>
      <c r="B1185" s="1" t="s">
        <v>848</v>
      </c>
      <c r="C1185" s="2" t="str">
        <f t="shared" si="285"/>
        <v>DIO1</v>
      </c>
      <c r="D1185" s="2">
        <v>130</v>
      </c>
      <c r="E1185" s="3">
        <f t="shared" si="286"/>
        <v>2</v>
      </c>
      <c r="F1185" s="3">
        <f t="shared" si="287"/>
        <v>10</v>
      </c>
      <c r="G1185" s="3">
        <v>0</v>
      </c>
      <c r="H1185" s="60">
        <f t="shared" si="292"/>
        <v>3</v>
      </c>
      <c r="I1185" s="54">
        <f t="shared" si="290"/>
        <v>18</v>
      </c>
      <c r="J1185" s="61"/>
      <c r="K1185" s="30"/>
      <c r="L1185" s="1" t="s">
        <v>21</v>
      </c>
      <c r="M1185" s="2">
        <v>4</v>
      </c>
      <c r="N1185" s="1" t="s">
        <v>927</v>
      </c>
      <c r="O1185" s="1" t="s">
        <v>448</v>
      </c>
      <c r="P1185" s="1" t="s">
        <v>929</v>
      </c>
      <c r="Q1185" s="41" t="s">
        <v>932</v>
      </c>
      <c r="R1185" s="1" t="s">
        <v>18</v>
      </c>
      <c r="S1185" s="13" t="s">
        <v>931</v>
      </c>
      <c r="T1185" s="13" t="s">
        <v>927</v>
      </c>
      <c r="V1185" s="1" t="str">
        <f t="shared" si="288"/>
        <v>2.10\0.3:18</v>
      </c>
      <c r="W1185" s="1" t="s">
        <v>926</v>
      </c>
      <c r="X1185" s="3" t="s">
        <v>4</v>
      </c>
      <c r="Y1185" s="266"/>
      <c r="Z1185" s="206"/>
      <c r="AA1185" s="206"/>
      <c r="AC1185" s="7"/>
      <c r="AD1185" s="7"/>
      <c r="AE1185" s="7"/>
      <c r="AG1185" s="3" t="s">
        <v>668</v>
      </c>
      <c r="AH1185" s="3">
        <v>37</v>
      </c>
      <c r="AI1185" s="3">
        <v>38</v>
      </c>
      <c r="AM1185" s="3"/>
    </row>
    <row r="1186" spans="1:39" x14ac:dyDescent="0.3">
      <c r="A1186" s="5" t="str">
        <f t="shared" si="289"/>
        <v>SUB902</v>
      </c>
      <c r="B1186" s="1" t="s">
        <v>848</v>
      </c>
      <c r="C1186" s="2" t="str">
        <f t="shared" si="285"/>
        <v>DIO1</v>
      </c>
      <c r="D1186" s="2">
        <v>130</v>
      </c>
      <c r="E1186" s="3">
        <f t="shared" si="286"/>
        <v>2</v>
      </c>
      <c r="F1186" s="3">
        <f t="shared" si="287"/>
        <v>10</v>
      </c>
      <c r="G1186" s="3">
        <v>0</v>
      </c>
      <c r="H1186" s="60">
        <f t="shared" si="292"/>
        <v>3</v>
      </c>
      <c r="I1186" s="54">
        <f t="shared" si="290"/>
        <v>19</v>
      </c>
      <c r="J1186" s="61"/>
      <c r="K1186" s="30"/>
      <c r="L1186" s="1" t="s">
        <v>21</v>
      </c>
      <c r="M1186" s="2">
        <v>4</v>
      </c>
      <c r="N1186" s="1" t="s">
        <v>927</v>
      </c>
      <c r="O1186" s="220" t="s">
        <v>422</v>
      </c>
      <c r="P1186" s="220" t="s">
        <v>929</v>
      </c>
      <c r="Q1186" s="221" t="s">
        <v>930</v>
      </c>
      <c r="R1186" s="220" t="s">
        <v>18</v>
      </c>
      <c r="S1186" s="13" t="s">
        <v>420</v>
      </c>
      <c r="T1186" s="13" t="s">
        <v>927</v>
      </c>
      <c r="V1186" s="1" t="str">
        <f t="shared" si="288"/>
        <v>2.10\0.3:19</v>
      </c>
      <c r="W1186" s="1" t="s">
        <v>926</v>
      </c>
      <c r="X1186" s="3" t="s">
        <v>4</v>
      </c>
      <c r="Y1186" s="266"/>
      <c r="Z1186" s="206"/>
      <c r="AA1186" s="206"/>
      <c r="AC1186" s="7"/>
      <c r="AD1186" s="7"/>
      <c r="AE1186" s="7"/>
      <c r="AG1186" s="3" t="s">
        <v>668</v>
      </c>
      <c r="AH1186" s="3">
        <v>39</v>
      </c>
      <c r="AI1186" s="3">
        <v>40</v>
      </c>
      <c r="AM1186" s="3"/>
    </row>
    <row r="1187" spans="1:39" x14ac:dyDescent="0.3">
      <c r="A1187" s="5" t="str">
        <f t="shared" si="289"/>
        <v>SUB902</v>
      </c>
      <c r="B1187" s="1" t="s">
        <v>848</v>
      </c>
      <c r="C1187" s="2" t="str">
        <f t="shared" si="285"/>
        <v>DIO1</v>
      </c>
      <c r="D1187" s="2">
        <v>130</v>
      </c>
      <c r="E1187" s="3">
        <f t="shared" si="286"/>
        <v>2</v>
      </c>
      <c r="F1187" s="3">
        <f t="shared" si="287"/>
        <v>10</v>
      </c>
      <c r="G1187" s="3">
        <v>0</v>
      </c>
      <c r="H1187" s="60">
        <f t="shared" si="292"/>
        <v>3</v>
      </c>
      <c r="I1187" s="54">
        <f t="shared" si="290"/>
        <v>20</v>
      </c>
      <c r="J1187" s="61"/>
      <c r="K1187" s="30"/>
      <c r="L1187" s="1" t="s">
        <v>21</v>
      </c>
      <c r="M1187" s="2">
        <v>4</v>
      </c>
      <c r="N1187" s="1" t="s">
        <v>927</v>
      </c>
      <c r="O1187" s="13" t="s">
        <v>410</v>
      </c>
      <c r="P1187" s="13" t="s">
        <v>929</v>
      </c>
      <c r="Q1187" s="2" t="s">
        <v>928</v>
      </c>
      <c r="R1187" s="2" t="s">
        <v>24</v>
      </c>
      <c r="S1187" s="13" t="s">
        <v>406</v>
      </c>
      <c r="T1187" s="13" t="s">
        <v>927</v>
      </c>
      <c r="V1187" s="1" t="str">
        <f t="shared" si="288"/>
        <v>2.10\0.3:20</v>
      </c>
      <c r="W1187" s="1" t="s">
        <v>926</v>
      </c>
      <c r="X1187" s="3" t="s">
        <v>4</v>
      </c>
      <c r="Y1187" s="266"/>
      <c r="Z1187" s="206"/>
      <c r="AA1187" s="206"/>
      <c r="AC1187" s="7"/>
      <c r="AD1187" s="7"/>
      <c r="AE1187" s="7"/>
      <c r="AG1187" s="3" t="s">
        <v>668</v>
      </c>
      <c r="AH1187" s="3">
        <v>41</v>
      </c>
      <c r="AI1187" s="3">
        <v>42</v>
      </c>
      <c r="AM1187" s="3"/>
    </row>
    <row r="1188" spans="1:39" x14ac:dyDescent="0.3">
      <c r="A1188" s="5" t="str">
        <f t="shared" si="289"/>
        <v>SUB902</v>
      </c>
      <c r="B1188" s="1" t="s">
        <v>848</v>
      </c>
      <c r="C1188" s="2" t="str">
        <f t="shared" si="285"/>
        <v>DIO1</v>
      </c>
      <c r="D1188" s="2">
        <v>130</v>
      </c>
      <c r="E1188" s="3">
        <f t="shared" si="286"/>
        <v>2</v>
      </c>
      <c r="F1188" s="3">
        <f t="shared" si="287"/>
        <v>10</v>
      </c>
      <c r="G1188" s="3">
        <v>0</v>
      </c>
      <c r="H1188" s="60">
        <f t="shared" si="292"/>
        <v>3</v>
      </c>
      <c r="I1188" s="54">
        <f t="shared" si="290"/>
        <v>21</v>
      </c>
      <c r="J1188" s="61"/>
      <c r="K1188" s="30"/>
      <c r="L1188" s="1" t="s">
        <v>21</v>
      </c>
      <c r="M1188" s="2"/>
      <c r="Q1188" s="2" t="s">
        <v>302</v>
      </c>
      <c r="R1188" s="2" t="s">
        <v>302</v>
      </c>
      <c r="S1188" s="13"/>
      <c r="V1188" s="1" t="str">
        <f t="shared" si="288"/>
        <v>2.10\0.3:21</v>
      </c>
      <c r="Y1188" s="7"/>
      <c r="Z1188" s="206"/>
      <c r="AA1188" s="206"/>
      <c r="AC1188" s="7"/>
      <c r="AD1188" s="7"/>
      <c r="AE1188" s="7"/>
      <c r="AG1188" s="3" t="s">
        <v>668</v>
      </c>
      <c r="AH1188" s="3">
        <v>43</v>
      </c>
      <c r="AI1188" s="3">
        <v>44</v>
      </c>
      <c r="AM1188" s="3"/>
    </row>
    <row r="1189" spans="1:39" x14ac:dyDescent="0.3">
      <c r="A1189" s="5" t="str">
        <f t="shared" si="289"/>
        <v>SUB902</v>
      </c>
      <c r="B1189" s="1" t="s">
        <v>848</v>
      </c>
      <c r="C1189" s="2" t="str">
        <f t="shared" si="285"/>
        <v>DIO1</v>
      </c>
      <c r="D1189" s="2">
        <v>130</v>
      </c>
      <c r="E1189" s="3">
        <f t="shared" si="286"/>
        <v>2</v>
      </c>
      <c r="F1189" s="3">
        <f t="shared" si="287"/>
        <v>10</v>
      </c>
      <c r="G1189" s="3">
        <v>0</v>
      </c>
      <c r="H1189" s="60">
        <f t="shared" si="292"/>
        <v>3</v>
      </c>
      <c r="I1189" s="54">
        <f t="shared" si="290"/>
        <v>22</v>
      </c>
      <c r="J1189" s="61"/>
      <c r="K1189" s="30"/>
      <c r="L1189" s="1" t="s">
        <v>21</v>
      </c>
      <c r="M1189" s="2"/>
      <c r="Q1189" s="2" t="s">
        <v>302</v>
      </c>
      <c r="R1189" s="2" t="s">
        <v>302</v>
      </c>
      <c r="S1189" s="13"/>
      <c r="V1189" s="1" t="str">
        <f t="shared" si="288"/>
        <v>2.10\0.3:22</v>
      </c>
      <c r="AG1189" s="3" t="s">
        <v>668</v>
      </c>
      <c r="AH1189" s="3">
        <v>45</v>
      </c>
      <c r="AI1189" s="3">
        <v>46</v>
      </c>
      <c r="AM1189" s="3"/>
    </row>
    <row r="1190" spans="1:39" x14ac:dyDescent="0.3">
      <c r="A1190" s="5" t="str">
        <f t="shared" si="289"/>
        <v>SUB902</v>
      </c>
      <c r="B1190" s="1" t="s">
        <v>848</v>
      </c>
      <c r="C1190" s="2" t="str">
        <f t="shared" si="285"/>
        <v>DIO1</v>
      </c>
      <c r="D1190" s="2">
        <v>130</v>
      </c>
      <c r="E1190" s="3">
        <f t="shared" si="286"/>
        <v>2</v>
      </c>
      <c r="F1190" s="3">
        <f t="shared" si="287"/>
        <v>10</v>
      </c>
      <c r="G1190" s="3">
        <v>0</v>
      </c>
      <c r="H1190" s="60">
        <f t="shared" si="292"/>
        <v>3</v>
      </c>
      <c r="I1190" s="54">
        <f t="shared" si="290"/>
        <v>23</v>
      </c>
      <c r="J1190" s="61"/>
      <c r="K1190" s="30"/>
      <c r="L1190" s="1" t="s">
        <v>21</v>
      </c>
      <c r="M1190" s="2"/>
      <c r="Q1190" s="2" t="s">
        <v>302</v>
      </c>
      <c r="R1190" s="2" t="s">
        <v>302</v>
      </c>
      <c r="S1190" s="13"/>
      <c r="V1190" s="1" t="str">
        <f t="shared" si="288"/>
        <v>2.10\0.3:23</v>
      </c>
      <c r="AG1190" s="3" t="s">
        <v>668</v>
      </c>
      <c r="AH1190" s="3">
        <v>47</v>
      </c>
      <c r="AI1190" s="3">
        <v>48</v>
      </c>
      <c r="AM1190" s="3"/>
    </row>
    <row r="1191" spans="1:39" x14ac:dyDescent="0.3">
      <c r="A1191" s="5" t="str">
        <f t="shared" si="289"/>
        <v>SUB902</v>
      </c>
      <c r="B1191" s="1" t="s">
        <v>848</v>
      </c>
      <c r="C1191" s="2" t="str">
        <f t="shared" si="285"/>
        <v>DIO1</v>
      </c>
      <c r="D1191" s="2">
        <v>130</v>
      </c>
      <c r="E1191" s="3">
        <f t="shared" si="286"/>
        <v>2</v>
      </c>
      <c r="F1191" s="3">
        <f t="shared" si="287"/>
        <v>10</v>
      </c>
      <c r="G1191" s="3">
        <v>0</v>
      </c>
      <c r="H1191" s="60">
        <f t="shared" si="292"/>
        <v>3</v>
      </c>
      <c r="I1191" s="54">
        <f t="shared" si="290"/>
        <v>24</v>
      </c>
      <c r="J1191" s="61"/>
      <c r="K1191" s="30"/>
      <c r="L1191" s="1" t="s">
        <v>21</v>
      </c>
      <c r="M1191" s="2">
        <v>4</v>
      </c>
      <c r="N1191" s="1" t="s">
        <v>916</v>
      </c>
      <c r="O1191" s="1" t="s">
        <v>320</v>
      </c>
      <c r="P1191" s="1" t="s">
        <v>918</v>
      </c>
      <c r="Q1191" s="2" t="s">
        <v>319</v>
      </c>
      <c r="R1191" s="2" t="s">
        <v>18</v>
      </c>
      <c r="S1191" s="13" t="s">
        <v>372</v>
      </c>
      <c r="T1191" s="13" t="s">
        <v>916</v>
      </c>
      <c r="V1191" s="1" t="str">
        <f t="shared" si="288"/>
        <v>2.10\0.3:24</v>
      </c>
      <c r="W1191" s="1" t="s">
        <v>915</v>
      </c>
      <c r="X1191" s="3" t="s">
        <v>4</v>
      </c>
      <c r="Y1191" s="268" t="s">
        <v>925</v>
      </c>
      <c r="AG1191" s="3" t="s">
        <v>668</v>
      </c>
      <c r="AH1191" s="3">
        <v>49</v>
      </c>
      <c r="AI1191" s="3">
        <v>50</v>
      </c>
      <c r="AM1191" s="3"/>
    </row>
    <row r="1192" spans="1:39" x14ac:dyDescent="0.3">
      <c r="A1192" s="5" t="str">
        <f t="shared" si="289"/>
        <v>SUB902</v>
      </c>
      <c r="B1192" s="1" t="s">
        <v>848</v>
      </c>
      <c r="C1192" s="2" t="str">
        <f t="shared" si="285"/>
        <v>DIO1</v>
      </c>
      <c r="D1192" s="2">
        <v>130</v>
      </c>
      <c r="E1192" s="3">
        <f t="shared" si="286"/>
        <v>2</v>
      </c>
      <c r="F1192" s="3">
        <f t="shared" si="287"/>
        <v>10</v>
      </c>
      <c r="G1192" s="3">
        <v>0</v>
      </c>
      <c r="H1192" s="60">
        <f t="shared" si="292"/>
        <v>3</v>
      </c>
      <c r="I1192" s="54">
        <f t="shared" si="290"/>
        <v>25</v>
      </c>
      <c r="J1192" s="61"/>
      <c r="K1192" s="30"/>
      <c r="L1192" s="1" t="s">
        <v>21</v>
      </c>
      <c r="M1192" s="2">
        <v>4</v>
      </c>
      <c r="N1192" s="1" t="s">
        <v>916</v>
      </c>
      <c r="O1192" s="1" t="s">
        <v>68</v>
      </c>
      <c r="P1192" s="1" t="s">
        <v>918</v>
      </c>
      <c r="Q1192" s="1" t="s">
        <v>924</v>
      </c>
      <c r="R1192" s="1" t="s">
        <v>18</v>
      </c>
      <c r="S1192" s="13" t="s">
        <v>414</v>
      </c>
      <c r="T1192" s="13" t="s">
        <v>916</v>
      </c>
      <c r="V1192" s="1" t="str">
        <f t="shared" si="288"/>
        <v>2.10\0.3:25</v>
      </c>
      <c r="W1192" s="1" t="s">
        <v>915</v>
      </c>
      <c r="X1192" s="3" t="s">
        <v>4</v>
      </c>
      <c r="Y1192" s="266"/>
      <c r="AG1192" s="3" t="s">
        <v>668</v>
      </c>
      <c r="AH1192" s="3">
        <v>51</v>
      </c>
      <c r="AI1192" s="3">
        <v>52</v>
      </c>
      <c r="AM1192" s="3"/>
    </row>
    <row r="1193" spans="1:39" x14ac:dyDescent="0.3">
      <c r="A1193" s="5" t="str">
        <f t="shared" si="289"/>
        <v>SUB902</v>
      </c>
      <c r="B1193" s="1" t="s">
        <v>848</v>
      </c>
      <c r="C1193" s="2" t="str">
        <f t="shared" si="285"/>
        <v>DIO1</v>
      </c>
      <c r="D1193" s="2">
        <v>130</v>
      </c>
      <c r="E1193" s="3">
        <f t="shared" si="286"/>
        <v>2</v>
      </c>
      <c r="F1193" s="3">
        <f t="shared" si="287"/>
        <v>10</v>
      </c>
      <c r="G1193" s="3">
        <v>0</v>
      </c>
      <c r="H1193" s="60">
        <f t="shared" si="292"/>
        <v>3</v>
      </c>
      <c r="I1193" s="54">
        <f t="shared" si="290"/>
        <v>26</v>
      </c>
      <c r="J1193" s="61"/>
      <c r="K1193" s="30"/>
      <c r="L1193" s="1" t="s">
        <v>21</v>
      </c>
      <c r="M1193" s="2">
        <v>4</v>
      </c>
      <c r="N1193" s="1" t="s">
        <v>916</v>
      </c>
      <c r="O1193" s="1" t="s">
        <v>367</v>
      </c>
      <c r="P1193" s="1" t="s">
        <v>918</v>
      </c>
      <c r="Q1193" s="1" t="s">
        <v>923</v>
      </c>
      <c r="R1193" s="1" t="s">
        <v>24</v>
      </c>
      <c r="S1193" s="13" t="s">
        <v>343</v>
      </c>
      <c r="T1193" s="13" t="s">
        <v>916</v>
      </c>
      <c r="V1193" s="1" t="str">
        <f t="shared" si="288"/>
        <v>2.10\0.3:26</v>
      </c>
      <c r="W1193" s="1" t="s">
        <v>915</v>
      </c>
      <c r="X1193" s="3" t="s">
        <v>4</v>
      </c>
      <c r="Y1193" s="266"/>
      <c r="AG1193" s="3" t="s">
        <v>668</v>
      </c>
      <c r="AH1193" s="3">
        <v>53</v>
      </c>
      <c r="AI1193" s="3">
        <v>54</v>
      </c>
      <c r="AM1193" s="3"/>
    </row>
    <row r="1194" spans="1:39" x14ac:dyDescent="0.3">
      <c r="A1194" s="5" t="str">
        <f t="shared" si="289"/>
        <v>SUB902</v>
      </c>
      <c r="B1194" s="1" t="s">
        <v>848</v>
      </c>
      <c r="C1194" s="2" t="str">
        <f t="shared" si="285"/>
        <v>DIO1</v>
      </c>
      <c r="D1194" s="2">
        <v>130</v>
      </c>
      <c r="E1194" s="3">
        <f t="shared" si="286"/>
        <v>2</v>
      </c>
      <c r="F1194" s="3">
        <f t="shared" si="287"/>
        <v>10</v>
      </c>
      <c r="G1194" s="3">
        <v>0</v>
      </c>
      <c r="H1194" s="60">
        <f t="shared" si="292"/>
        <v>3</v>
      </c>
      <c r="I1194" s="54">
        <f t="shared" si="290"/>
        <v>27</v>
      </c>
      <c r="J1194" s="61"/>
      <c r="K1194" s="30"/>
      <c r="L1194" s="1" t="s">
        <v>21</v>
      </c>
      <c r="M1194" s="2">
        <v>4</v>
      </c>
      <c r="N1194" s="1" t="s">
        <v>916</v>
      </c>
      <c r="O1194" s="1" t="s">
        <v>364</v>
      </c>
      <c r="P1194" s="1" t="s">
        <v>918</v>
      </c>
      <c r="Q1194" s="1" t="s">
        <v>922</v>
      </c>
      <c r="R1194" s="1" t="s">
        <v>921</v>
      </c>
      <c r="S1194" s="13" t="s">
        <v>362</v>
      </c>
      <c r="T1194" s="13" t="s">
        <v>916</v>
      </c>
      <c r="V1194" s="1" t="str">
        <f t="shared" si="288"/>
        <v>2.10\0.3:27</v>
      </c>
      <c r="W1194" s="1" t="s">
        <v>915</v>
      </c>
      <c r="X1194" s="3" t="s">
        <v>4</v>
      </c>
      <c r="Y1194" s="266"/>
      <c r="AG1194" s="3" t="s">
        <v>668</v>
      </c>
      <c r="AH1194" s="3">
        <v>55</v>
      </c>
      <c r="AI1194" s="3">
        <v>56</v>
      </c>
      <c r="AM1194" s="3"/>
    </row>
    <row r="1195" spans="1:39" x14ac:dyDescent="0.3">
      <c r="A1195" s="5" t="str">
        <f t="shared" si="289"/>
        <v>SUB902</v>
      </c>
      <c r="B1195" s="1" t="s">
        <v>848</v>
      </c>
      <c r="C1195" s="2" t="str">
        <f t="shared" si="285"/>
        <v>DIO1</v>
      </c>
      <c r="D1195" s="2">
        <v>130</v>
      </c>
      <c r="E1195" s="3">
        <f t="shared" si="286"/>
        <v>2</v>
      </c>
      <c r="F1195" s="3">
        <f t="shared" si="287"/>
        <v>10</v>
      </c>
      <c r="G1195" s="3">
        <v>0</v>
      </c>
      <c r="H1195" s="60">
        <f t="shared" si="292"/>
        <v>3</v>
      </c>
      <c r="I1195" s="54">
        <f t="shared" si="290"/>
        <v>28</v>
      </c>
      <c r="J1195" s="61"/>
      <c r="K1195" s="30"/>
      <c r="L1195" s="1" t="s">
        <v>21</v>
      </c>
      <c r="M1195" s="2">
        <v>4</v>
      </c>
      <c r="N1195" s="1" t="s">
        <v>916</v>
      </c>
      <c r="O1195" s="1" t="s">
        <v>361</v>
      </c>
      <c r="P1195" s="1" t="s">
        <v>918</v>
      </c>
      <c r="Q1195" s="1" t="s">
        <v>920</v>
      </c>
      <c r="R1195" s="1" t="s">
        <v>24</v>
      </c>
      <c r="S1195" s="13" t="s">
        <v>359</v>
      </c>
      <c r="T1195" s="13" t="s">
        <v>916</v>
      </c>
      <c r="V1195" s="1" t="str">
        <f t="shared" si="288"/>
        <v>2.10\0.3:28</v>
      </c>
      <c r="W1195" s="1" t="s">
        <v>915</v>
      </c>
      <c r="X1195" s="3" t="s">
        <v>4</v>
      </c>
      <c r="Y1195" s="266"/>
      <c r="AG1195" s="3" t="s">
        <v>668</v>
      </c>
      <c r="AH1195" s="3">
        <v>57</v>
      </c>
      <c r="AI1195" s="3">
        <v>58</v>
      </c>
      <c r="AM1195" s="3"/>
    </row>
    <row r="1196" spans="1:39" x14ac:dyDescent="0.3">
      <c r="A1196" s="5" t="str">
        <f t="shared" si="289"/>
        <v>SUB902</v>
      </c>
      <c r="B1196" s="1" t="s">
        <v>848</v>
      </c>
      <c r="C1196" s="2" t="str">
        <f t="shared" ref="C1196:C1227" si="293">+C1195</f>
        <v>DIO1</v>
      </c>
      <c r="D1196" s="2">
        <v>130</v>
      </c>
      <c r="E1196" s="3">
        <f t="shared" ref="E1196:E1227" si="294">+E1195</f>
        <v>2</v>
      </c>
      <c r="F1196" s="3">
        <f t="shared" ref="F1196:F1227" si="295">+F1195</f>
        <v>10</v>
      </c>
      <c r="G1196" s="3">
        <v>0</v>
      </c>
      <c r="H1196" s="60">
        <f t="shared" si="292"/>
        <v>3</v>
      </c>
      <c r="I1196" s="54">
        <f t="shared" si="290"/>
        <v>29</v>
      </c>
      <c r="J1196" s="61"/>
      <c r="K1196" s="30"/>
      <c r="L1196" s="1" t="s">
        <v>21</v>
      </c>
      <c r="M1196" s="2">
        <v>4</v>
      </c>
      <c r="N1196" s="1" t="s">
        <v>916</v>
      </c>
      <c r="O1196" s="1" t="s">
        <v>410</v>
      </c>
      <c r="P1196" s="1" t="s">
        <v>918</v>
      </c>
      <c r="Q1196" s="1" t="s">
        <v>919</v>
      </c>
      <c r="R1196" s="1" t="s">
        <v>18</v>
      </c>
      <c r="S1196" s="13" t="s">
        <v>408</v>
      </c>
      <c r="T1196" s="13" t="s">
        <v>916</v>
      </c>
      <c r="V1196" s="1" t="str">
        <f t="shared" si="288"/>
        <v>2.10\0.3:29</v>
      </c>
      <c r="W1196" s="1" t="s">
        <v>915</v>
      </c>
      <c r="X1196" s="3" t="s">
        <v>4</v>
      </c>
      <c r="Y1196" s="266"/>
      <c r="AG1196" s="3" t="s">
        <v>668</v>
      </c>
      <c r="AH1196" s="3">
        <v>59</v>
      </c>
      <c r="AI1196" s="3">
        <v>60</v>
      </c>
      <c r="AM1196" s="3"/>
    </row>
    <row r="1197" spans="1:39" x14ac:dyDescent="0.3">
      <c r="A1197" s="5" t="str">
        <f t="shared" si="289"/>
        <v>SUB902</v>
      </c>
      <c r="B1197" s="1" t="s">
        <v>848</v>
      </c>
      <c r="C1197" s="2" t="str">
        <f t="shared" si="293"/>
        <v>DIO1</v>
      </c>
      <c r="D1197" s="2">
        <v>130</v>
      </c>
      <c r="E1197" s="3">
        <f t="shared" si="294"/>
        <v>2</v>
      </c>
      <c r="F1197" s="3">
        <f t="shared" si="295"/>
        <v>10</v>
      </c>
      <c r="G1197" s="3">
        <v>0</v>
      </c>
      <c r="H1197" s="60">
        <f t="shared" si="292"/>
        <v>3</v>
      </c>
      <c r="I1197" s="54">
        <f t="shared" si="290"/>
        <v>30</v>
      </c>
      <c r="J1197" s="61"/>
      <c r="K1197" s="30"/>
      <c r="L1197" s="1" t="s">
        <v>21</v>
      </c>
      <c r="M1197" s="2">
        <v>4</v>
      </c>
      <c r="N1197" s="1" t="s">
        <v>916</v>
      </c>
      <c r="O1197" s="13" t="s">
        <v>358</v>
      </c>
      <c r="P1197" s="13" t="s">
        <v>918</v>
      </c>
      <c r="Q1197" s="1" t="s">
        <v>917</v>
      </c>
      <c r="R1197" s="1" t="s">
        <v>18</v>
      </c>
      <c r="S1197" s="13" t="s">
        <v>406</v>
      </c>
      <c r="T1197" s="13" t="s">
        <v>916</v>
      </c>
      <c r="V1197" s="1" t="str">
        <f t="shared" si="288"/>
        <v>2.10\0.3:30</v>
      </c>
      <c r="W1197" s="1" t="s">
        <v>915</v>
      </c>
      <c r="X1197" s="3" t="s">
        <v>4</v>
      </c>
      <c r="Y1197" s="266"/>
      <c r="AG1197" s="3" t="s">
        <v>668</v>
      </c>
      <c r="AH1197" s="3">
        <v>61</v>
      </c>
      <c r="AI1197" s="3">
        <v>62</v>
      </c>
      <c r="AM1197" s="3"/>
    </row>
    <row r="1198" spans="1:39" ht="13.5" thickBot="1" x14ac:dyDescent="0.35">
      <c r="A1198" s="5" t="str">
        <f t="shared" si="289"/>
        <v>SUB902</v>
      </c>
      <c r="B1198" s="1" t="s">
        <v>848</v>
      </c>
      <c r="C1198" s="2" t="str">
        <f t="shared" si="293"/>
        <v>DIO1</v>
      </c>
      <c r="D1198" s="2">
        <v>130</v>
      </c>
      <c r="E1198" s="3">
        <f t="shared" si="294"/>
        <v>2</v>
      </c>
      <c r="F1198" s="3">
        <f t="shared" si="295"/>
        <v>10</v>
      </c>
      <c r="G1198" s="3">
        <v>0</v>
      </c>
      <c r="H1198" s="60">
        <f t="shared" si="292"/>
        <v>3</v>
      </c>
      <c r="I1198" s="59">
        <f t="shared" si="290"/>
        <v>31</v>
      </c>
      <c r="J1198" s="58"/>
      <c r="K1198" s="30"/>
      <c r="L1198" s="1" t="s">
        <v>21</v>
      </c>
      <c r="M1198" s="2"/>
      <c r="N1198" s="2"/>
      <c r="Q1198" s="1" t="s">
        <v>302</v>
      </c>
      <c r="R1198" s="1" t="s">
        <v>302</v>
      </c>
      <c r="S1198" s="13"/>
      <c r="V1198" s="1" t="str">
        <f t="shared" si="288"/>
        <v>2.10\0.3:31</v>
      </c>
      <c r="AG1198" s="3" t="s">
        <v>668</v>
      </c>
      <c r="AH1198" s="3">
        <v>63</v>
      </c>
      <c r="AI1198" s="3">
        <v>64</v>
      </c>
      <c r="AM1198" s="3"/>
    </row>
    <row r="1199" spans="1:39" x14ac:dyDescent="0.3">
      <c r="A1199" s="76" t="s">
        <v>849</v>
      </c>
      <c r="B1199" s="1" t="s">
        <v>848</v>
      </c>
      <c r="C1199" s="2" t="str">
        <f t="shared" si="293"/>
        <v>DIO1</v>
      </c>
      <c r="D1199" s="2">
        <v>130</v>
      </c>
      <c r="E1199" s="3">
        <f t="shared" si="294"/>
        <v>2</v>
      </c>
      <c r="F1199" s="3">
        <f t="shared" si="295"/>
        <v>10</v>
      </c>
      <c r="G1199" s="3">
        <v>0</v>
      </c>
      <c r="H1199" s="223">
        <f>+H1183+1</f>
        <v>4</v>
      </c>
      <c r="I1199" s="56">
        <v>0</v>
      </c>
      <c r="J1199" s="222" t="s">
        <v>316</v>
      </c>
      <c r="K1199" s="2" t="s">
        <v>315</v>
      </c>
      <c r="L1199" s="1" t="s">
        <v>21</v>
      </c>
      <c r="M1199" s="2">
        <v>4</v>
      </c>
      <c r="N1199" s="1" t="s">
        <v>909</v>
      </c>
      <c r="O1199" s="1" t="s">
        <v>350</v>
      </c>
      <c r="Q1199" s="1" t="s">
        <v>771</v>
      </c>
      <c r="R1199" s="1" t="s">
        <v>18</v>
      </c>
      <c r="S1199" s="13" t="s">
        <v>770</v>
      </c>
      <c r="T1199" s="13" t="s">
        <v>909</v>
      </c>
      <c r="V1199" s="1" t="str">
        <f t="shared" ref="V1199:V1230" si="296">+CONCATENATE(E1199,".",F1199,"\",G1199,".",H1199,":",I1199)</f>
        <v>2.10\0.4:0</v>
      </c>
      <c r="W1199" s="13" t="s">
        <v>908</v>
      </c>
      <c r="Y1199" s="268" t="s">
        <v>914</v>
      </c>
      <c r="Z1199" s="206"/>
      <c r="AA1199" s="206"/>
      <c r="AC1199" s="7"/>
      <c r="AD1199" s="7"/>
      <c r="AE1199" s="7"/>
      <c r="AG1199" s="3" t="s">
        <v>612</v>
      </c>
      <c r="AH1199" s="3">
        <v>1</v>
      </c>
      <c r="AI1199" s="3">
        <v>2</v>
      </c>
      <c r="AM1199" s="3"/>
    </row>
    <row r="1200" spans="1:39" x14ac:dyDescent="0.3">
      <c r="A1200" s="5" t="str">
        <f t="shared" ref="A1200:A1230" si="297">A1199</f>
        <v>SUB902</v>
      </c>
      <c r="B1200" s="1" t="s">
        <v>848</v>
      </c>
      <c r="C1200" s="2" t="str">
        <f t="shared" si="293"/>
        <v>DIO1</v>
      </c>
      <c r="D1200" s="2">
        <v>130</v>
      </c>
      <c r="E1200" s="3">
        <f t="shared" si="294"/>
        <v>2</v>
      </c>
      <c r="F1200" s="3">
        <f t="shared" si="295"/>
        <v>10</v>
      </c>
      <c r="G1200" s="3">
        <v>0</v>
      </c>
      <c r="H1200" s="60">
        <f>H1199</f>
        <v>4</v>
      </c>
      <c r="I1200" s="54">
        <f t="shared" ref="I1200:I1230" si="298">+I1199+1</f>
        <v>1</v>
      </c>
      <c r="J1200" s="61"/>
      <c r="L1200" s="1" t="s">
        <v>21</v>
      </c>
      <c r="M1200" s="2">
        <v>4</v>
      </c>
      <c r="N1200" s="1" t="s">
        <v>909</v>
      </c>
      <c r="O1200" s="1" t="s">
        <v>439</v>
      </c>
      <c r="Q1200" s="1" t="s">
        <v>913</v>
      </c>
      <c r="R1200" s="1" t="s">
        <v>24</v>
      </c>
      <c r="S1200" s="13" t="s">
        <v>766</v>
      </c>
      <c r="T1200" s="13" t="s">
        <v>909</v>
      </c>
      <c r="V1200" s="1" t="str">
        <f t="shared" si="296"/>
        <v>2.10\0.4:1</v>
      </c>
      <c r="W1200" s="13" t="s">
        <v>908</v>
      </c>
      <c r="Y1200" s="268"/>
      <c r="Z1200" s="206"/>
      <c r="AA1200" s="206"/>
      <c r="AC1200" s="7"/>
      <c r="AD1200" s="7"/>
      <c r="AE1200" s="7"/>
      <c r="AG1200" s="3" t="s">
        <v>612</v>
      </c>
      <c r="AH1200" s="3">
        <v>3</v>
      </c>
      <c r="AI1200" s="3">
        <v>4</v>
      </c>
      <c r="AM1200" s="3"/>
    </row>
    <row r="1201" spans="1:39" x14ac:dyDescent="0.3">
      <c r="A1201" s="5" t="str">
        <f t="shared" si="297"/>
        <v>SUB902</v>
      </c>
      <c r="B1201" s="1" t="s">
        <v>848</v>
      </c>
      <c r="C1201" s="2" t="str">
        <f t="shared" si="293"/>
        <v>DIO1</v>
      </c>
      <c r="D1201" s="2">
        <v>130</v>
      </c>
      <c r="E1201" s="3">
        <f t="shared" si="294"/>
        <v>2</v>
      </c>
      <c r="F1201" s="3">
        <f t="shared" si="295"/>
        <v>10</v>
      </c>
      <c r="G1201" s="3">
        <v>0</v>
      </c>
      <c r="H1201" s="60">
        <f>H1199</f>
        <v>4</v>
      </c>
      <c r="I1201" s="54">
        <f t="shared" si="298"/>
        <v>2</v>
      </c>
      <c r="J1201" s="61"/>
      <c r="K1201" s="30"/>
      <c r="L1201" s="1" t="s">
        <v>21</v>
      </c>
      <c r="M1201" s="2">
        <v>4</v>
      </c>
      <c r="N1201" s="1" t="s">
        <v>909</v>
      </c>
      <c r="O1201" s="1" t="s">
        <v>367</v>
      </c>
      <c r="Q1201" s="1" t="s">
        <v>912</v>
      </c>
      <c r="R1201" s="1" t="s">
        <v>24</v>
      </c>
      <c r="S1201" s="13" t="s">
        <v>764</v>
      </c>
      <c r="T1201" s="13" t="s">
        <v>909</v>
      </c>
      <c r="V1201" s="1" t="str">
        <f t="shared" si="296"/>
        <v>2.10\0.4:2</v>
      </c>
      <c r="W1201" s="13" t="s">
        <v>908</v>
      </c>
      <c r="Y1201" s="268"/>
      <c r="Z1201" s="206"/>
      <c r="AA1201" s="206"/>
      <c r="AC1201" s="7"/>
      <c r="AD1201" s="7"/>
      <c r="AE1201" s="7"/>
      <c r="AG1201" s="3" t="s">
        <v>612</v>
      </c>
      <c r="AH1201" s="3">
        <v>5</v>
      </c>
      <c r="AI1201" s="3">
        <v>6</v>
      </c>
      <c r="AM1201" s="3"/>
    </row>
    <row r="1202" spans="1:39" x14ac:dyDescent="0.3">
      <c r="A1202" s="5" t="str">
        <f t="shared" si="297"/>
        <v>SUB902</v>
      </c>
      <c r="B1202" s="1" t="s">
        <v>848</v>
      </c>
      <c r="C1202" s="2" t="str">
        <f t="shared" si="293"/>
        <v>DIO1</v>
      </c>
      <c r="D1202" s="2">
        <v>130</v>
      </c>
      <c r="E1202" s="3">
        <f t="shared" si="294"/>
        <v>2</v>
      </c>
      <c r="F1202" s="3">
        <f t="shared" si="295"/>
        <v>10</v>
      </c>
      <c r="G1202" s="3">
        <v>0</v>
      </c>
      <c r="H1202" s="60">
        <f t="shared" ref="H1202:H1213" si="299">H1199</f>
        <v>4</v>
      </c>
      <c r="I1202" s="54">
        <f t="shared" si="298"/>
        <v>3</v>
      </c>
      <c r="J1202" s="61"/>
      <c r="K1202" s="30"/>
      <c r="L1202" s="1" t="s">
        <v>21</v>
      </c>
      <c r="M1202" s="6">
        <v>5</v>
      </c>
      <c r="N1202" s="6" t="s">
        <v>909</v>
      </c>
      <c r="O1202" s="6" t="s">
        <v>364</v>
      </c>
      <c r="P1202" s="6"/>
      <c r="Q1202" s="6" t="s">
        <v>911</v>
      </c>
      <c r="R1202" s="6" t="s">
        <v>24</v>
      </c>
      <c r="S1202" s="13"/>
      <c r="T1202" s="13" t="s">
        <v>909</v>
      </c>
      <c r="V1202" s="1" t="str">
        <f t="shared" si="296"/>
        <v>2.10\0.4:3</v>
      </c>
      <c r="W1202" s="13" t="s">
        <v>908</v>
      </c>
      <c r="Y1202" s="268"/>
      <c r="Z1202" s="206"/>
      <c r="AA1202" s="206"/>
      <c r="AC1202" s="7"/>
      <c r="AD1202" s="7"/>
      <c r="AE1202" s="7"/>
      <c r="AG1202" s="3" t="s">
        <v>612</v>
      </c>
      <c r="AH1202" s="3">
        <v>7</v>
      </c>
      <c r="AI1202" s="3">
        <v>8</v>
      </c>
      <c r="AM1202" s="3"/>
    </row>
    <row r="1203" spans="1:39" x14ac:dyDescent="0.3">
      <c r="A1203" s="5" t="str">
        <f t="shared" si="297"/>
        <v>SUB902</v>
      </c>
      <c r="B1203" s="1" t="s">
        <v>848</v>
      </c>
      <c r="C1203" s="2" t="str">
        <f t="shared" si="293"/>
        <v>DIO1</v>
      </c>
      <c r="D1203" s="2">
        <v>130</v>
      </c>
      <c r="E1203" s="3">
        <f t="shared" si="294"/>
        <v>2</v>
      </c>
      <c r="F1203" s="3">
        <f t="shared" si="295"/>
        <v>10</v>
      </c>
      <c r="G1203" s="3">
        <v>0</v>
      </c>
      <c r="H1203" s="60">
        <f t="shared" si="299"/>
        <v>4</v>
      </c>
      <c r="I1203" s="54">
        <f t="shared" si="298"/>
        <v>4</v>
      </c>
      <c r="J1203" s="61"/>
      <c r="K1203" s="30"/>
      <c r="L1203" s="1" t="s">
        <v>21</v>
      </c>
      <c r="M1203" s="6">
        <v>5</v>
      </c>
      <c r="N1203" s="6" t="s">
        <v>909</v>
      </c>
      <c r="O1203" s="6" t="s">
        <v>361</v>
      </c>
      <c r="P1203" s="6"/>
      <c r="Q1203" s="6" t="s">
        <v>910</v>
      </c>
      <c r="R1203" s="6" t="s">
        <v>24</v>
      </c>
      <c r="S1203" s="13"/>
      <c r="T1203" s="13" t="s">
        <v>909</v>
      </c>
      <c r="V1203" s="1" t="str">
        <f t="shared" si="296"/>
        <v>2.10\0.4:4</v>
      </c>
      <c r="W1203" s="13" t="s">
        <v>908</v>
      </c>
      <c r="Y1203" s="268"/>
      <c r="Z1203" s="206"/>
      <c r="AA1203" s="206"/>
      <c r="AC1203" s="7"/>
      <c r="AD1203" s="7"/>
      <c r="AE1203" s="7"/>
      <c r="AG1203" s="3" t="s">
        <v>612</v>
      </c>
      <c r="AH1203" s="3">
        <v>9</v>
      </c>
      <c r="AI1203" s="3">
        <v>10</v>
      </c>
      <c r="AM1203" s="3"/>
    </row>
    <row r="1204" spans="1:39" x14ac:dyDescent="0.3">
      <c r="A1204" s="5" t="str">
        <f t="shared" si="297"/>
        <v>SUB902</v>
      </c>
      <c r="B1204" s="1" t="s">
        <v>848</v>
      </c>
      <c r="C1204" s="2" t="str">
        <f t="shared" si="293"/>
        <v>DIO1</v>
      </c>
      <c r="D1204" s="2">
        <v>130</v>
      </c>
      <c r="E1204" s="3">
        <f t="shared" si="294"/>
        <v>2</v>
      </c>
      <c r="F1204" s="3">
        <f t="shared" si="295"/>
        <v>10</v>
      </c>
      <c r="G1204" s="3">
        <v>0</v>
      </c>
      <c r="H1204" s="60">
        <f t="shared" si="299"/>
        <v>4</v>
      </c>
      <c r="I1204" s="54">
        <f t="shared" si="298"/>
        <v>5</v>
      </c>
      <c r="J1204" s="61"/>
      <c r="K1204" s="30"/>
      <c r="L1204" s="1" t="s">
        <v>21</v>
      </c>
      <c r="M1204" s="2">
        <v>4</v>
      </c>
      <c r="N1204" s="1" t="s">
        <v>909</v>
      </c>
      <c r="O1204" s="1" t="s">
        <v>410</v>
      </c>
      <c r="Q1204" s="1" t="s">
        <v>744</v>
      </c>
      <c r="R1204" s="1" t="s">
        <v>24</v>
      </c>
      <c r="S1204" s="13"/>
      <c r="T1204" s="13" t="s">
        <v>909</v>
      </c>
      <c r="V1204" s="1" t="str">
        <f t="shared" si="296"/>
        <v>2.10\0.4:5</v>
      </c>
      <c r="W1204" s="13" t="s">
        <v>908</v>
      </c>
      <c r="Y1204" s="268"/>
      <c r="Z1204" s="206"/>
      <c r="AA1204" s="206"/>
      <c r="AC1204" s="7"/>
      <c r="AD1204" s="7"/>
      <c r="AE1204" s="7"/>
      <c r="AG1204" s="3" t="s">
        <v>612</v>
      </c>
      <c r="AH1204" s="3">
        <v>11</v>
      </c>
      <c r="AI1204" s="3">
        <v>12</v>
      </c>
      <c r="AM1204" s="3"/>
    </row>
    <row r="1205" spans="1:39" x14ac:dyDescent="0.3">
      <c r="A1205" s="5" t="str">
        <f t="shared" si="297"/>
        <v>SUB902</v>
      </c>
      <c r="B1205" s="1" t="s">
        <v>848</v>
      </c>
      <c r="C1205" s="2" t="str">
        <f t="shared" si="293"/>
        <v>DIO1</v>
      </c>
      <c r="D1205" s="2">
        <v>130</v>
      </c>
      <c r="E1205" s="3">
        <f t="shared" si="294"/>
        <v>2</v>
      </c>
      <c r="F1205" s="3">
        <f t="shared" si="295"/>
        <v>10</v>
      </c>
      <c r="G1205" s="3">
        <v>0</v>
      </c>
      <c r="H1205" s="60">
        <f t="shared" si="299"/>
        <v>4</v>
      </c>
      <c r="I1205" s="54">
        <f t="shared" si="298"/>
        <v>6</v>
      </c>
      <c r="J1205" s="61"/>
      <c r="K1205" s="30"/>
      <c r="L1205" s="1" t="s">
        <v>21</v>
      </c>
      <c r="M1205" s="2">
        <v>4</v>
      </c>
      <c r="N1205" s="1" t="s">
        <v>909</v>
      </c>
      <c r="O1205" s="220" t="s">
        <v>358</v>
      </c>
      <c r="P1205" s="220"/>
      <c r="Q1205" s="1" t="s">
        <v>744</v>
      </c>
      <c r="R1205" s="1" t="s">
        <v>24</v>
      </c>
      <c r="S1205" s="13"/>
      <c r="T1205" s="13" t="s">
        <v>909</v>
      </c>
      <c r="V1205" s="1" t="str">
        <f t="shared" si="296"/>
        <v>2.10\0.4:6</v>
      </c>
      <c r="W1205" s="13" t="s">
        <v>908</v>
      </c>
      <c r="Y1205" s="268"/>
      <c r="Z1205" s="206"/>
      <c r="AA1205" s="206"/>
      <c r="AC1205" s="7"/>
      <c r="AD1205" s="7"/>
      <c r="AE1205" s="7"/>
      <c r="AG1205" s="3" t="s">
        <v>612</v>
      </c>
      <c r="AH1205" s="3">
        <v>13</v>
      </c>
      <c r="AI1205" s="3">
        <v>14</v>
      </c>
      <c r="AM1205" s="3"/>
    </row>
    <row r="1206" spans="1:39" x14ac:dyDescent="0.3">
      <c r="A1206" s="5" t="str">
        <f t="shared" si="297"/>
        <v>SUB902</v>
      </c>
      <c r="B1206" s="1" t="s">
        <v>848</v>
      </c>
      <c r="C1206" s="2" t="str">
        <f t="shared" si="293"/>
        <v>DIO1</v>
      </c>
      <c r="D1206" s="2">
        <v>130</v>
      </c>
      <c r="E1206" s="3">
        <f t="shared" si="294"/>
        <v>2</v>
      </c>
      <c r="F1206" s="3">
        <f t="shared" si="295"/>
        <v>10</v>
      </c>
      <c r="G1206" s="3">
        <v>0</v>
      </c>
      <c r="H1206" s="60">
        <f t="shared" si="299"/>
        <v>4</v>
      </c>
      <c r="I1206" s="54">
        <f t="shared" si="298"/>
        <v>7</v>
      </c>
      <c r="J1206" s="61"/>
      <c r="K1206" s="30"/>
      <c r="L1206" s="1" t="s">
        <v>21</v>
      </c>
      <c r="M1206" s="2">
        <v>4</v>
      </c>
      <c r="N1206" s="1" t="s">
        <v>909</v>
      </c>
      <c r="O1206" s="220" t="s">
        <v>755</v>
      </c>
      <c r="P1206" s="220"/>
      <c r="Q1206" s="1" t="s">
        <v>744</v>
      </c>
      <c r="R1206" s="1" t="s">
        <v>24</v>
      </c>
      <c r="S1206" s="13"/>
      <c r="T1206" s="13" t="s">
        <v>909</v>
      </c>
      <c r="V1206" s="1" t="str">
        <f t="shared" si="296"/>
        <v>2.10\0.4:7</v>
      </c>
      <c r="W1206" s="13" t="s">
        <v>908</v>
      </c>
      <c r="Y1206" s="268"/>
      <c r="Z1206" s="206"/>
      <c r="AA1206" s="206"/>
      <c r="AC1206" s="7"/>
      <c r="AD1206" s="7"/>
      <c r="AE1206" s="7"/>
      <c r="AG1206" s="3" t="s">
        <v>612</v>
      </c>
      <c r="AH1206" s="3">
        <v>15</v>
      </c>
      <c r="AI1206" s="3">
        <v>16</v>
      </c>
      <c r="AM1206" s="3"/>
    </row>
    <row r="1207" spans="1:39" x14ac:dyDescent="0.3">
      <c r="A1207" s="5" t="str">
        <f t="shared" si="297"/>
        <v>SUB902</v>
      </c>
      <c r="B1207" s="1" t="s">
        <v>848</v>
      </c>
      <c r="C1207" s="2" t="str">
        <f t="shared" si="293"/>
        <v>DIO1</v>
      </c>
      <c r="D1207" s="2">
        <v>130</v>
      </c>
      <c r="E1207" s="3">
        <f t="shared" si="294"/>
        <v>2</v>
      </c>
      <c r="F1207" s="3">
        <f t="shared" si="295"/>
        <v>10</v>
      </c>
      <c r="G1207" s="3">
        <v>0</v>
      </c>
      <c r="H1207" s="60">
        <f t="shared" si="299"/>
        <v>4</v>
      </c>
      <c r="I1207" s="54">
        <f t="shared" si="298"/>
        <v>8</v>
      </c>
      <c r="J1207" s="61"/>
      <c r="K1207" s="30"/>
      <c r="L1207" s="1" t="s">
        <v>21</v>
      </c>
      <c r="M1207" s="2"/>
      <c r="N1207" s="2"/>
      <c r="Q1207" s="1" t="s">
        <v>302</v>
      </c>
      <c r="S1207" s="13"/>
      <c r="V1207" s="1" t="str">
        <f t="shared" si="296"/>
        <v>2.10\0.4:8</v>
      </c>
      <c r="Y1207" s="7"/>
      <c r="Z1207" s="206"/>
      <c r="AA1207" s="206"/>
      <c r="AC1207" s="7"/>
      <c r="AD1207" s="7"/>
      <c r="AE1207" s="7"/>
      <c r="AG1207" s="3" t="s">
        <v>612</v>
      </c>
      <c r="AH1207" s="3">
        <v>17</v>
      </c>
      <c r="AI1207" s="3">
        <v>18</v>
      </c>
      <c r="AM1207" s="3"/>
    </row>
    <row r="1208" spans="1:39" x14ac:dyDescent="0.3">
      <c r="A1208" s="5" t="str">
        <f t="shared" si="297"/>
        <v>SUB902</v>
      </c>
      <c r="B1208" s="1" t="s">
        <v>848</v>
      </c>
      <c r="C1208" s="2" t="str">
        <f t="shared" si="293"/>
        <v>DIO1</v>
      </c>
      <c r="D1208" s="2">
        <v>130</v>
      </c>
      <c r="E1208" s="3">
        <f t="shared" si="294"/>
        <v>2</v>
      </c>
      <c r="F1208" s="3">
        <f t="shared" si="295"/>
        <v>10</v>
      </c>
      <c r="G1208" s="3">
        <v>0</v>
      </c>
      <c r="H1208" s="60">
        <f t="shared" si="299"/>
        <v>4</v>
      </c>
      <c r="I1208" s="54">
        <f t="shared" si="298"/>
        <v>9</v>
      </c>
      <c r="J1208" s="61"/>
      <c r="K1208" s="30"/>
      <c r="L1208" s="1" t="s">
        <v>21</v>
      </c>
      <c r="M1208" s="2"/>
      <c r="N1208" s="2"/>
      <c r="Q1208" s="1" t="s">
        <v>302</v>
      </c>
      <c r="S1208" s="13"/>
      <c r="V1208" s="1" t="str">
        <f t="shared" si="296"/>
        <v>2.10\0.4:9</v>
      </c>
      <c r="Y1208" s="7"/>
      <c r="Z1208" s="206"/>
      <c r="AA1208" s="206"/>
      <c r="AC1208" s="7"/>
      <c r="AD1208" s="7"/>
      <c r="AE1208" s="7"/>
      <c r="AG1208" s="3" t="s">
        <v>612</v>
      </c>
      <c r="AH1208" s="3">
        <v>19</v>
      </c>
      <c r="AI1208" s="3">
        <v>20</v>
      </c>
      <c r="AM1208" s="3"/>
    </row>
    <row r="1209" spans="1:39" x14ac:dyDescent="0.3">
      <c r="A1209" s="5" t="str">
        <f t="shared" si="297"/>
        <v>SUB902</v>
      </c>
      <c r="B1209" s="1" t="s">
        <v>848</v>
      </c>
      <c r="C1209" s="2" t="str">
        <f t="shared" si="293"/>
        <v>DIO1</v>
      </c>
      <c r="D1209" s="2">
        <v>130</v>
      </c>
      <c r="E1209" s="3">
        <f t="shared" si="294"/>
        <v>2</v>
      </c>
      <c r="F1209" s="3">
        <f t="shared" si="295"/>
        <v>10</v>
      </c>
      <c r="G1209" s="3">
        <v>0</v>
      </c>
      <c r="H1209" s="60">
        <f t="shared" si="299"/>
        <v>4</v>
      </c>
      <c r="I1209" s="54">
        <f t="shared" si="298"/>
        <v>10</v>
      </c>
      <c r="J1209" s="61"/>
      <c r="K1209" s="30"/>
      <c r="L1209" s="1" t="s">
        <v>21</v>
      </c>
      <c r="M1209" s="2"/>
      <c r="N1209" s="2"/>
      <c r="O1209" s="220"/>
      <c r="P1209" s="220"/>
      <c r="Q1209" s="1" t="s">
        <v>302</v>
      </c>
      <c r="S1209" s="13"/>
      <c r="V1209" s="1" t="str">
        <f t="shared" si="296"/>
        <v>2.10\0.4:10</v>
      </c>
      <c r="AC1209" s="7"/>
      <c r="AD1209" s="7"/>
      <c r="AE1209" s="7"/>
      <c r="AG1209" s="3" t="s">
        <v>612</v>
      </c>
      <c r="AH1209" s="3">
        <v>21</v>
      </c>
      <c r="AI1209" s="3">
        <v>22</v>
      </c>
      <c r="AM1209" s="3"/>
    </row>
    <row r="1210" spans="1:39" x14ac:dyDescent="0.3">
      <c r="A1210" s="5" t="str">
        <f t="shared" si="297"/>
        <v>SUB902</v>
      </c>
      <c r="B1210" s="1" t="s">
        <v>848</v>
      </c>
      <c r="C1210" s="2" t="str">
        <f t="shared" si="293"/>
        <v>DIO1</v>
      </c>
      <c r="D1210" s="2">
        <v>130</v>
      </c>
      <c r="E1210" s="3">
        <f t="shared" si="294"/>
        <v>2</v>
      </c>
      <c r="F1210" s="3">
        <f t="shared" si="295"/>
        <v>10</v>
      </c>
      <c r="G1210" s="3">
        <v>0</v>
      </c>
      <c r="H1210" s="60">
        <f t="shared" si="299"/>
        <v>4</v>
      </c>
      <c r="I1210" s="54">
        <f t="shared" si="298"/>
        <v>11</v>
      </c>
      <c r="J1210" s="61"/>
      <c r="K1210" s="30"/>
      <c r="L1210" s="1" t="s">
        <v>21</v>
      </c>
      <c r="M1210" s="2"/>
      <c r="N1210" s="2"/>
      <c r="O1210" s="220"/>
      <c r="P1210" s="220"/>
      <c r="Q1210" s="1" t="s">
        <v>302</v>
      </c>
      <c r="S1210" s="13"/>
      <c r="V1210" s="1" t="str">
        <f t="shared" si="296"/>
        <v>2.10\0.4:11</v>
      </c>
      <c r="AC1210" s="7"/>
      <c r="AD1210" s="7"/>
      <c r="AE1210" s="7"/>
      <c r="AG1210" s="3" t="s">
        <v>612</v>
      </c>
      <c r="AH1210" s="3">
        <v>23</v>
      </c>
      <c r="AI1210" s="3">
        <v>24</v>
      </c>
      <c r="AM1210" s="3"/>
    </row>
    <row r="1211" spans="1:39" x14ac:dyDescent="0.3">
      <c r="A1211" s="5" t="str">
        <f t="shared" si="297"/>
        <v>SUB902</v>
      </c>
      <c r="B1211" s="1" t="s">
        <v>848</v>
      </c>
      <c r="C1211" s="2" t="str">
        <f t="shared" si="293"/>
        <v>DIO1</v>
      </c>
      <c r="D1211" s="2">
        <v>130</v>
      </c>
      <c r="E1211" s="3">
        <f t="shared" si="294"/>
        <v>2</v>
      </c>
      <c r="F1211" s="3">
        <f t="shared" si="295"/>
        <v>10</v>
      </c>
      <c r="G1211" s="3">
        <v>0</v>
      </c>
      <c r="H1211" s="60">
        <f t="shared" si="299"/>
        <v>4</v>
      </c>
      <c r="I1211" s="54">
        <f t="shared" si="298"/>
        <v>12</v>
      </c>
      <c r="J1211" s="61"/>
      <c r="K1211" s="30"/>
      <c r="L1211" s="1" t="s">
        <v>21</v>
      </c>
      <c r="M1211" s="2"/>
      <c r="N1211" s="2"/>
      <c r="O1211" s="12"/>
      <c r="P1211" s="12"/>
      <c r="Q1211" s="12" t="s">
        <v>302</v>
      </c>
      <c r="R1211" s="12"/>
      <c r="S1211" s="13"/>
      <c r="V1211" s="1" t="str">
        <f t="shared" si="296"/>
        <v>2.10\0.4:12</v>
      </c>
      <c r="Y1211" s="7"/>
      <c r="Z1211" s="206"/>
      <c r="AA1211" s="206"/>
      <c r="AC1211" s="7"/>
      <c r="AD1211" s="7"/>
      <c r="AE1211" s="7"/>
      <c r="AG1211" s="3" t="s">
        <v>612</v>
      </c>
      <c r="AH1211" s="3">
        <v>25</v>
      </c>
      <c r="AI1211" s="3">
        <v>26</v>
      </c>
      <c r="AM1211" s="3"/>
    </row>
    <row r="1212" spans="1:39" x14ac:dyDescent="0.3">
      <c r="A1212" s="5" t="str">
        <f t="shared" si="297"/>
        <v>SUB902</v>
      </c>
      <c r="B1212" s="1" t="s">
        <v>848</v>
      </c>
      <c r="C1212" s="2" t="str">
        <f t="shared" si="293"/>
        <v>DIO1</v>
      </c>
      <c r="D1212" s="2">
        <v>130</v>
      </c>
      <c r="E1212" s="3">
        <f t="shared" si="294"/>
        <v>2</v>
      </c>
      <c r="F1212" s="3">
        <f t="shared" si="295"/>
        <v>10</v>
      </c>
      <c r="G1212" s="3">
        <v>0</v>
      </c>
      <c r="H1212" s="60">
        <f t="shared" si="299"/>
        <v>4</v>
      </c>
      <c r="I1212" s="54">
        <f t="shared" si="298"/>
        <v>13</v>
      </c>
      <c r="J1212" s="61"/>
      <c r="K1212" s="30"/>
      <c r="L1212" s="1" t="s">
        <v>21</v>
      </c>
      <c r="M1212" s="2"/>
      <c r="N1212" s="2"/>
      <c r="Q1212" s="1" t="s">
        <v>302</v>
      </c>
      <c r="S1212" s="13"/>
      <c r="V1212" s="1" t="str">
        <f t="shared" si="296"/>
        <v>2.10\0.4:13</v>
      </c>
      <c r="Y1212" s="7"/>
      <c r="Z1212" s="206"/>
      <c r="AA1212" s="206"/>
      <c r="AC1212" s="7"/>
      <c r="AD1212" s="7"/>
      <c r="AE1212" s="7"/>
      <c r="AG1212" s="3" t="s">
        <v>612</v>
      </c>
      <c r="AH1212" s="3">
        <v>27</v>
      </c>
      <c r="AI1212" s="3">
        <v>28</v>
      </c>
      <c r="AM1212" s="3"/>
    </row>
    <row r="1213" spans="1:39" x14ac:dyDescent="0.3">
      <c r="A1213" s="5" t="str">
        <f t="shared" si="297"/>
        <v>SUB902</v>
      </c>
      <c r="B1213" s="1" t="s">
        <v>848</v>
      </c>
      <c r="C1213" s="2" t="str">
        <f t="shared" si="293"/>
        <v>DIO1</v>
      </c>
      <c r="D1213" s="2">
        <v>130</v>
      </c>
      <c r="E1213" s="3">
        <f t="shared" si="294"/>
        <v>2</v>
      </c>
      <c r="F1213" s="3">
        <f t="shared" si="295"/>
        <v>10</v>
      </c>
      <c r="G1213" s="3">
        <v>0</v>
      </c>
      <c r="H1213" s="60">
        <f t="shared" si="299"/>
        <v>4</v>
      </c>
      <c r="I1213" s="54">
        <f t="shared" si="298"/>
        <v>14</v>
      </c>
      <c r="J1213" s="61"/>
      <c r="K1213" s="30"/>
      <c r="L1213" s="1" t="s">
        <v>21</v>
      </c>
      <c r="M1213" s="2"/>
      <c r="N1213" s="2"/>
      <c r="Q1213" s="1" t="s">
        <v>302</v>
      </c>
      <c r="S1213" s="13"/>
      <c r="V1213" s="1" t="str">
        <f t="shared" si="296"/>
        <v>2.10\0.4:14</v>
      </c>
      <c r="Y1213" s="7"/>
      <c r="Z1213" s="206"/>
      <c r="AA1213" s="206"/>
      <c r="AC1213" s="7"/>
      <c r="AD1213" s="7"/>
      <c r="AE1213" s="7"/>
      <c r="AG1213" s="3" t="s">
        <v>612</v>
      </c>
      <c r="AH1213" s="3">
        <v>29</v>
      </c>
      <c r="AI1213" s="3">
        <v>30</v>
      </c>
      <c r="AM1213" s="3"/>
    </row>
    <row r="1214" spans="1:39" x14ac:dyDescent="0.3">
      <c r="A1214" s="5" t="str">
        <f t="shared" si="297"/>
        <v>SUB902</v>
      </c>
      <c r="B1214" s="1" t="s">
        <v>848</v>
      </c>
      <c r="C1214" s="2" t="str">
        <f t="shared" si="293"/>
        <v>DIO1</v>
      </c>
      <c r="D1214" s="2">
        <v>130</v>
      </c>
      <c r="E1214" s="3">
        <f t="shared" si="294"/>
        <v>2</v>
      </c>
      <c r="F1214" s="3">
        <f t="shared" si="295"/>
        <v>10</v>
      </c>
      <c r="G1214" s="3">
        <v>0</v>
      </c>
      <c r="H1214" s="60">
        <f t="shared" ref="H1214:H1230" si="300">H1210</f>
        <v>4</v>
      </c>
      <c r="I1214" s="54">
        <f t="shared" si="298"/>
        <v>15</v>
      </c>
      <c r="J1214" s="61"/>
      <c r="K1214" s="30"/>
      <c r="L1214" s="1" t="s">
        <v>21</v>
      </c>
      <c r="M1214" s="2"/>
      <c r="N1214" s="2"/>
      <c r="Q1214" s="1" t="s">
        <v>302</v>
      </c>
      <c r="S1214" s="13"/>
      <c r="V1214" s="1" t="str">
        <f t="shared" si="296"/>
        <v>2.10\0.4:15</v>
      </c>
      <c r="Y1214" s="7"/>
      <c r="Z1214" s="206"/>
      <c r="AA1214" s="206"/>
      <c r="AC1214" s="7"/>
      <c r="AD1214" s="7"/>
      <c r="AE1214" s="7"/>
      <c r="AG1214" s="3" t="s">
        <v>612</v>
      </c>
      <c r="AH1214" s="3">
        <v>31</v>
      </c>
      <c r="AI1214" s="3">
        <v>32</v>
      </c>
      <c r="AM1214" s="3"/>
    </row>
    <row r="1215" spans="1:39" x14ac:dyDescent="0.3">
      <c r="A1215" s="5" t="str">
        <f t="shared" si="297"/>
        <v>SUB902</v>
      </c>
      <c r="B1215" s="1" t="s">
        <v>848</v>
      </c>
      <c r="C1215" s="2" t="str">
        <f t="shared" si="293"/>
        <v>DIO1</v>
      </c>
      <c r="D1215" s="2">
        <v>130</v>
      </c>
      <c r="E1215" s="3">
        <f t="shared" si="294"/>
        <v>2</v>
      </c>
      <c r="F1215" s="3">
        <f t="shared" si="295"/>
        <v>10</v>
      </c>
      <c r="G1215" s="3">
        <v>0</v>
      </c>
      <c r="H1215" s="60">
        <f t="shared" si="300"/>
        <v>4</v>
      </c>
      <c r="I1215" s="54">
        <f t="shared" si="298"/>
        <v>16</v>
      </c>
      <c r="J1215" s="61"/>
      <c r="K1215" s="2"/>
      <c r="L1215" s="1" t="s">
        <v>21</v>
      </c>
      <c r="M1215" s="2"/>
      <c r="N1215" s="2"/>
      <c r="Q1215" s="1" t="s">
        <v>302</v>
      </c>
      <c r="S1215" s="13"/>
      <c r="V1215" s="1" t="str">
        <f t="shared" si="296"/>
        <v>2.10\0.4:16</v>
      </c>
      <c r="Y1215" s="7"/>
      <c r="Z1215" s="206"/>
      <c r="AA1215" s="206"/>
      <c r="AC1215" s="7"/>
      <c r="AD1215" s="7"/>
      <c r="AE1215" s="7"/>
      <c r="AG1215" s="3" t="s">
        <v>612</v>
      </c>
      <c r="AH1215" s="3">
        <v>33</v>
      </c>
      <c r="AI1215" s="3">
        <v>34</v>
      </c>
      <c r="AM1215" s="3"/>
    </row>
    <row r="1216" spans="1:39" x14ac:dyDescent="0.3">
      <c r="A1216" s="5" t="str">
        <f t="shared" si="297"/>
        <v>SUB902</v>
      </c>
      <c r="B1216" s="1" t="s">
        <v>848</v>
      </c>
      <c r="C1216" s="2" t="str">
        <f t="shared" si="293"/>
        <v>DIO1</v>
      </c>
      <c r="D1216" s="2">
        <v>130</v>
      </c>
      <c r="E1216" s="3">
        <f t="shared" si="294"/>
        <v>2</v>
      </c>
      <c r="F1216" s="3">
        <f t="shared" si="295"/>
        <v>10</v>
      </c>
      <c r="G1216" s="3">
        <v>0</v>
      </c>
      <c r="H1216" s="60">
        <f t="shared" si="300"/>
        <v>4</v>
      </c>
      <c r="I1216" s="54">
        <f t="shared" si="298"/>
        <v>17</v>
      </c>
      <c r="J1216" s="61"/>
      <c r="K1216" s="30"/>
      <c r="L1216" s="1" t="s">
        <v>21</v>
      </c>
      <c r="M1216" s="2"/>
      <c r="N1216" s="2"/>
      <c r="Q1216" s="41" t="s">
        <v>302</v>
      </c>
      <c r="S1216" s="13"/>
      <c r="V1216" s="1" t="str">
        <f t="shared" si="296"/>
        <v>2.10\0.4:17</v>
      </c>
      <c r="Y1216" s="7"/>
      <c r="Z1216" s="206"/>
      <c r="AA1216" s="206"/>
      <c r="AC1216" s="7"/>
      <c r="AD1216" s="7"/>
      <c r="AE1216" s="7"/>
      <c r="AG1216" s="3" t="s">
        <v>612</v>
      </c>
      <c r="AH1216" s="3">
        <v>35</v>
      </c>
      <c r="AI1216" s="3">
        <v>36</v>
      </c>
      <c r="AM1216" s="3"/>
    </row>
    <row r="1217" spans="1:39" x14ac:dyDescent="0.3">
      <c r="A1217" s="5" t="str">
        <f t="shared" si="297"/>
        <v>SUB902</v>
      </c>
      <c r="B1217" s="1" t="s">
        <v>848</v>
      </c>
      <c r="C1217" s="2" t="str">
        <f t="shared" si="293"/>
        <v>DIO1</v>
      </c>
      <c r="D1217" s="2">
        <v>130</v>
      </c>
      <c r="E1217" s="3">
        <f t="shared" si="294"/>
        <v>2</v>
      </c>
      <c r="F1217" s="3">
        <f t="shared" si="295"/>
        <v>10</v>
      </c>
      <c r="G1217" s="3">
        <v>0</v>
      </c>
      <c r="H1217" s="60">
        <f t="shared" si="300"/>
        <v>4</v>
      </c>
      <c r="I1217" s="54">
        <f t="shared" si="298"/>
        <v>18</v>
      </c>
      <c r="J1217" s="61"/>
      <c r="K1217" s="30"/>
      <c r="L1217" s="1" t="s">
        <v>21</v>
      </c>
      <c r="M1217" s="2"/>
      <c r="N1217" s="2"/>
      <c r="Q1217" s="41" t="s">
        <v>302</v>
      </c>
      <c r="S1217" s="13"/>
      <c r="V1217" s="1" t="str">
        <f t="shared" si="296"/>
        <v>2.10\0.4:18</v>
      </c>
      <c r="Y1217" s="7"/>
      <c r="Z1217" s="206"/>
      <c r="AA1217" s="206"/>
      <c r="AC1217" s="7"/>
      <c r="AD1217" s="7"/>
      <c r="AE1217" s="7"/>
      <c r="AG1217" s="3" t="s">
        <v>612</v>
      </c>
      <c r="AH1217" s="3">
        <v>37</v>
      </c>
      <c r="AI1217" s="3">
        <v>38</v>
      </c>
      <c r="AM1217" s="3"/>
    </row>
    <row r="1218" spans="1:39" ht="14.5" x14ac:dyDescent="0.35">
      <c r="A1218" s="5" t="str">
        <f t="shared" si="297"/>
        <v>SUB902</v>
      </c>
      <c r="B1218" s="1" t="s">
        <v>848</v>
      </c>
      <c r="C1218" s="2" t="str">
        <f t="shared" si="293"/>
        <v>DIO1</v>
      </c>
      <c r="D1218" s="2">
        <v>130</v>
      </c>
      <c r="E1218" s="3">
        <f t="shared" si="294"/>
        <v>2</v>
      </c>
      <c r="F1218" s="3">
        <f t="shared" si="295"/>
        <v>10</v>
      </c>
      <c r="G1218" s="3">
        <v>0</v>
      </c>
      <c r="H1218" s="60">
        <f t="shared" si="300"/>
        <v>4</v>
      </c>
      <c r="I1218" s="54">
        <f t="shared" si="298"/>
        <v>19</v>
      </c>
      <c r="J1218" s="61"/>
      <c r="K1218" s="30"/>
      <c r="L1218" s="1" t="s">
        <v>21</v>
      </c>
      <c r="M1218" s="2"/>
      <c r="N1218" s="2"/>
      <c r="O1218" s="220"/>
      <c r="P1218" s="220"/>
      <c r="Q1218" s="221" t="s">
        <v>302</v>
      </c>
      <c r="R1218" s="220"/>
      <c r="S1218" s="13"/>
      <c r="V1218" s="1" t="str">
        <f t="shared" si="296"/>
        <v>2.10\0.4:19</v>
      </c>
      <c r="Y1218" s="219"/>
      <c r="Z1218" s="206"/>
      <c r="AA1218" s="206"/>
      <c r="AC1218" s="7"/>
      <c r="AD1218" s="7"/>
      <c r="AE1218" s="7"/>
      <c r="AG1218" s="3" t="s">
        <v>612</v>
      </c>
      <c r="AH1218" s="3">
        <v>39</v>
      </c>
      <c r="AI1218" s="3">
        <v>40</v>
      </c>
      <c r="AM1218" s="3"/>
    </row>
    <row r="1219" spans="1:39" x14ac:dyDescent="0.3">
      <c r="A1219" s="5" t="str">
        <f t="shared" si="297"/>
        <v>SUB902</v>
      </c>
      <c r="B1219" s="1" t="s">
        <v>848</v>
      </c>
      <c r="C1219" s="2" t="str">
        <f t="shared" si="293"/>
        <v>DIO1</v>
      </c>
      <c r="D1219" s="2">
        <v>130</v>
      </c>
      <c r="E1219" s="3">
        <f t="shared" si="294"/>
        <v>2</v>
      </c>
      <c r="F1219" s="3">
        <f t="shared" si="295"/>
        <v>10</v>
      </c>
      <c r="G1219" s="3">
        <v>0</v>
      </c>
      <c r="H1219" s="60">
        <f t="shared" si="300"/>
        <v>4</v>
      </c>
      <c r="I1219" s="54">
        <f t="shared" si="298"/>
        <v>20</v>
      </c>
      <c r="J1219" s="61"/>
      <c r="K1219" s="30"/>
      <c r="L1219" s="1" t="s">
        <v>21</v>
      </c>
      <c r="M1219" s="2"/>
      <c r="N1219" s="2"/>
      <c r="O1219" s="2"/>
      <c r="P1219" s="2"/>
      <c r="Q1219" s="2" t="s">
        <v>302</v>
      </c>
      <c r="R1219" s="2"/>
      <c r="S1219" s="13"/>
      <c r="V1219" s="1" t="str">
        <f t="shared" si="296"/>
        <v>2.10\0.4:20</v>
      </c>
      <c r="Y1219" s="7"/>
      <c r="Z1219" s="206"/>
      <c r="AA1219" s="206"/>
      <c r="AC1219" s="7"/>
      <c r="AD1219" s="7"/>
      <c r="AE1219" s="7"/>
      <c r="AG1219" s="3" t="s">
        <v>612</v>
      </c>
      <c r="AH1219" s="3">
        <v>41</v>
      </c>
      <c r="AI1219" s="3">
        <v>42</v>
      </c>
      <c r="AM1219" s="3"/>
    </row>
    <row r="1220" spans="1:39" x14ac:dyDescent="0.3">
      <c r="A1220" s="5" t="str">
        <f t="shared" si="297"/>
        <v>SUB902</v>
      </c>
      <c r="B1220" s="1" t="s">
        <v>848</v>
      </c>
      <c r="C1220" s="2" t="str">
        <f t="shared" si="293"/>
        <v>DIO1</v>
      </c>
      <c r="D1220" s="2">
        <v>130</v>
      </c>
      <c r="E1220" s="3">
        <f t="shared" si="294"/>
        <v>2</v>
      </c>
      <c r="F1220" s="3">
        <f t="shared" si="295"/>
        <v>10</v>
      </c>
      <c r="G1220" s="3">
        <v>0</v>
      </c>
      <c r="H1220" s="60">
        <f t="shared" si="300"/>
        <v>4</v>
      </c>
      <c r="I1220" s="54">
        <f t="shared" si="298"/>
        <v>21</v>
      </c>
      <c r="J1220" s="61"/>
      <c r="K1220" s="30"/>
      <c r="L1220" s="1" t="s">
        <v>21</v>
      </c>
      <c r="M1220" s="2"/>
      <c r="N1220" s="2"/>
      <c r="O1220" s="2"/>
      <c r="P1220" s="2"/>
      <c r="Q1220" s="2" t="s">
        <v>302</v>
      </c>
      <c r="R1220" s="2"/>
      <c r="S1220" s="13"/>
      <c r="V1220" s="1" t="str">
        <f t="shared" si="296"/>
        <v>2.10\0.4:21</v>
      </c>
      <c r="Y1220" s="7"/>
      <c r="Z1220" s="206"/>
      <c r="AA1220" s="206"/>
      <c r="AC1220" s="7"/>
      <c r="AD1220" s="7"/>
      <c r="AE1220" s="7"/>
      <c r="AG1220" s="3" t="s">
        <v>612</v>
      </c>
      <c r="AH1220" s="3">
        <v>43</v>
      </c>
      <c r="AI1220" s="3">
        <v>44</v>
      </c>
      <c r="AM1220" s="3"/>
    </row>
    <row r="1221" spans="1:39" x14ac:dyDescent="0.3">
      <c r="A1221" s="5" t="str">
        <f t="shared" si="297"/>
        <v>SUB902</v>
      </c>
      <c r="B1221" s="1" t="s">
        <v>848</v>
      </c>
      <c r="C1221" s="2" t="str">
        <f t="shared" si="293"/>
        <v>DIO1</v>
      </c>
      <c r="D1221" s="2">
        <v>130</v>
      </c>
      <c r="E1221" s="3">
        <f t="shared" si="294"/>
        <v>2</v>
      </c>
      <c r="F1221" s="3">
        <f t="shared" si="295"/>
        <v>10</v>
      </c>
      <c r="G1221" s="3">
        <v>0</v>
      </c>
      <c r="H1221" s="60">
        <f t="shared" si="300"/>
        <v>4</v>
      </c>
      <c r="I1221" s="54">
        <f t="shared" si="298"/>
        <v>22</v>
      </c>
      <c r="J1221" s="61"/>
      <c r="K1221" s="30"/>
      <c r="L1221" s="1" t="s">
        <v>21</v>
      </c>
      <c r="M1221" s="2"/>
      <c r="N1221" s="2"/>
      <c r="O1221" s="2"/>
      <c r="P1221" s="2"/>
      <c r="Q1221" s="2" t="s">
        <v>302</v>
      </c>
      <c r="R1221" s="2"/>
      <c r="S1221" s="13"/>
      <c r="V1221" s="1" t="str">
        <f t="shared" si="296"/>
        <v>2.10\0.4:22</v>
      </c>
      <c r="AG1221" s="3" t="s">
        <v>612</v>
      </c>
      <c r="AH1221" s="3">
        <v>45</v>
      </c>
      <c r="AI1221" s="3">
        <v>46</v>
      </c>
      <c r="AM1221" s="3"/>
    </row>
    <row r="1222" spans="1:39" x14ac:dyDescent="0.3">
      <c r="A1222" s="5" t="str">
        <f t="shared" si="297"/>
        <v>SUB902</v>
      </c>
      <c r="B1222" s="1" t="s">
        <v>848</v>
      </c>
      <c r="C1222" s="2" t="str">
        <f t="shared" si="293"/>
        <v>DIO1</v>
      </c>
      <c r="D1222" s="2">
        <v>130</v>
      </c>
      <c r="E1222" s="3">
        <f t="shared" si="294"/>
        <v>2</v>
      </c>
      <c r="F1222" s="3">
        <f t="shared" si="295"/>
        <v>10</v>
      </c>
      <c r="G1222" s="3">
        <v>0</v>
      </c>
      <c r="H1222" s="60">
        <f t="shared" si="300"/>
        <v>4</v>
      </c>
      <c r="I1222" s="54">
        <f t="shared" si="298"/>
        <v>23</v>
      </c>
      <c r="J1222" s="61"/>
      <c r="K1222" s="30"/>
      <c r="L1222" s="1" t="s">
        <v>21</v>
      </c>
      <c r="M1222" s="2"/>
      <c r="N1222" s="2"/>
      <c r="O1222" s="2"/>
      <c r="P1222" s="2"/>
      <c r="Q1222" s="2" t="s">
        <v>302</v>
      </c>
      <c r="R1222" s="2"/>
      <c r="S1222" s="13"/>
      <c r="V1222" s="1" t="str">
        <f t="shared" si="296"/>
        <v>2.10\0.4:23</v>
      </c>
      <c r="AG1222" s="3" t="s">
        <v>612</v>
      </c>
      <c r="AH1222" s="3">
        <v>47</v>
      </c>
      <c r="AI1222" s="3">
        <v>48</v>
      </c>
      <c r="AM1222" s="3"/>
    </row>
    <row r="1223" spans="1:39" x14ac:dyDescent="0.3">
      <c r="A1223" s="5" t="str">
        <f t="shared" si="297"/>
        <v>SUB902</v>
      </c>
      <c r="B1223" s="1" t="s">
        <v>848</v>
      </c>
      <c r="C1223" s="2" t="str">
        <f t="shared" si="293"/>
        <v>DIO1</v>
      </c>
      <c r="D1223" s="2">
        <v>130</v>
      </c>
      <c r="E1223" s="3">
        <f t="shared" si="294"/>
        <v>2</v>
      </c>
      <c r="F1223" s="3">
        <f t="shared" si="295"/>
        <v>10</v>
      </c>
      <c r="G1223" s="3">
        <v>0</v>
      </c>
      <c r="H1223" s="60">
        <f t="shared" si="300"/>
        <v>4</v>
      </c>
      <c r="I1223" s="54">
        <f t="shared" si="298"/>
        <v>24</v>
      </c>
      <c r="J1223" s="61"/>
      <c r="K1223" s="30"/>
      <c r="L1223" s="1" t="s">
        <v>21</v>
      </c>
      <c r="M1223" s="2"/>
      <c r="N1223" s="2"/>
      <c r="O1223" s="2"/>
      <c r="P1223" s="2"/>
      <c r="Q1223" s="2" t="s">
        <v>302</v>
      </c>
      <c r="R1223" s="2"/>
      <c r="S1223" s="13"/>
      <c r="V1223" s="1" t="str">
        <f t="shared" si="296"/>
        <v>2.10\0.4:24</v>
      </c>
      <c r="AG1223" s="3" t="s">
        <v>612</v>
      </c>
      <c r="AH1223" s="3">
        <v>49</v>
      </c>
      <c r="AI1223" s="3">
        <v>50</v>
      </c>
      <c r="AM1223" s="3"/>
    </row>
    <row r="1224" spans="1:39" x14ac:dyDescent="0.3">
      <c r="A1224" s="5" t="str">
        <f t="shared" si="297"/>
        <v>SUB902</v>
      </c>
      <c r="B1224" s="1" t="s">
        <v>848</v>
      </c>
      <c r="C1224" s="2" t="str">
        <f t="shared" si="293"/>
        <v>DIO1</v>
      </c>
      <c r="D1224" s="2">
        <v>130</v>
      </c>
      <c r="E1224" s="3">
        <f t="shared" si="294"/>
        <v>2</v>
      </c>
      <c r="F1224" s="3">
        <f t="shared" si="295"/>
        <v>10</v>
      </c>
      <c r="G1224" s="3">
        <v>0</v>
      </c>
      <c r="H1224" s="60">
        <f t="shared" si="300"/>
        <v>4</v>
      </c>
      <c r="I1224" s="54">
        <f t="shared" si="298"/>
        <v>25</v>
      </c>
      <c r="J1224" s="61"/>
      <c r="K1224" s="30"/>
      <c r="L1224" s="1" t="s">
        <v>21</v>
      </c>
      <c r="M1224" s="2"/>
      <c r="N1224" s="2"/>
      <c r="Q1224" s="1" t="s">
        <v>302</v>
      </c>
      <c r="S1224" s="13"/>
      <c r="V1224" s="1" t="str">
        <f t="shared" si="296"/>
        <v>2.10\0.4:25</v>
      </c>
      <c r="AG1224" s="3" t="s">
        <v>612</v>
      </c>
      <c r="AH1224" s="3">
        <v>51</v>
      </c>
      <c r="AI1224" s="3">
        <v>52</v>
      </c>
      <c r="AM1224" s="3"/>
    </row>
    <row r="1225" spans="1:39" x14ac:dyDescent="0.3">
      <c r="A1225" s="5" t="str">
        <f t="shared" si="297"/>
        <v>SUB902</v>
      </c>
      <c r="B1225" s="1" t="s">
        <v>848</v>
      </c>
      <c r="C1225" s="2" t="str">
        <f t="shared" si="293"/>
        <v>DIO1</v>
      </c>
      <c r="D1225" s="2">
        <v>130</v>
      </c>
      <c r="E1225" s="3">
        <f t="shared" si="294"/>
        <v>2</v>
      </c>
      <c r="F1225" s="3">
        <f t="shared" si="295"/>
        <v>10</v>
      </c>
      <c r="G1225" s="3">
        <v>0</v>
      </c>
      <c r="H1225" s="60">
        <f t="shared" si="300"/>
        <v>4</v>
      </c>
      <c r="I1225" s="54">
        <f t="shared" si="298"/>
        <v>26</v>
      </c>
      <c r="J1225" s="61"/>
      <c r="K1225" s="30"/>
      <c r="L1225" s="1" t="s">
        <v>21</v>
      </c>
      <c r="M1225" s="2"/>
      <c r="N1225" s="2"/>
      <c r="Q1225" s="1" t="s">
        <v>302</v>
      </c>
      <c r="S1225" s="13"/>
      <c r="V1225" s="1" t="str">
        <f t="shared" si="296"/>
        <v>2.10\0.4:26</v>
      </c>
      <c r="AG1225" s="3" t="s">
        <v>612</v>
      </c>
      <c r="AH1225" s="3">
        <v>53</v>
      </c>
      <c r="AI1225" s="3">
        <v>54</v>
      </c>
      <c r="AM1225" s="3"/>
    </row>
    <row r="1226" spans="1:39" x14ac:dyDescent="0.3">
      <c r="A1226" s="5" t="str">
        <f t="shared" si="297"/>
        <v>SUB902</v>
      </c>
      <c r="B1226" s="1" t="s">
        <v>848</v>
      </c>
      <c r="C1226" s="2" t="str">
        <f t="shared" si="293"/>
        <v>DIO1</v>
      </c>
      <c r="D1226" s="2">
        <v>130</v>
      </c>
      <c r="E1226" s="3">
        <f t="shared" si="294"/>
        <v>2</v>
      </c>
      <c r="F1226" s="3">
        <f t="shared" si="295"/>
        <v>10</v>
      </c>
      <c r="G1226" s="3">
        <v>0</v>
      </c>
      <c r="H1226" s="60">
        <f t="shared" si="300"/>
        <v>4</v>
      </c>
      <c r="I1226" s="54">
        <f t="shared" si="298"/>
        <v>27</v>
      </c>
      <c r="J1226" s="61"/>
      <c r="K1226" s="30"/>
      <c r="L1226" s="1" t="s">
        <v>21</v>
      </c>
      <c r="M1226" s="2"/>
      <c r="N1226" s="2"/>
      <c r="Q1226" s="1" t="s">
        <v>302</v>
      </c>
      <c r="S1226" s="13"/>
      <c r="V1226" s="1" t="str">
        <f t="shared" si="296"/>
        <v>2.10\0.4:27</v>
      </c>
      <c r="AG1226" s="3" t="s">
        <v>612</v>
      </c>
      <c r="AH1226" s="3">
        <v>55</v>
      </c>
      <c r="AI1226" s="3">
        <v>56</v>
      </c>
      <c r="AM1226" s="3"/>
    </row>
    <row r="1227" spans="1:39" x14ac:dyDescent="0.3">
      <c r="A1227" s="5" t="str">
        <f t="shared" si="297"/>
        <v>SUB902</v>
      </c>
      <c r="B1227" s="1" t="s">
        <v>848</v>
      </c>
      <c r="C1227" s="2" t="str">
        <f t="shared" si="293"/>
        <v>DIO1</v>
      </c>
      <c r="D1227" s="2">
        <v>130</v>
      </c>
      <c r="E1227" s="3">
        <f t="shared" si="294"/>
        <v>2</v>
      </c>
      <c r="F1227" s="3">
        <f t="shared" si="295"/>
        <v>10</v>
      </c>
      <c r="G1227" s="3">
        <v>0</v>
      </c>
      <c r="H1227" s="60">
        <f t="shared" si="300"/>
        <v>4</v>
      </c>
      <c r="I1227" s="54">
        <f t="shared" si="298"/>
        <v>28</v>
      </c>
      <c r="J1227" s="61"/>
      <c r="K1227" s="30"/>
      <c r="L1227" s="1" t="s">
        <v>21</v>
      </c>
      <c r="M1227" s="2"/>
      <c r="N1227" s="2"/>
      <c r="Q1227" s="1" t="s">
        <v>302</v>
      </c>
      <c r="S1227" s="13"/>
      <c r="V1227" s="1" t="str">
        <f t="shared" si="296"/>
        <v>2.10\0.4:28</v>
      </c>
      <c r="AG1227" s="3" t="s">
        <v>612</v>
      </c>
      <c r="AH1227" s="3">
        <v>57</v>
      </c>
      <c r="AI1227" s="3">
        <v>58</v>
      </c>
      <c r="AM1227" s="3"/>
    </row>
    <row r="1228" spans="1:39" x14ac:dyDescent="0.3">
      <c r="A1228" s="5" t="str">
        <f t="shared" si="297"/>
        <v>SUB902</v>
      </c>
      <c r="B1228" s="1" t="s">
        <v>848</v>
      </c>
      <c r="C1228" s="2" t="str">
        <f t="shared" ref="C1228:C1250" si="301">+C1227</f>
        <v>DIO1</v>
      </c>
      <c r="D1228" s="2">
        <v>130</v>
      </c>
      <c r="E1228" s="3">
        <f t="shared" ref="E1228:E1250" si="302">+E1227</f>
        <v>2</v>
      </c>
      <c r="F1228" s="3">
        <f t="shared" ref="F1228:F1250" si="303">+F1227</f>
        <v>10</v>
      </c>
      <c r="G1228" s="3">
        <v>0</v>
      </c>
      <c r="H1228" s="60">
        <f t="shared" si="300"/>
        <v>4</v>
      </c>
      <c r="I1228" s="54">
        <f t="shared" si="298"/>
        <v>29</v>
      </c>
      <c r="J1228" s="61"/>
      <c r="K1228" s="30"/>
      <c r="L1228" s="1" t="s">
        <v>21</v>
      </c>
      <c r="M1228" s="2"/>
      <c r="N1228" s="2"/>
      <c r="Q1228" s="1" t="s">
        <v>302</v>
      </c>
      <c r="S1228" s="13"/>
      <c r="V1228" s="1" t="str">
        <f t="shared" si="296"/>
        <v>2.10\0.4:29</v>
      </c>
      <c r="AG1228" s="3" t="s">
        <v>612</v>
      </c>
      <c r="AH1228" s="3">
        <v>59</v>
      </c>
      <c r="AI1228" s="3">
        <v>60</v>
      </c>
      <c r="AM1228" s="3"/>
    </row>
    <row r="1229" spans="1:39" x14ac:dyDescent="0.3">
      <c r="A1229" s="5" t="str">
        <f t="shared" si="297"/>
        <v>SUB902</v>
      </c>
      <c r="B1229" s="1" t="s">
        <v>848</v>
      </c>
      <c r="C1229" s="2" t="str">
        <f t="shared" si="301"/>
        <v>DIO1</v>
      </c>
      <c r="D1229" s="2">
        <v>130</v>
      </c>
      <c r="E1229" s="3">
        <f t="shared" si="302"/>
        <v>2</v>
      </c>
      <c r="F1229" s="3">
        <f t="shared" si="303"/>
        <v>10</v>
      </c>
      <c r="G1229" s="3">
        <v>0</v>
      </c>
      <c r="H1229" s="60">
        <f t="shared" si="300"/>
        <v>4</v>
      </c>
      <c r="I1229" s="54">
        <f t="shared" si="298"/>
        <v>30</v>
      </c>
      <c r="J1229" s="61"/>
      <c r="K1229" s="30"/>
      <c r="L1229" s="1" t="s">
        <v>21</v>
      </c>
      <c r="M1229" s="2"/>
      <c r="N1229" s="2"/>
      <c r="Q1229" s="1" t="s">
        <v>302</v>
      </c>
      <c r="S1229" s="13"/>
      <c r="V1229" s="1" t="str">
        <f t="shared" si="296"/>
        <v>2.10\0.4:30</v>
      </c>
      <c r="AG1229" s="3" t="s">
        <v>612</v>
      </c>
      <c r="AH1229" s="3">
        <v>61</v>
      </c>
      <c r="AI1229" s="3">
        <v>62</v>
      </c>
      <c r="AM1229" s="3"/>
    </row>
    <row r="1230" spans="1:39" ht="13.5" thickBot="1" x14ac:dyDescent="0.35">
      <c r="A1230" s="5" t="str">
        <f t="shared" si="297"/>
        <v>SUB902</v>
      </c>
      <c r="B1230" s="1" t="s">
        <v>848</v>
      </c>
      <c r="C1230" s="2" t="str">
        <f t="shared" si="301"/>
        <v>DIO1</v>
      </c>
      <c r="D1230" s="2">
        <v>130</v>
      </c>
      <c r="E1230" s="3">
        <f t="shared" si="302"/>
        <v>2</v>
      </c>
      <c r="F1230" s="3">
        <f t="shared" si="303"/>
        <v>10</v>
      </c>
      <c r="G1230" s="3">
        <v>0</v>
      </c>
      <c r="H1230" s="60">
        <f t="shared" si="300"/>
        <v>4</v>
      </c>
      <c r="I1230" s="59">
        <f t="shared" si="298"/>
        <v>31</v>
      </c>
      <c r="J1230" s="58"/>
      <c r="K1230" s="30"/>
      <c r="L1230" s="1" t="s">
        <v>21</v>
      </c>
      <c r="M1230" s="2"/>
      <c r="N1230" s="2"/>
      <c r="Q1230" s="1" t="s">
        <v>302</v>
      </c>
      <c r="S1230" s="13"/>
      <c r="V1230" s="1" t="str">
        <f t="shared" si="296"/>
        <v>2.10\0.4:31</v>
      </c>
      <c r="AG1230" s="3" t="s">
        <v>612</v>
      </c>
      <c r="AH1230" s="3">
        <v>63</v>
      </c>
      <c r="AI1230" s="3">
        <v>64</v>
      </c>
      <c r="AM1230" s="3"/>
    </row>
    <row r="1231" spans="1:39" x14ac:dyDescent="0.3">
      <c r="A1231" s="76" t="s">
        <v>849</v>
      </c>
      <c r="B1231" s="1" t="s">
        <v>848</v>
      </c>
      <c r="C1231" s="2" t="str">
        <f t="shared" si="301"/>
        <v>DIO1</v>
      </c>
      <c r="D1231" s="2">
        <v>130</v>
      </c>
      <c r="E1231" s="3">
        <f t="shared" si="302"/>
        <v>2</v>
      </c>
      <c r="F1231" s="3">
        <f t="shared" si="303"/>
        <v>10</v>
      </c>
      <c r="G1231" s="3">
        <v>0</v>
      </c>
      <c r="H1231" s="62">
        <v>5</v>
      </c>
      <c r="I1231" s="56">
        <v>0</v>
      </c>
      <c r="J1231" s="218" t="s">
        <v>879</v>
      </c>
      <c r="K1231" s="1" t="s">
        <v>896</v>
      </c>
      <c r="L1231" s="30" t="s">
        <v>880</v>
      </c>
      <c r="M1231" s="2">
        <v>4</v>
      </c>
      <c r="N1231" s="1" t="s">
        <v>907</v>
      </c>
      <c r="O1231" s="1" t="s">
        <v>906</v>
      </c>
      <c r="P1231" s="1" t="s">
        <v>871</v>
      </c>
      <c r="Q1231" s="1" t="s">
        <v>905</v>
      </c>
      <c r="R1231" s="2"/>
      <c r="S1231" s="13" t="s">
        <v>883</v>
      </c>
      <c r="T1231" s="1" t="s">
        <v>875</v>
      </c>
      <c r="U1231" s="13" t="s">
        <v>868</v>
      </c>
      <c r="V1231" s="1" t="str">
        <f t="shared" ref="V1231:V1262" si="304">+CONCATENATE(E1231,".",F1231,"\",G1231,".",H1231,":",I1231)</f>
        <v>2.10\0.5:0</v>
      </c>
      <c r="W1231" s="13" t="s">
        <v>867</v>
      </c>
      <c r="X1231" s="3" t="s">
        <v>4</v>
      </c>
      <c r="Y1231" s="1" t="s">
        <v>866</v>
      </c>
      <c r="AB1231" s="1">
        <v>0</v>
      </c>
      <c r="AC1231" s="1">
        <v>500</v>
      </c>
      <c r="AD1231" s="1">
        <v>0</v>
      </c>
      <c r="AE1231" s="1">
        <v>500</v>
      </c>
      <c r="AF1231" s="1" t="s">
        <v>865</v>
      </c>
      <c r="AG1231" s="3" t="s">
        <v>588</v>
      </c>
      <c r="AH1231" s="3">
        <v>1</v>
      </c>
      <c r="AI1231" s="3">
        <v>2</v>
      </c>
      <c r="AM1231" s="3"/>
    </row>
    <row r="1232" spans="1:39" x14ac:dyDescent="0.3">
      <c r="A1232" s="5" t="str">
        <f t="shared" ref="A1232:A1238" si="305">A1231</f>
        <v>SUB902</v>
      </c>
      <c r="B1232" s="1" t="s">
        <v>848</v>
      </c>
      <c r="C1232" s="2" t="str">
        <f t="shared" si="301"/>
        <v>DIO1</v>
      </c>
      <c r="D1232" s="2">
        <v>130</v>
      </c>
      <c r="E1232" s="3">
        <f t="shared" si="302"/>
        <v>2</v>
      </c>
      <c r="F1232" s="3">
        <f t="shared" si="303"/>
        <v>10</v>
      </c>
      <c r="G1232" s="3">
        <v>0</v>
      </c>
      <c r="H1232" s="55">
        <f t="shared" ref="H1232:H1238" si="306">+H1231</f>
        <v>5</v>
      </c>
      <c r="I1232" s="54">
        <f t="shared" ref="I1232:I1238" si="307">+I1231+1</f>
        <v>1</v>
      </c>
      <c r="J1232" s="217"/>
      <c r="K1232" s="2"/>
      <c r="L1232" s="30" t="s">
        <v>880</v>
      </c>
      <c r="M1232" s="2">
        <v>4</v>
      </c>
      <c r="N1232" s="1" t="s">
        <v>904</v>
      </c>
      <c r="O1232" s="1" t="s">
        <v>890</v>
      </c>
      <c r="P1232" s="1" t="s">
        <v>871</v>
      </c>
      <c r="Q1232" s="1" t="s">
        <v>903</v>
      </c>
      <c r="R1232" s="2"/>
      <c r="S1232" s="13" t="s">
        <v>888</v>
      </c>
      <c r="T1232" s="1" t="s">
        <v>875</v>
      </c>
      <c r="U1232" s="13" t="s">
        <v>868</v>
      </c>
      <c r="V1232" s="1" t="str">
        <f t="shared" si="304"/>
        <v>2.10\0.5:1</v>
      </c>
      <c r="W1232" s="13" t="s">
        <v>853</v>
      </c>
      <c r="X1232" s="3" t="s">
        <v>4</v>
      </c>
      <c r="Y1232" s="1" t="s">
        <v>902</v>
      </c>
      <c r="AB1232" s="1">
        <v>0</v>
      </c>
      <c r="AC1232" s="1">
        <v>1000</v>
      </c>
      <c r="AD1232" s="1">
        <v>0</v>
      </c>
      <c r="AE1232" s="1">
        <v>1000</v>
      </c>
      <c r="AF1232" s="1" t="s">
        <v>865</v>
      </c>
      <c r="AG1232" s="3" t="s">
        <v>588</v>
      </c>
      <c r="AH1232" s="3">
        <v>3</v>
      </c>
      <c r="AI1232" s="3">
        <v>4</v>
      </c>
      <c r="AM1232" s="3"/>
    </row>
    <row r="1233" spans="1:51" x14ac:dyDescent="0.3">
      <c r="A1233" s="5" t="str">
        <f t="shared" si="305"/>
        <v>SUB902</v>
      </c>
      <c r="B1233" s="1" t="s">
        <v>848</v>
      </c>
      <c r="C1233" s="2" t="str">
        <f t="shared" si="301"/>
        <v>DIO1</v>
      </c>
      <c r="D1233" s="2">
        <v>130</v>
      </c>
      <c r="E1233" s="3">
        <f t="shared" si="302"/>
        <v>2</v>
      </c>
      <c r="F1233" s="3">
        <f t="shared" si="303"/>
        <v>10</v>
      </c>
      <c r="G1233" s="3">
        <v>0</v>
      </c>
      <c r="H1233" s="55">
        <f t="shared" si="306"/>
        <v>5</v>
      </c>
      <c r="I1233" s="54">
        <f t="shared" si="307"/>
        <v>2</v>
      </c>
      <c r="J1233" s="217"/>
      <c r="K1233" s="2"/>
      <c r="L1233" s="30" t="s">
        <v>880</v>
      </c>
      <c r="M1233" s="2">
        <v>4</v>
      </c>
      <c r="N1233" s="1" t="s">
        <v>877</v>
      </c>
      <c r="O1233" s="1" t="s">
        <v>882</v>
      </c>
      <c r="P1233" s="1" t="s">
        <v>871</v>
      </c>
      <c r="Q1233" s="1" t="s">
        <v>901</v>
      </c>
      <c r="R1233" s="4"/>
      <c r="S1233" s="13" t="s">
        <v>869</v>
      </c>
      <c r="T1233" s="1" t="s">
        <v>875</v>
      </c>
      <c r="U1233" s="13" t="s">
        <v>868</v>
      </c>
      <c r="V1233" s="1" t="str">
        <f t="shared" si="304"/>
        <v>2.10\0.5:2</v>
      </c>
      <c r="W1233" s="13" t="s">
        <v>867</v>
      </c>
      <c r="X1233" s="3" t="s">
        <v>4</v>
      </c>
      <c r="Y1233" s="1" t="s">
        <v>866</v>
      </c>
      <c r="AB1233" s="1">
        <v>0</v>
      </c>
      <c r="AC1233" s="1">
        <v>100</v>
      </c>
      <c r="AD1233" s="1">
        <v>0</v>
      </c>
      <c r="AE1233" s="1">
        <v>100</v>
      </c>
      <c r="AF1233" s="1" t="s">
        <v>865</v>
      </c>
      <c r="AG1233" s="3" t="s">
        <v>588</v>
      </c>
      <c r="AH1233" s="3">
        <v>5</v>
      </c>
      <c r="AI1233" s="3">
        <v>6</v>
      </c>
      <c r="AM1233" s="3"/>
    </row>
    <row r="1234" spans="1:51" x14ac:dyDescent="0.3">
      <c r="A1234" s="5" t="str">
        <f t="shared" si="305"/>
        <v>SUB902</v>
      </c>
      <c r="B1234" s="1" t="s">
        <v>848</v>
      </c>
      <c r="C1234" s="2" t="str">
        <f t="shared" si="301"/>
        <v>DIO1</v>
      </c>
      <c r="D1234" s="2">
        <v>130</v>
      </c>
      <c r="E1234" s="3">
        <f t="shared" si="302"/>
        <v>2</v>
      </c>
      <c r="F1234" s="3">
        <f t="shared" si="303"/>
        <v>10</v>
      </c>
      <c r="G1234" s="3">
        <v>0</v>
      </c>
      <c r="H1234" s="55">
        <f t="shared" si="306"/>
        <v>5</v>
      </c>
      <c r="I1234" s="54">
        <f t="shared" si="307"/>
        <v>3</v>
      </c>
      <c r="J1234" s="217"/>
      <c r="K1234" s="2"/>
      <c r="L1234" s="30" t="s">
        <v>880</v>
      </c>
      <c r="M1234" s="2">
        <v>4</v>
      </c>
      <c r="N1234" s="1" t="s">
        <v>900</v>
      </c>
      <c r="O1234" s="1" t="s">
        <v>899</v>
      </c>
      <c r="P1234" s="1" t="s">
        <v>871</v>
      </c>
      <c r="Q1234" s="1" t="s">
        <v>898</v>
      </c>
      <c r="R1234" s="2"/>
      <c r="S1234" s="13" t="s">
        <v>869</v>
      </c>
      <c r="T1234" s="1" t="s">
        <v>875</v>
      </c>
      <c r="U1234" s="13" t="s">
        <v>868</v>
      </c>
      <c r="V1234" s="1" t="str">
        <f t="shared" si="304"/>
        <v>2.10\0.5:3</v>
      </c>
      <c r="W1234" s="13" t="s">
        <v>853</v>
      </c>
      <c r="X1234" s="3" t="s">
        <v>4</v>
      </c>
      <c r="Y1234" s="1" t="s">
        <v>897</v>
      </c>
      <c r="AB1234" s="1">
        <v>0</v>
      </c>
      <c r="AC1234" s="1">
        <v>100</v>
      </c>
      <c r="AD1234" s="1">
        <v>0</v>
      </c>
      <c r="AE1234" s="1">
        <v>100</v>
      </c>
      <c r="AF1234" s="1" t="s">
        <v>865</v>
      </c>
      <c r="AG1234" s="3" t="s">
        <v>588</v>
      </c>
      <c r="AH1234" s="3">
        <v>7</v>
      </c>
      <c r="AI1234" s="3">
        <v>8</v>
      </c>
      <c r="AM1234" s="3"/>
    </row>
    <row r="1235" spans="1:51" x14ac:dyDescent="0.3">
      <c r="A1235" s="5" t="str">
        <f t="shared" si="305"/>
        <v>SUB902</v>
      </c>
      <c r="B1235" s="1" t="s">
        <v>848</v>
      </c>
      <c r="C1235" s="2" t="str">
        <f t="shared" si="301"/>
        <v>DIO1</v>
      </c>
      <c r="D1235" s="2">
        <v>130</v>
      </c>
      <c r="E1235" s="3">
        <f t="shared" si="302"/>
        <v>2</v>
      </c>
      <c r="F1235" s="3">
        <f t="shared" si="303"/>
        <v>10</v>
      </c>
      <c r="G1235" s="3">
        <v>0</v>
      </c>
      <c r="H1235" s="55">
        <f t="shared" si="306"/>
        <v>5</v>
      </c>
      <c r="I1235" s="54">
        <f t="shared" si="307"/>
        <v>4</v>
      </c>
      <c r="J1235" s="217"/>
      <c r="K1235" s="2"/>
      <c r="L1235" s="30" t="s">
        <v>880</v>
      </c>
      <c r="M1235" s="2"/>
      <c r="S1235" s="13"/>
      <c r="V1235" s="1" t="str">
        <f t="shared" si="304"/>
        <v>2.10\0.5:4</v>
      </c>
      <c r="AB1235" s="1">
        <v>0</v>
      </c>
      <c r="AC1235" s="1">
        <v>100</v>
      </c>
      <c r="AD1235" s="1">
        <v>0</v>
      </c>
      <c r="AE1235" s="1">
        <v>100</v>
      </c>
      <c r="AF1235" s="1" t="s">
        <v>865</v>
      </c>
      <c r="AG1235" s="3" t="s">
        <v>588</v>
      </c>
      <c r="AH1235" s="3">
        <v>9</v>
      </c>
      <c r="AI1235" s="3">
        <v>10</v>
      </c>
      <c r="AM1235" s="3"/>
    </row>
    <row r="1236" spans="1:51" x14ac:dyDescent="0.3">
      <c r="A1236" s="5" t="str">
        <f t="shared" si="305"/>
        <v>SUB902</v>
      </c>
      <c r="B1236" s="1" t="s">
        <v>848</v>
      </c>
      <c r="C1236" s="2" t="str">
        <f t="shared" si="301"/>
        <v>DIO1</v>
      </c>
      <c r="D1236" s="2">
        <v>130</v>
      </c>
      <c r="E1236" s="3">
        <f t="shared" si="302"/>
        <v>2</v>
      </c>
      <c r="F1236" s="3">
        <f t="shared" si="303"/>
        <v>10</v>
      </c>
      <c r="G1236" s="3">
        <v>0</v>
      </c>
      <c r="H1236" s="55">
        <f t="shared" si="306"/>
        <v>5</v>
      </c>
      <c r="I1236" s="54">
        <f t="shared" si="307"/>
        <v>5</v>
      </c>
      <c r="J1236" s="217"/>
      <c r="K1236" s="2"/>
      <c r="L1236" s="30" t="s">
        <v>880</v>
      </c>
      <c r="M1236" s="2"/>
      <c r="R1236" s="2"/>
      <c r="S1236" s="13"/>
      <c r="V1236" s="1" t="str">
        <f t="shared" si="304"/>
        <v>2.10\0.5:5</v>
      </c>
      <c r="AG1236" s="3" t="s">
        <v>588</v>
      </c>
      <c r="AH1236" s="3">
        <v>11</v>
      </c>
      <c r="AI1236" s="3">
        <v>12</v>
      </c>
      <c r="AM1236" s="3"/>
    </row>
    <row r="1237" spans="1:51" x14ac:dyDescent="0.3">
      <c r="A1237" s="5" t="str">
        <f t="shared" si="305"/>
        <v>SUB902</v>
      </c>
      <c r="B1237" s="1" t="s">
        <v>848</v>
      </c>
      <c r="C1237" s="2" t="str">
        <f t="shared" si="301"/>
        <v>DIO1</v>
      </c>
      <c r="D1237" s="2">
        <v>130</v>
      </c>
      <c r="E1237" s="3">
        <f t="shared" si="302"/>
        <v>2</v>
      </c>
      <c r="F1237" s="3">
        <f t="shared" si="303"/>
        <v>10</v>
      </c>
      <c r="G1237" s="3">
        <v>0</v>
      </c>
      <c r="H1237" s="55">
        <f t="shared" si="306"/>
        <v>5</v>
      </c>
      <c r="I1237" s="54">
        <f t="shared" si="307"/>
        <v>6</v>
      </c>
      <c r="J1237" s="217"/>
      <c r="K1237" s="2"/>
      <c r="L1237" s="30" t="s">
        <v>880</v>
      </c>
      <c r="M1237" s="2"/>
      <c r="R1237" s="2"/>
      <c r="S1237" s="13"/>
      <c r="V1237" s="1" t="str">
        <f t="shared" si="304"/>
        <v>2.10\0.5:6</v>
      </c>
      <c r="AG1237" s="3" t="s">
        <v>588</v>
      </c>
      <c r="AH1237" s="3">
        <v>13</v>
      </c>
      <c r="AI1237" s="3">
        <v>14</v>
      </c>
      <c r="AM1237" s="3"/>
    </row>
    <row r="1238" spans="1:51" ht="13.5" thickBot="1" x14ac:dyDescent="0.35">
      <c r="A1238" s="5" t="str">
        <f t="shared" si="305"/>
        <v>SUB902</v>
      </c>
      <c r="B1238" s="1" t="s">
        <v>848</v>
      </c>
      <c r="C1238" s="2" t="str">
        <f t="shared" si="301"/>
        <v>DIO1</v>
      </c>
      <c r="D1238" s="2">
        <v>130</v>
      </c>
      <c r="E1238" s="3">
        <f t="shared" si="302"/>
        <v>2</v>
      </c>
      <c r="F1238" s="3">
        <f t="shared" si="303"/>
        <v>10</v>
      </c>
      <c r="G1238" s="3">
        <v>0</v>
      </c>
      <c r="H1238" s="55">
        <f t="shared" si="306"/>
        <v>5</v>
      </c>
      <c r="I1238" s="59">
        <f t="shared" si="307"/>
        <v>7</v>
      </c>
      <c r="J1238" s="216"/>
      <c r="K1238" s="2"/>
      <c r="L1238" s="30" t="s">
        <v>880</v>
      </c>
      <c r="M1238" s="2"/>
      <c r="R1238" s="2"/>
      <c r="S1238" s="13"/>
      <c r="V1238" s="1" t="str">
        <f t="shared" si="304"/>
        <v>2.10\0.5:7</v>
      </c>
      <c r="AG1238" s="3" t="s">
        <v>588</v>
      </c>
      <c r="AH1238" s="3">
        <v>15</v>
      </c>
      <c r="AI1238" s="3">
        <v>16</v>
      </c>
      <c r="AM1238" s="3"/>
    </row>
    <row r="1239" spans="1:51" x14ac:dyDescent="0.3">
      <c r="A1239" s="76" t="s">
        <v>849</v>
      </c>
      <c r="B1239" s="1" t="s">
        <v>848</v>
      </c>
      <c r="C1239" s="2" t="str">
        <f t="shared" si="301"/>
        <v>DIO1</v>
      </c>
      <c r="D1239" s="2">
        <v>130</v>
      </c>
      <c r="E1239" s="3">
        <f t="shared" si="302"/>
        <v>2</v>
      </c>
      <c r="F1239" s="3">
        <f t="shared" si="303"/>
        <v>10</v>
      </c>
      <c r="G1239" s="3">
        <v>0</v>
      </c>
      <c r="H1239" s="62">
        <v>6</v>
      </c>
      <c r="I1239" s="56">
        <v>0</v>
      </c>
      <c r="J1239" s="218" t="s">
        <v>879</v>
      </c>
      <c r="K1239" s="1" t="s">
        <v>896</v>
      </c>
      <c r="L1239" s="30" t="s">
        <v>880</v>
      </c>
      <c r="M1239" s="2">
        <v>4</v>
      </c>
      <c r="N1239" s="1" t="s">
        <v>895</v>
      </c>
      <c r="O1239" s="1" t="s">
        <v>894</v>
      </c>
      <c r="P1239" s="1" t="s">
        <v>871</v>
      </c>
      <c r="Q1239" s="1" t="s">
        <v>893</v>
      </c>
      <c r="R1239" s="2"/>
      <c r="S1239" s="13" t="s">
        <v>888</v>
      </c>
      <c r="T1239" s="1" t="s">
        <v>845</v>
      </c>
      <c r="U1239" s="13" t="s">
        <v>868</v>
      </c>
      <c r="V1239" s="1" t="str">
        <f t="shared" si="304"/>
        <v>2.10\0.6:0</v>
      </c>
      <c r="W1239" s="13" t="s">
        <v>853</v>
      </c>
      <c r="X1239" s="3" t="s">
        <v>4</v>
      </c>
      <c r="Y1239" s="1" t="s">
        <v>892</v>
      </c>
      <c r="AB1239" s="1">
        <v>0</v>
      </c>
      <c r="AC1239" s="1">
        <v>500</v>
      </c>
      <c r="AD1239" s="1">
        <v>0</v>
      </c>
      <c r="AE1239" s="1">
        <v>500</v>
      </c>
      <c r="AF1239" s="1" t="s">
        <v>865</v>
      </c>
      <c r="AG1239" s="3" t="s">
        <v>588</v>
      </c>
      <c r="AH1239" s="3">
        <v>17</v>
      </c>
      <c r="AI1239" s="3">
        <v>18</v>
      </c>
      <c r="AM1239" s="3"/>
    </row>
    <row r="1240" spans="1:51" x14ac:dyDescent="0.3">
      <c r="A1240" s="5" t="str">
        <f t="shared" ref="A1240:A1246" si="308">A1239</f>
        <v>SUB902</v>
      </c>
      <c r="B1240" s="1" t="s">
        <v>848</v>
      </c>
      <c r="C1240" s="2" t="str">
        <f t="shared" si="301"/>
        <v>DIO1</v>
      </c>
      <c r="D1240" s="2">
        <v>130</v>
      </c>
      <c r="E1240" s="3">
        <f t="shared" si="302"/>
        <v>2</v>
      </c>
      <c r="F1240" s="3">
        <f t="shared" si="303"/>
        <v>10</v>
      </c>
      <c r="G1240" s="3">
        <v>0</v>
      </c>
      <c r="H1240" s="55">
        <f t="shared" ref="H1240:H1246" si="309">+H1239</f>
        <v>6</v>
      </c>
      <c r="I1240" s="54">
        <f t="shared" ref="I1240:I1246" si="310">+I1239+1</f>
        <v>1</v>
      </c>
      <c r="J1240" s="217"/>
      <c r="K1240" s="2"/>
      <c r="L1240" s="30" t="s">
        <v>880</v>
      </c>
      <c r="M1240" s="2">
        <v>4</v>
      </c>
      <c r="N1240" s="1" t="s">
        <v>891</v>
      </c>
      <c r="O1240" s="1" t="s">
        <v>890</v>
      </c>
      <c r="P1240" s="1" t="s">
        <v>871</v>
      </c>
      <c r="Q1240" s="1" t="s">
        <v>889</v>
      </c>
      <c r="R1240" s="2"/>
      <c r="S1240" s="13" t="s">
        <v>888</v>
      </c>
      <c r="T1240" s="1" t="s">
        <v>838</v>
      </c>
      <c r="U1240" s="13" t="s">
        <v>868</v>
      </c>
      <c r="V1240" s="1" t="str">
        <f t="shared" si="304"/>
        <v>2.10\0.6:1</v>
      </c>
      <c r="W1240" s="13" t="s">
        <v>853</v>
      </c>
      <c r="X1240" s="3" t="s">
        <v>4</v>
      </c>
      <c r="Y1240" s="1" t="s">
        <v>887</v>
      </c>
      <c r="AB1240" s="1">
        <v>0</v>
      </c>
      <c r="AC1240" s="1">
        <v>500</v>
      </c>
      <c r="AD1240" s="1">
        <v>0</v>
      </c>
      <c r="AE1240" s="1">
        <v>500</v>
      </c>
      <c r="AF1240" s="1" t="s">
        <v>865</v>
      </c>
      <c r="AG1240" s="3" t="s">
        <v>588</v>
      </c>
      <c r="AH1240" s="3">
        <v>19</v>
      </c>
      <c r="AI1240" s="3">
        <v>20</v>
      </c>
      <c r="AM1240" s="3"/>
    </row>
    <row r="1241" spans="1:51" x14ac:dyDescent="0.3">
      <c r="A1241" s="5" t="str">
        <f t="shared" si="308"/>
        <v>SUB902</v>
      </c>
      <c r="B1241" s="1" t="s">
        <v>848</v>
      </c>
      <c r="C1241" s="2" t="str">
        <f t="shared" si="301"/>
        <v>DIO1</v>
      </c>
      <c r="D1241" s="2">
        <v>130</v>
      </c>
      <c r="E1241" s="3">
        <f t="shared" si="302"/>
        <v>2</v>
      </c>
      <c r="F1241" s="3">
        <f t="shared" si="303"/>
        <v>10</v>
      </c>
      <c r="G1241" s="3">
        <v>0</v>
      </c>
      <c r="H1241" s="55">
        <f t="shared" si="309"/>
        <v>6</v>
      </c>
      <c r="I1241" s="54">
        <f t="shared" si="310"/>
        <v>2</v>
      </c>
      <c r="J1241" s="217"/>
      <c r="K1241" s="2"/>
      <c r="L1241" s="30" t="s">
        <v>880</v>
      </c>
      <c r="M1241" s="2">
        <v>4</v>
      </c>
      <c r="N1241" s="1" t="s">
        <v>886</v>
      </c>
      <c r="O1241" s="1" t="s">
        <v>885</v>
      </c>
      <c r="P1241" s="1" t="s">
        <v>871</v>
      </c>
      <c r="Q1241" s="1" t="s">
        <v>884</v>
      </c>
      <c r="R1241" s="4"/>
      <c r="S1241" s="13" t="s">
        <v>883</v>
      </c>
      <c r="T1241" s="1" t="s">
        <v>854</v>
      </c>
      <c r="U1241" s="13" t="s">
        <v>868</v>
      </c>
      <c r="V1241" s="1" t="str">
        <f t="shared" si="304"/>
        <v>2.10\0.6:2</v>
      </c>
      <c r="W1241" s="13" t="s">
        <v>867</v>
      </c>
      <c r="X1241" s="3" t="s">
        <v>4</v>
      </c>
      <c r="Y1241" s="1" t="s">
        <v>866</v>
      </c>
      <c r="AB1241" s="1">
        <v>0</v>
      </c>
      <c r="AC1241" s="1">
        <v>1000</v>
      </c>
      <c r="AD1241" s="1">
        <v>0</v>
      </c>
      <c r="AE1241" s="1">
        <v>1000</v>
      </c>
      <c r="AF1241" s="1" t="s">
        <v>865</v>
      </c>
      <c r="AG1241" s="3" t="s">
        <v>588</v>
      </c>
      <c r="AH1241" s="3">
        <v>21</v>
      </c>
      <c r="AI1241" s="3">
        <v>22</v>
      </c>
      <c r="AM1241" s="3"/>
    </row>
    <row r="1242" spans="1:51" x14ac:dyDescent="0.3">
      <c r="A1242" s="5" t="str">
        <f t="shared" si="308"/>
        <v>SUB902</v>
      </c>
      <c r="B1242" s="1" t="s">
        <v>848</v>
      </c>
      <c r="C1242" s="2" t="str">
        <f t="shared" si="301"/>
        <v>DIO1</v>
      </c>
      <c r="D1242" s="2">
        <v>130</v>
      </c>
      <c r="E1242" s="3">
        <f t="shared" si="302"/>
        <v>2</v>
      </c>
      <c r="F1242" s="3">
        <f t="shared" si="303"/>
        <v>10</v>
      </c>
      <c r="G1242" s="3">
        <v>0</v>
      </c>
      <c r="H1242" s="55">
        <f t="shared" si="309"/>
        <v>6</v>
      </c>
      <c r="I1242" s="54">
        <f t="shared" si="310"/>
        <v>3</v>
      </c>
      <c r="J1242" s="217"/>
      <c r="K1242" s="2"/>
      <c r="L1242" s="30" t="s">
        <v>880</v>
      </c>
      <c r="M1242" s="2">
        <v>4</v>
      </c>
      <c r="N1242" s="1" t="s">
        <v>873</v>
      </c>
      <c r="O1242" s="1" t="s">
        <v>882</v>
      </c>
      <c r="P1242" s="1" t="s">
        <v>871</v>
      </c>
      <c r="Q1242" s="1" t="s">
        <v>881</v>
      </c>
      <c r="R1242" s="2"/>
      <c r="S1242" s="13" t="s">
        <v>869</v>
      </c>
      <c r="T1242" s="1" t="s">
        <v>854</v>
      </c>
      <c r="U1242" s="13" t="s">
        <v>868</v>
      </c>
      <c r="V1242" s="1" t="str">
        <f t="shared" si="304"/>
        <v>2.10\0.6:3</v>
      </c>
      <c r="W1242" s="13" t="s">
        <v>867</v>
      </c>
      <c r="X1242" s="3" t="s">
        <v>4</v>
      </c>
      <c r="Y1242" s="1" t="s">
        <v>866</v>
      </c>
      <c r="AB1242" s="1">
        <v>0</v>
      </c>
      <c r="AC1242" s="1">
        <v>100</v>
      </c>
      <c r="AD1242" s="1">
        <v>0</v>
      </c>
      <c r="AE1242" s="1">
        <v>100</v>
      </c>
      <c r="AF1242" s="1" t="s">
        <v>865</v>
      </c>
      <c r="AG1242" s="3" t="s">
        <v>588</v>
      </c>
      <c r="AH1242" s="3">
        <v>23</v>
      </c>
      <c r="AI1242" s="3">
        <v>24</v>
      </c>
      <c r="AM1242" s="3"/>
    </row>
    <row r="1243" spans="1:51" x14ac:dyDescent="0.3">
      <c r="A1243" s="5" t="str">
        <f t="shared" si="308"/>
        <v>SUB902</v>
      </c>
      <c r="B1243" s="1" t="s">
        <v>848</v>
      </c>
      <c r="C1243" s="2" t="str">
        <f t="shared" si="301"/>
        <v>DIO1</v>
      </c>
      <c r="D1243" s="2">
        <v>130</v>
      </c>
      <c r="E1243" s="3">
        <f t="shared" si="302"/>
        <v>2</v>
      </c>
      <c r="F1243" s="3">
        <f t="shared" si="303"/>
        <v>10</v>
      </c>
      <c r="G1243" s="3">
        <v>0</v>
      </c>
      <c r="H1243" s="55">
        <f t="shared" si="309"/>
        <v>6</v>
      </c>
      <c r="I1243" s="54">
        <f t="shared" si="310"/>
        <v>4</v>
      </c>
      <c r="J1243" s="217"/>
      <c r="K1243" s="2"/>
      <c r="L1243" s="30" t="s">
        <v>880</v>
      </c>
      <c r="M1243" s="2"/>
      <c r="S1243" s="13"/>
      <c r="V1243" s="1" t="str">
        <f t="shared" si="304"/>
        <v>2.10\0.6:4</v>
      </c>
      <c r="AG1243" s="3" t="s">
        <v>588</v>
      </c>
      <c r="AH1243" s="3">
        <v>25</v>
      </c>
      <c r="AI1243" s="3">
        <v>26</v>
      </c>
      <c r="AM1243" s="3"/>
    </row>
    <row r="1244" spans="1:51" x14ac:dyDescent="0.3">
      <c r="A1244" s="5" t="str">
        <f t="shared" si="308"/>
        <v>SUB902</v>
      </c>
      <c r="B1244" s="1" t="s">
        <v>848</v>
      </c>
      <c r="C1244" s="2" t="str">
        <f t="shared" si="301"/>
        <v>DIO1</v>
      </c>
      <c r="D1244" s="2">
        <v>130</v>
      </c>
      <c r="E1244" s="3">
        <f t="shared" si="302"/>
        <v>2</v>
      </c>
      <c r="F1244" s="3">
        <f t="shared" si="303"/>
        <v>10</v>
      </c>
      <c r="G1244" s="3">
        <v>0</v>
      </c>
      <c r="H1244" s="55">
        <f t="shared" si="309"/>
        <v>6</v>
      </c>
      <c r="I1244" s="54">
        <f t="shared" si="310"/>
        <v>5</v>
      </c>
      <c r="J1244" s="217"/>
      <c r="K1244" s="2"/>
      <c r="L1244" s="30" t="s">
        <v>880</v>
      </c>
      <c r="M1244" s="2"/>
      <c r="R1244" s="2"/>
      <c r="S1244" s="13"/>
      <c r="V1244" s="1" t="str">
        <f t="shared" si="304"/>
        <v>2.10\0.6:5</v>
      </c>
      <c r="AG1244" s="3" t="s">
        <v>588</v>
      </c>
      <c r="AH1244" s="3">
        <v>27</v>
      </c>
      <c r="AI1244" s="3">
        <v>28</v>
      </c>
      <c r="AM1244" s="3"/>
    </row>
    <row r="1245" spans="1:51" x14ac:dyDescent="0.3">
      <c r="A1245" s="5" t="str">
        <f t="shared" si="308"/>
        <v>SUB902</v>
      </c>
      <c r="B1245" s="1" t="s">
        <v>848</v>
      </c>
      <c r="C1245" s="2" t="str">
        <f t="shared" si="301"/>
        <v>DIO1</v>
      </c>
      <c r="D1245" s="2">
        <v>130</v>
      </c>
      <c r="E1245" s="3">
        <f t="shared" si="302"/>
        <v>2</v>
      </c>
      <c r="F1245" s="3">
        <f t="shared" si="303"/>
        <v>10</v>
      </c>
      <c r="G1245" s="3">
        <v>0</v>
      </c>
      <c r="H1245" s="55">
        <f t="shared" si="309"/>
        <v>6</v>
      </c>
      <c r="I1245" s="54">
        <f t="shared" si="310"/>
        <v>6</v>
      </c>
      <c r="J1245" s="217"/>
      <c r="K1245" s="2"/>
      <c r="L1245" s="30" t="s">
        <v>880</v>
      </c>
      <c r="M1245" s="2"/>
      <c r="R1245" s="2"/>
      <c r="S1245" s="13"/>
      <c r="V1245" s="1" t="str">
        <f t="shared" si="304"/>
        <v>2.10\0.6:6</v>
      </c>
      <c r="AG1245" s="3" t="s">
        <v>588</v>
      </c>
      <c r="AH1245" s="3">
        <v>29</v>
      </c>
      <c r="AI1245" s="3">
        <v>30</v>
      </c>
      <c r="AM1245" s="3"/>
    </row>
    <row r="1246" spans="1:51" ht="13.5" thickBot="1" x14ac:dyDescent="0.35">
      <c r="A1246" s="5" t="str">
        <f t="shared" si="308"/>
        <v>SUB902</v>
      </c>
      <c r="B1246" s="1" t="s">
        <v>848</v>
      </c>
      <c r="C1246" s="2" t="str">
        <f t="shared" si="301"/>
        <v>DIO1</v>
      </c>
      <c r="D1246" s="2">
        <v>130</v>
      </c>
      <c r="E1246" s="3">
        <f t="shared" si="302"/>
        <v>2</v>
      </c>
      <c r="F1246" s="3">
        <f t="shared" si="303"/>
        <v>10</v>
      </c>
      <c r="G1246" s="3">
        <v>0</v>
      </c>
      <c r="H1246" s="55">
        <f t="shared" si="309"/>
        <v>6</v>
      </c>
      <c r="I1246" s="59">
        <f t="shared" si="310"/>
        <v>7</v>
      </c>
      <c r="J1246" s="216"/>
      <c r="K1246" s="2"/>
      <c r="L1246" s="30" t="s">
        <v>880</v>
      </c>
      <c r="M1246" s="2"/>
      <c r="R1246" s="2"/>
      <c r="S1246" s="13"/>
      <c r="V1246" s="1" t="str">
        <f t="shared" si="304"/>
        <v>2.10\0.6:7</v>
      </c>
      <c r="AG1246" s="3" t="s">
        <v>588</v>
      </c>
      <c r="AH1246" s="3">
        <v>31</v>
      </c>
      <c r="AI1246" s="3">
        <v>32</v>
      </c>
      <c r="AM1246" s="3"/>
    </row>
    <row r="1247" spans="1:51" x14ac:dyDescent="0.3">
      <c r="A1247" s="76" t="s">
        <v>849</v>
      </c>
      <c r="B1247" s="1" t="s">
        <v>848</v>
      </c>
      <c r="C1247" s="2" t="str">
        <f t="shared" si="301"/>
        <v>DIO1</v>
      </c>
      <c r="D1247" s="2">
        <v>130</v>
      </c>
      <c r="E1247" s="3">
        <f t="shared" si="302"/>
        <v>2</v>
      </c>
      <c r="F1247" s="3">
        <f t="shared" si="303"/>
        <v>10</v>
      </c>
      <c r="G1247" s="3">
        <v>0</v>
      </c>
      <c r="H1247" s="62">
        <v>7</v>
      </c>
      <c r="I1247" s="215">
        <v>0</v>
      </c>
      <c r="J1247" s="214" t="s">
        <v>879</v>
      </c>
      <c r="K1247" s="1" t="s">
        <v>878</v>
      </c>
      <c r="L1247" s="30" t="s">
        <v>864</v>
      </c>
      <c r="M1247" s="2">
        <v>4</v>
      </c>
      <c r="N1247" s="1" t="s">
        <v>877</v>
      </c>
      <c r="O1247" s="1" t="s">
        <v>872</v>
      </c>
      <c r="P1247" s="1" t="s">
        <v>871</v>
      </c>
      <c r="Q1247" s="2" t="s">
        <v>876</v>
      </c>
      <c r="R1247" s="2"/>
      <c r="S1247" s="13" t="s">
        <v>869</v>
      </c>
      <c r="T1247" s="1" t="s">
        <v>875</v>
      </c>
      <c r="U1247" s="13" t="s">
        <v>868</v>
      </c>
      <c r="V1247" s="1" t="str">
        <f t="shared" si="304"/>
        <v>2.10\0.7:0</v>
      </c>
      <c r="W1247" s="13" t="s">
        <v>867</v>
      </c>
      <c r="X1247" s="3" t="s">
        <v>4</v>
      </c>
      <c r="Y1247" s="1" t="s">
        <v>866</v>
      </c>
      <c r="AB1247" s="1">
        <v>0</v>
      </c>
      <c r="AC1247" s="1">
        <v>110</v>
      </c>
      <c r="AD1247" s="1">
        <v>0</v>
      </c>
      <c r="AE1247" s="1">
        <v>110</v>
      </c>
      <c r="AF1247" s="1" t="s">
        <v>874</v>
      </c>
      <c r="AG1247" s="3" t="s">
        <v>588</v>
      </c>
      <c r="AH1247" s="3">
        <v>33</v>
      </c>
      <c r="AI1247" s="3">
        <v>34</v>
      </c>
      <c r="AJ1247" s="205"/>
      <c r="AK1247" s="205"/>
      <c r="AL1247" s="210"/>
      <c r="AM1247" s="3"/>
      <c r="AN1247" s="1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</row>
    <row r="1248" spans="1:51" x14ac:dyDescent="0.3">
      <c r="A1248" s="5" t="str">
        <f>A1247</f>
        <v>SUB902</v>
      </c>
      <c r="B1248" s="1" t="s">
        <v>848</v>
      </c>
      <c r="C1248" s="2" t="str">
        <f t="shared" si="301"/>
        <v>DIO1</v>
      </c>
      <c r="D1248" s="2">
        <v>130</v>
      </c>
      <c r="E1248" s="3">
        <f t="shared" si="302"/>
        <v>2</v>
      </c>
      <c r="F1248" s="3">
        <f t="shared" si="303"/>
        <v>10</v>
      </c>
      <c r="G1248" s="3">
        <v>0</v>
      </c>
      <c r="H1248" s="55">
        <f>+H1247</f>
        <v>7</v>
      </c>
      <c r="I1248" s="212">
        <f>+I1247+1</f>
        <v>1</v>
      </c>
      <c r="J1248" s="213"/>
      <c r="K1248" s="2"/>
      <c r="L1248" s="30" t="s">
        <v>864</v>
      </c>
      <c r="M1248" s="2">
        <v>4</v>
      </c>
      <c r="N1248" s="1" t="s">
        <v>873</v>
      </c>
      <c r="O1248" s="1" t="s">
        <v>872</v>
      </c>
      <c r="P1248" s="1" t="s">
        <v>871</v>
      </c>
      <c r="Q1248" s="1" t="s">
        <v>870</v>
      </c>
      <c r="S1248" s="13" t="s">
        <v>869</v>
      </c>
      <c r="T1248" s="1" t="s">
        <v>854</v>
      </c>
      <c r="U1248" s="13" t="s">
        <v>868</v>
      </c>
      <c r="V1248" s="1" t="str">
        <f t="shared" si="304"/>
        <v>2.10\0.7:1</v>
      </c>
      <c r="W1248" s="13" t="s">
        <v>867</v>
      </c>
      <c r="X1248" s="3" t="s">
        <v>4</v>
      </c>
      <c r="Y1248" s="1" t="s">
        <v>866</v>
      </c>
      <c r="AB1248" s="1">
        <v>0</v>
      </c>
      <c r="AC1248" s="1">
        <v>100</v>
      </c>
      <c r="AD1248" s="1">
        <v>0</v>
      </c>
      <c r="AE1248" s="1">
        <v>100</v>
      </c>
      <c r="AF1248" s="1" t="s">
        <v>865</v>
      </c>
      <c r="AG1248" s="3" t="s">
        <v>588</v>
      </c>
      <c r="AH1248" s="3">
        <v>35</v>
      </c>
      <c r="AI1248" s="3">
        <v>36</v>
      </c>
      <c r="AJ1248" s="205"/>
      <c r="AK1248" s="205"/>
      <c r="AL1248" s="210"/>
      <c r="AM1248" s="3"/>
      <c r="AN1248" s="1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</row>
    <row r="1249" spans="1:51" x14ac:dyDescent="0.3">
      <c r="A1249" s="5" t="str">
        <f>A1248</f>
        <v>SUB902</v>
      </c>
      <c r="B1249" s="1" t="s">
        <v>848</v>
      </c>
      <c r="C1249" s="2" t="str">
        <f t="shared" si="301"/>
        <v>DIO1</v>
      </c>
      <c r="D1249" s="2">
        <v>130</v>
      </c>
      <c r="E1249" s="3">
        <f t="shared" si="302"/>
        <v>2</v>
      </c>
      <c r="F1249" s="3">
        <f t="shared" si="303"/>
        <v>10</v>
      </c>
      <c r="G1249" s="3">
        <v>0</v>
      </c>
      <c r="H1249" s="55">
        <f>+H1248</f>
        <v>7</v>
      </c>
      <c r="I1249" s="212">
        <f>+I1248+1</f>
        <v>2</v>
      </c>
      <c r="J1249" s="213"/>
      <c r="K1249" s="2"/>
      <c r="L1249" s="30" t="s">
        <v>864</v>
      </c>
      <c r="M1249" s="2"/>
      <c r="R1249" s="2"/>
      <c r="S1249" s="13"/>
      <c r="V1249" s="1" t="str">
        <f t="shared" si="304"/>
        <v>2.10\0.7:2</v>
      </c>
      <c r="AB1249" s="4"/>
      <c r="AC1249" s="4"/>
      <c r="AD1249" s="4"/>
      <c r="AE1249" s="4"/>
      <c r="AG1249" s="3" t="s">
        <v>588</v>
      </c>
      <c r="AH1249" s="3">
        <v>37</v>
      </c>
      <c r="AI1249" s="3">
        <v>38</v>
      </c>
      <c r="AJ1249" s="205"/>
      <c r="AK1249" s="205"/>
      <c r="AL1249" s="210"/>
      <c r="AM1249" s="3"/>
      <c r="AN1249" s="1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</row>
    <row r="1250" spans="1:51" ht="13.5" thickBot="1" x14ac:dyDescent="0.35">
      <c r="A1250" s="5" t="str">
        <f>A1249</f>
        <v>SUB902</v>
      </c>
      <c r="B1250" s="1" t="s">
        <v>848</v>
      </c>
      <c r="C1250" s="2" t="str">
        <f t="shared" si="301"/>
        <v>DIO1</v>
      </c>
      <c r="D1250" s="2">
        <v>130</v>
      </c>
      <c r="E1250" s="3">
        <f t="shared" si="302"/>
        <v>2</v>
      </c>
      <c r="F1250" s="3">
        <f t="shared" si="303"/>
        <v>10</v>
      </c>
      <c r="G1250" s="3">
        <v>0</v>
      </c>
      <c r="H1250" s="55">
        <f>+H1249</f>
        <v>7</v>
      </c>
      <c r="I1250" s="212">
        <f>+I1249+1</f>
        <v>3</v>
      </c>
      <c r="J1250" s="211"/>
      <c r="K1250" s="2"/>
      <c r="L1250" s="30" t="s">
        <v>864</v>
      </c>
      <c r="M1250" s="2"/>
      <c r="R1250" s="2"/>
      <c r="S1250" s="13"/>
      <c r="V1250" s="1" t="str">
        <f t="shared" si="304"/>
        <v>2.10\0.7:3</v>
      </c>
      <c r="AB1250" s="4"/>
      <c r="AC1250" s="4"/>
      <c r="AD1250" s="4"/>
      <c r="AE1250" s="4"/>
      <c r="AG1250" s="3" t="s">
        <v>588</v>
      </c>
      <c r="AH1250" s="3">
        <v>39</v>
      </c>
      <c r="AI1250" s="3">
        <v>40</v>
      </c>
      <c r="AJ1250" s="205"/>
      <c r="AK1250" s="205"/>
      <c r="AL1250" s="210"/>
      <c r="AM1250" s="3"/>
      <c r="AN1250" s="1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</row>
    <row r="1251" spans="1:51" x14ac:dyDescent="0.3">
      <c r="A1251" s="76" t="s">
        <v>849</v>
      </c>
      <c r="B1251" s="1" t="s">
        <v>848</v>
      </c>
      <c r="C1251" s="2" t="str">
        <f t="shared" ref="C1251:C1266" si="311">C1250</f>
        <v>DIO1</v>
      </c>
      <c r="D1251" s="2">
        <v>130</v>
      </c>
      <c r="E1251" s="3">
        <v>2</v>
      </c>
      <c r="F1251" s="3">
        <f t="shared" ref="F1251:F1266" si="312">F1250</f>
        <v>10</v>
      </c>
      <c r="G1251" s="3">
        <v>0</v>
      </c>
      <c r="H1251" s="62">
        <v>8</v>
      </c>
      <c r="I1251" s="56">
        <v>0</v>
      </c>
      <c r="J1251" s="79" t="s">
        <v>549</v>
      </c>
      <c r="K1251" s="2" t="s">
        <v>548</v>
      </c>
      <c r="L1251" s="30" t="s">
        <v>42</v>
      </c>
      <c r="M1251" s="2">
        <v>4</v>
      </c>
      <c r="N1251" s="1" t="s">
        <v>859</v>
      </c>
      <c r="O1251" s="1" t="s">
        <v>863</v>
      </c>
      <c r="P1251" s="1" t="s">
        <v>857</v>
      </c>
      <c r="Q1251" s="1" t="s">
        <v>856</v>
      </c>
      <c r="R1251" s="1" t="s">
        <v>862</v>
      </c>
      <c r="S1251" s="13"/>
      <c r="T1251" s="1" t="s">
        <v>854</v>
      </c>
      <c r="V1251" s="1" t="str">
        <f t="shared" si="304"/>
        <v>2.10\0.8:0</v>
      </c>
      <c r="W1251" s="13" t="s">
        <v>853</v>
      </c>
      <c r="X1251" s="3" t="s">
        <v>4</v>
      </c>
      <c r="Y1251" s="268" t="s">
        <v>861</v>
      </c>
      <c r="AG1251" s="3" t="s">
        <v>570</v>
      </c>
      <c r="AH1251" s="3">
        <v>1</v>
      </c>
      <c r="AI1251" s="3">
        <v>2</v>
      </c>
      <c r="AJ1251" s="200"/>
      <c r="AM1251" s="3"/>
    </row>
    <row r="1252" spans="1:51" x14ac:dyDescent="0.3">
      <c r="A1252" s="5" t="str">
        <f t="shared" ref="A1252:A1266" si="313">A1251</f>
        <v>SUB902</v>
      </c>
      <c r="B1252" s="1" t="s">
        <v>848</v>
      </c>
      <c r="C1252" s="2" t="str">
        <f t="shared" si="311"/>
        <v>DIO1</v>
      </c>
      <c r="D1252" s="2">
        <v>130</v>
      </c>
      <c r="E1252" s="3">
        <v>2</v>
      </c>
      <c r="F1252" s="3">
        <f t="shared" si="312"/>
        <v>10</v>
      </c>
      <c r="G1252" s="3">
        <v>0</v>
      </c>
      <c r="H1252" s="60">
        <f>H1251</f>
        <v>8</v>
      </c>
      <c r="I1252" s="54">
        <f t="shared" ref="I1252:I1266" si="314">+I1251+1</f>
        <v>1</v>
      </c>
      <c r="J1252" s="78"/>
      <c r="K1252" s="30"/>
      <c r="L1252" s="30" t="s">
        <v>42</v>
      </c>
      <c r="M1252" s="2">
        <v>4</v>
      </c>
      <c r="N1252" s="1" t="s">
        <v>859</v>
      </c>
      <c r="O1252" s="1" t="s">
        <v>860</v>
      </c>
      <c r="P1252" s="1" t="s">
        <v>857</v>
      </c>
      <c r="Q1252" s="1" t="s">
        <v>856</v>
      </c>
      <c r="R1252" s="1" t="s">
        <v>638</v>
      </c>
      <c r="S1252" s="13"/>
      <c r="T1252" s="1" t="s">
        <v>854</v>
      </c>
      <c r="V1252" s="1" t="str">
        <f t="shared" si="304"/>
        <v>2.10\0.8:1</v>
      </c>
      <c r="W1252" s="13" t="s">
        <v>853</v>
      </c>
      <c r="X1252" s="3" t="s">
        <v>4</v>
      </c>
      <c r="Y1252" s="268"/>
      <c r="AG1252" s="3" t="s">
        <v>570</v>
      </c>
      <c r="AH1252" s="3">
        <v>3</v>
      </c>
      <c r="AI1252" s="3">
        <v>4</v>
      </c>
      <c r="AJ1252" s="200"/>
      <c r="AM1252" s="3"/>
    </row>
    <row r="1253" spans="1:51" x14ac:dyDescent="0.3">
      <c r="A1253" s="5" t="str">
        <f t="shared" si="313"/>
        <v>SUB902</v>
      </c>
      <c r="B1253" s="1" t="s">
        <v>848</v>
      </c>
      <c r="C1253" s="2" t="str">
        <f t="shared" si="311"/>
        <v>DIO1</v>
      </c>
      <c r="D1253" s="2">
        <v>130</v>
      </c>
      <c r="E1253" s="3">
        <v>2</v>
      </c>
      <c r="F1253" s="3">
        <f t="shared" si="312"/>
        <v>10</v>
      </c>
      <c r="G1253" s="3">
        <v>0</v>
      </c>
      <c r="H1253" s="55">
        <f t="shared" ref="H1253:H1266" si="315">+H1252</f>
        <v>8</v>
      </c>
      <c r="I1253" s="54">
        <f t="shared" si="314"/>
        <v>2</v>
      </c>
      <c r="J1253" s="78"/>
      <c r="K1253" s="30"/>
      <c r="L1253" s="30" t="s">
        <v>42</v>
      </c>
      <c r="M1253" s="2">
        <v>4</v>
      </c>
      <c r="N1253" s="1" t="s">
        <v>859</v>
      </c>
      <c r="O1253" s="1" t="s">
        <v>858</v>
      </c>
      <c r="P1253" s="1" t="s">
        <v>857</v>
      </c>
      <c r="Q1253" s="1" t="s">
        <v>856</v>
      </c>
      <c r="R1253" s="1" t="s">
        <v>855</v>
      </c>
      <c r="S1253" s="13"/>
      <c r="T1253" s="1" t="s">
        <v>854</v>
      </c>
      <c r="V1253" s="1" t="str">
        <f t="shared" si="304"/>
        <v>2.10\0.8:2</v>
      </c>
      <c r="W1253" s="13" t="s">
        <v>853</v>
      </c>
      <c r="X1253" s="3" t="s">
        <v>4</v>
      </c>
      <c r="Y1253" s="268"/>
      <c r="AG1253" s="3" t="s">
        <v>570</v>
      </c>
      <c r="AH1253" s="3">
        <v>5</v>
      </c>
      <c r="AI1253" s="3">
        <v>6</v>
      </c>
      <c r="AJ1253" s="200"/>
      <c r="AM1253" s="3"/>
    </row>
    <row r="1254" spans="1:51" x14ac:dyDescent="0.3">
      <c r="A1254" s="5" t="str">
        <f t="shared" si="313"/>
        <v>SUB902</v>
      </c>
      <c r="B1254" s="1" t="s">
        <v>848</v>
      </c>
      <c r="C1254" s="2" t="str">
        <f t="shared" si="311"/>
        <v>DIO1</v>
      </c>
      <c r="D1254" s="2">
        <v>130</v>
      </c>
      <c r="E1254" s="3">
        <v>2</v>
      </c>
      <c r="F1254" s="3">
        <f t="shared" si="312"/>
        <v>10</v>
      </c>
      <c r="G1254" s="3">
        <v>0</v>
      </c>
      <c r="H1254" s="55">
        <f t="shared" si="315"/>
        <v>8</v>
      </c>
      <c r="I1254" s="54">
        <f t="shared" si="314"/>
        <v>3</v>
      </c>
      <c r="J1254" s="78"/>
      <c r="K1254" s="27"/>
      <c r="L1254" s="30" t="s">
        <v>42</v>
      </c>
      <c r="M1254" s="6">
        <v>5</v>
      </c>
      <c r="N1254" s="6" t="s">
        <v>851</v>
      </c>
      <c r="O1254" s="6" t="s">
        <v>52</v>
      </c>
      <c r="P1254" s="6" t="s">
        <v>852</v>
      </c>
      <c r="Q1254" s="6" t="s">
        <v>851</v>
      </c>
      <c r="R1254" s="6" t="s">
        <v>24</v>
      </c>
      <c r="S1254" s="67"/>
      <c r="T1254" s="6" t="s">
        <v>851</v>
      </c>
      <c r="U1254" s="6"/>
      <c r="V1254" s="1" t="str">
        <f t="shared" si="304"/>
        <v>2.10\0.8:3</v>
      </c>
      <c r="W1254" s="6" t="s">
        <v>850</v>
      </c>
      <c r="X1254" s="89" t="s">
        <v>4</v>
      </c>
      <c r="AG1254" s="3" t="s">
        <v>570</v>
      </c>
      <c r="AH1254" s="3">
        <v>7</v>
      </c>
      <c r="AI1254" s="3">
        <v>8</v>
      </c>
      <c r="AJ1254" s="200"/>
      <c r="AM1254" s="3"/>
    </row>
    <row r="1255" spans="1:51" x14ac:dyDescent="0.3">
      <c r="A1255" s="5" t="str">
        <f t="shared" si="313"/>
        <v>SUB902</v>
      </c>
      <c r="B1255" s="1" t="s">
        <v>848</v>
      </c>
      <c r="C1255" s="2" t="str">
        <f t="shared" si="311"/>
        <v>DIO1</v>
      </c>
      <c r="D1255" s="2">
        <v>130</v>
      </c>
      <c r="E1255" s="3">
        <v>2</v>
      </c>
      <c r="F1255" s="3">
        <f t="shared" si="312"/>
        <v>10</v>
      </c>
      <c r="G1255" s="3">
        <v>0</v>
      </c>
      <c r="H1255" s="55">
        <f t="shared" si="315"/>
        <v>8</v>
      </c>
      <c r="I1255" s="54">
        <f t="shared" si="314"/>
        <v>4</v>
      </c>
      <c r="J1255" s="78"/>
      <c r="K1255" s="27"/>
      <c r="L1255" s="30" t="s">
        <v>42</v>
      </c>
      <c r="M1255" s="2"/>
      <c r="N1255" s="2"/>
      <c r="O1255" s="2"/>
      <c r="P1255" s="2"/>
      <c r="S1255" s="13"/>
      <c r="V1255" s="1" t="str">
        <f t="shared" si="304"/>
        <v>2.10\0.8:4</v>
      </c>
      <c r="AG1255" s="3" t="s">
        <v>570</v>
      </c>
      <c r="AH1255" s="3">
        <v>9</v>
      </c>
      <c r="AI1255" s="3">
        <v>10</v>
      </c>
      <c r="AJ1255" s="200"/>
      <c r="AM1255" s="3"/>
    </row>
    <row r="1256" spans="1:51" x14ac:dyDescent="0.3">
      <c r="A1256" s="5" t="str">
        <f t="shared" si="313"/>
        <v>SUB902</v>
      </c>
      <c r="B1256" s="1" t="s">
        <v>848</v>
      </c>
      <c r="C1256" s="2" t="str">
        <f t="shared" si="311"/>
        <v>DIO1</v>
      </c>
      <c r="D1256" s="2">
        <v>130</v>
      </c>
      <c r="E1256" s="3">
        <v>2</v>
      </c>
      <c r="F1256" s="3">
        <f t="shared" si="312"/>
        <v>10</v>
      </c>
      <c r="G1256" s="3">
        <v>0</v>
      </c>
      <c r="H1256" s="55">
        <f t="shared" si="315"/>
        <v>8</v>
      </c>
      <c r="I1256" s="54">
        <f t="shared" si="314"/>
        <v>5</v>
      </c>
      <c r="J1256" s="78"/>
      <c r="K1256" s="27"/>
      <c r="L1256" s="30" t="s">
        <v>42</v>
      </c>
      <c r="M1256" s="2"/>
      <c r="N1256" s="2"/>
      <c r="O1256" s="2"/>
      <c r="P1256" s="2"/>
      <c r="S1256" s="13"/>
      <c r="V1256" s="1" t="str">
        <f t="shared" si="304"/>
        <v>2.10\0.8:5</v>
      </c>
      <c r="AG1256" s="3" t="s">
        <v>570</v>
      </c>
      <c r="AH1256" s="3">
        <v>11</v>
      </c>
      <c r="AI1256" s="3">
        <v>12</v>
      </c>
      <c r="AJ1256" s="200"/>
      <c r="AM1256" s="3"/>
    </row>
    <row r="1257" spans="1:51" x14ac:dyDescent="0.3">
      <c r="A1257" s="5" t="str">
        <f t="shared" si="313"/>
        <v>SUB902</v>
      </c>
      <c r="B1257" s="1" t="s">
        <v>848</v>
      </c>
      <c r="C1257" s="2" t="str">
        <f t="shared" si="311"/>
        <v>DIO1</v>
      </c>
      <c r="D1257" s="2">
        <v>130</v>
      </c>
      <c r="E1257" s="3">
        <v>2</v>
      </c>
      <c r="F1257" s="3">
        <f t="shared" si="312"/>
        <v>10</v>
      </c>
      <c r="G1257" s="3">
        <v>0</v>
      </c>
      <c r="H1257" s="55">
        <f t="shared" si="315"/>
        <v>8</v>
      </c>
      <c r="I1257" s="54">
        <f t="shared" si="314"/>
        <v>6</v>
      </c>
      <c r="J1257" s="78"/>
      <c r="K1257" s="27"/>
      <c r="L1257" s="30" t="s">
        <v>42</v>
      </c>
      <c r="M1257" s="2"/>
      <c r="N1257" s="2"/>
      <c r="O1257" s="2"/>
      <c r="P1257" s="2"/>
      <c r="Q1257" s="1" t="s">
        <v>302</v>
      </c>
      <c r="S1257" s="13"/>
      <c r="V1257" s="1" t="str">
        <f t="shared" si="304"/>
        <v>2.10\0.8:6</v>
      </c>
      <c r="AG1257" s="3" t="s">
        <v>570</v>
      </c>
      <c r="AH1257" s="3">
        <v>13</v>
      </c>
      <c r="AI1257" s="3">
        <v>14</v>
      </c>
      <c r="AJ1257" s="200"/>
      <c r="AM1257" s="3"/>
    </row>
    <row r="1258" spans="1:51" x14ac:dyDescent="0.3">
      <c r="A1258" s="5" t="str">
        <f t="shared" si="313"/>
        <v>SUB902</v>
      </c>
      <c r="B1258" s="1" t="s">
        <v>848</v>
      </c>
      <c r="C1258" s="2" t="str">
        <f t="shared" si="311"/>
        <v>DIO1</v>
      </c>
      <c r="D1258" s="2">
        <v>130</v>
      </c>
      <c r="E1258" s="3">
        <v>2</v>
      </c>
      <c r="F1258" s="3">
        <f t="shared" si="312"/>
        <v>10</v>
      </c>
      <c r="G1258" s="3">
        <v>0</v>
      </c>
      <c r="H1258" s="55">
        <f t="shared" si="315"/>
        <v>8</v>
      </c>
      <c r="I1258" s="54">
        <f t="shared" si="314"/>
        <v>7</v>
      </c>
      <c r="J1258" s="78"/>
      <c r="K1258" s="27"/>
      <c r="L1258" s="30" t="s">
        <v>42</v>
      </c>
      <c r="M1258" s="2"/>
      <c r="N1258" s="2"/>
      <c r="O1258" s="2"/>
      <c r="P1258" s="2"/>
      <c r="Q1258" s="1" t="s">
        <v>302</v>
      </c>
      <c r="S1258" s="13"/>
      <c r="V1258" s="1" t="str">
        <f t="shared" si="304"/>
        <v>2.10\0.8:7</v>
      </c>
      <c r="AG1258" s="3" t="s">
        <v>570</v>
      </c>
      <c r="AH1258" s="3">
        <v>15</v>
      </c>
      <c r="AI1258" s="3">
        <v>16</v>
      </c>
      <c r="AJ1258" s="200"/>
      <c r="AM1258" s="3"/>
    </row>
    <row r="1259" spans="1:51" x14ac:dyDescent="0.3">
      <c r="A1259" s="5" t="str">
        <f t="shared" si="313"/>
        <v>SUB902</v>
      </c>
      <c r="B1259" s="1" t="s">
        <v>848</v>
      </c>
      <c r="C1259" s="2" t="str">
        <f t="shared" si="311"/>
        <v>DIO1</v>
      </c>
      <c r="D1259" s="2">
        <v>130</v>
      </c>
      <c r="E1259" s="3">
        <v>2</v>
      </c>
      <c r="F1259" s="3">
        <f t="shared" si="312"/>
        <v>10</v>
      </c>
      <c r="G1259" s="3">
        <v>0</v>
      </c>
      <c r="H1259" s="55">
        <f t="shared" si="315"/>
        <v>8</v>
      </c>
      <c r="I1259" s="54">
        <f t="shared" si="314"/>
        <v>8</v>
      </c>
      <c r="J1259" s="78"/>
      <c r="K1259" s="27"/>
      <c r="L1259" s="30" t="s">
        <v>42</v>
      </c>
      <c r="M1259" s="2"/>
      <c r="N1259" s="2"/>
      <c r="O1259" s="2"/>
      <c r="P1259" s="2"/>
      <c r="S1259" s="13"/>
      <c r="V1259" s="1" t="str">
        <f t="shared" si="304"/>
        <v>2.10\0.8:8</v>
      </c>
      <c r="Y1259" s="7"/>
      <c r="Z1259" s="206"/>
      <c r="AA1259" s="206"/>
      <c r="AG1259" s="3" t="s">
        <v>570</v>
      </c>
      <c r="AH1259" s="3">
        <v>17</v>
      </c>
      <c r="AI1259" s="3">
        <v>18</v>
      </c>
      <c r="AJ1259" s="200"/>
      <c r="AM1259" s="3"/>
    </row>
    <row r="1260" spans="1:51" x14ac:dyDescent="0.3">
      <c r="A1260" s="5" t="str">
        <f t="shared" si="313"/>
        <v>SUB902</v>
      </c>
      <c r="B1260" s="1" t="s">
        <v>848</v>
      </c>
      <c r="C1260" s="2" t="str">
        <f t="shared" si="311"/>
        <v>DIO1</v>
      </c>
      <c r="D1260" s="2">
        <v>130</v>
      </c>
      <c r="E1260" s="3">
        <v>2</v>
      </c>
      <c r="F1260" s="3">
        <f t="shared" si="312"/>
        <v>10</v>
      </c>
      <c r="G1260" s="3">
        <v>0</v>
      </c>
      <c r="H1260" s="55">
        <f t="shared" si="315"/>
        <v>8</v>
      </c>
      <c r="I1260" s="54">
        <f t="shared" si="314"/>
        <v>9</v>
      </c>
      <c r="J1260" s="78"/>
      <c r="K1260" s="27"/>
      <c r="L1260" s="30" t="s">
        <v>42</v>
      </c>
      <c r="M1260" s="2"/>
      <c r="N1260" s="2"/>
      <c r="O1260" s="2"/>
      <c r="P1260" s="2"/>
      <c r="S1260" s="13"/>
      <c r="V1260" s="1" t="str">
        <f t="shared" si="304"/>
        <v>2.10\0.8:9</v>
      </c>
      <c r="Y1260" s="7"/>
      <c r="Z1260" s="206"/>
      <c r="AA1260" s="206"/>
      <c r="AG1260" s="3" t="s">
        <v>570</v>
      </c>
      <c r="AH1260" s="3">
        <v>19</v>
      </c>
      <c r="AI1260" s="3">
        <v>20</v>
      </c>
      <c r="AJ1260" s="200"/>
      <c r="AM1260" s="3"/>
    </row>
    <row r="1261" spans="1:51" x14ac:dyDescent="0.3">
      <c r="A1261" s="5" t="str">
        <f t="shared" si="313"/>
        <v>SUB902</v>
      </c>
      <c r="B1261" s="1" t="s">
        <v>848</v>
      </c>
      <c r="C1261" s="2" t="str">
        <f t="shared" si="311"/>
        <v>DIO1</v>
      </c>
      <c r="D1261" s="2">
        <v>130</v>
      </c>
      <c r="E1261" s="3">
        <v>2</v>
      </c>
      <c r="F1261" s="3">
        <f t="shared" si="312"/>
        <v>10</v>
      </c>
      <c r="G1261" s="3">
        <v>0</v>
      </c>
      <c r="H1261" s="55">
        <f t="shared" si="315"/>
        <v>8</v>
      </c>
      <c r="I1261" s="54">
        <f t="shared" si="314"/>
        <v>10</v>
      </c>
      <c r="J1261" s="78"/>
      <c r="K1261" s="27"/>
      <c r="L1261" s="30" t="s">
        <v>42</v>
      </c>
      <c r="M1261" s="2"/>
      <c r="N1261" s="2"/>
      <c r="O1261" s="2"/>
      <c r="P1261" s="2"/>
      <c r="R1261" s="24"/>
      <c r="S1261" s="13"/>
      <c r="V1261" s="1" t="str">
        <f t="shared" si="304"/>
        <v>2.10\0.8:10</v>
      </c>
      <c r="AG1261" s="3" t="s">
        <v>570</v>
      </c>
      <c r="AH1261" s="3">
        <v>21</v>
      </c>
      <c r="AI1261" s="3">
        <v>22</v>
      </c>
      <c r="AJ1261" s="200"/>
      <c r="AM1261" s="3"/>
    </row>
    <row r="1262" spans="1:51" x14ac:dyDescent="0.3">
      <c r="A1262" s="5" t="str">
        <f t="shared" si="313"/>
        <v>SUB902</v>
      </c>
      <c r="B1262" s="1" t="s">
        <v>848</v>
      </c>
      <c r="C1262" s="2" t="str">
        <f t="shared" si="311"/>
        <v>DIO1</v>
      </c>
      <c r="D1262" s="2">
        <v>130</v>
      </c>
      <c r="E1262" s="3">
        <v>2</v>
      </c>
      <c r="F1262" s="3">
        <f t="shared" si="312"/>
        <v>10</v>
      </c>
      <c r="G1262" s="3">
        <v>0</v>
      </c>
      <c r="H1262" s="55">
        <f t="shared" si="315"/>
        <v>8</v>
      </c>
      <c r="I1262" s="54">
        <f t="shared" si="314"/>
        <v>11</v>
      </c>
      <c r="J1262" s="78"/>
      <c r="K1262" s="27"/>
      <c r="L1262" s="30" t="s">
        <v>42</v>
      </c>
      <c r="M1262" s="2"/>
      <c r="N1262" s="2"/>
      <c r="O1262" s="2"/>
      <c r="P1262" s="2"/>
      <c r="R1262" s="24"/>
      <c r="S1262" s="13"/>
      <c r="V1262" s="1" t="str">
        <f t="shared" si="304"/>
        <v>2.10\0.8:11</v>
      </c>
      <c r="AG1262" s="3" t="s">
        <v>570</v>
      </c>
      <c r="AH1262" s="3">
        <v>23</v>
      </c>
      <c r="AI1262" s="3">
        <v>24</v>
      </c>
      <c r="AJ1262" s="200"/>
      <c r="AM1262" s="3"/>
    </row>
    <row r="1263" spans="1:51" x14ac:dyDescent="0.3">
      <c r="A1263" s="5" t="str">
        <f t="shared" si="313"/>
        <v>SUB902</v>
      </c>
      <c r="B1263" s="1" t="s">
        <v>848</v>
      </c>
      <c r="C1263" s="2" t="str">
        <f t="shared" si="311"/>
        <v>DIO1</v>
      </c>
      <c r="D1263" s="2">
        <v>130</v>
      </c>
      <c r="E1263" s="3">
        <v>2</v>
      </c>
      <c r="F1263" s="3">
        <f t="shared" si="312"/>
        <v>10</v>
      </c>
      <c r="G1263" s="3">
        <v>0</v>
      </c>
      <c r="H1263" s="55">
        <f t="shared" si="315"/>
        <v>8</v>
      </c>
      <c r="I1263" s="54">
        <f t="shared" si="314"/>
        <v>12</v>
      </c>
      <c r="J1263" s="78"/>
      <c r="K1263" s="27"/>
      <c r="L1263" s="30" t="s">
        <v>42</v>
      </c>
      <c r="M1263" s="2"/>
      <c r="N1263" s="2"/>
      <c r="O1263" s="2"/>
      <c r="P1263" s="2"/>
      <c r="R1263" s="24"/>
      <c r="S1263" s="13"/>
      <c r="V1263" s="1" t="str">
        <f t="shared" ref="V1263:V1278" si="316">+CONCATENATE(E1263,".",F1263,"\",G1263,".",H1263,":",I1263)</f>
        <v>2.10\0.8:12</v>
      </c>
      <c r="AG1263" s="3" t="s">
        <v>570</v>
      </c>
      <c r="AH1263" s="3">
        <v>25</v>
      </c>
      <c r="AI1263" s="3">
        <v>26</v>
      </c>
      <c r="AJ1263" s="200"/>
      <c r="AM1263" s="3"/>
    </row>
    <row r="1264" spans="1:51" x14ac:dyDescent="0.3">
      <c r="A1264" s="5" t="str">
        <f t="shared" si="313"/>
        <v>SUB902</v>
      </c>
      <c r="B1264" s="1" t="s">
        <v>848</v>
      </c>
      <c r="C1264" s="2" t="str">
        <f t="shared" si="311"/>
        <v>DIO1</v>
      </c>
      <c r="D1264" s="2">
        <v>130</v>
      </c>
      <c r="E1264" s="3">
        <v>2</v>
      </c>
      <c r="F1264" s="3">
        <f t="shared" si="312"/>
        <v>10</v>
      </c>
      <c r="G1264" s="3">
        <v>0</v>
      </c>
      <c r="H1264" s="55">
        <f t="shared" si="315"/>
        <v>8</v>
      </c>
      <c r="I1264" s="54">
        <f t="shared" si="314"/>
        <v>13</v>
      </c>
      <c r="J1264" s="78"/>
      <c r="K1264" s="27"/>
      <c r="L1264" s="30" t="s">
        <v>42</v>
      </c>
      <c r="M1264" s="2"/>
      <c r="N1264" s="2"/>
      <c r="O1264" s="2"/>
      <c r="P1264" s="2"/>
      <c r="R1264" s="24"/>
      <c r="S1264" s="13"/>
      <c r="V1264" s="1" t="str">
        <f t="shared" si="316"/>
        <v>2.10\0.8:13</v>
      </c>
      <c r="AG1264" s="3" t="s">
        <v>570</v>
      </c>
      <c r="AH1264" s="3">
        <v>27</v>
      </c>
      <c r="AI1264" s="3">
        <v>28</v>
      </c>
      <c r="AJ1264" s="200"/>
      <c r="AM1264" s="3"/>
    </row>
    <row r="1265" spans="1:39" x14ac:dyDescent="0.3">
      <c r="A1265" s="5" t="str">
        <f t="shared" si="313"/>
        <v>SUB902</v>
      </c>
      <c r="B1265" s="1" t="s">
        <v>848</v>
      </c>
      <c r="C1265" s="2" t="str">
        <f t="shared" si="311"/>
        <v>DIO1</v>
      </c>
      <c r="D1265" s="2">
        <v>130</v>
      </c>
      <c r="E1265" s="3">
        <v>2</v>
      </c>
      <c r="F1265" s="3">
        <f t="shared" si="312"/>
        <v>10</v>
      </c>
      <c r="G1265" s="3">
        <v>0</v>
      </c>
      <c r="H1265" s="55">
        <f t="shared" si="315"/>
        <v>8</v>
      </c>
      <c r="I1265" s="54">
        <f t="shared" si="314"/>
        <v>14</v>
      </c>
      <c r="J1265" s="78"/>
      <c r="K1265" s="27"/>
      <c r="L1265" s="30" t="s">
        <v>42</v>
      </c>
      <c r="M1265" s="2"/>
      <c r="N1265" s="2"/>
      <c r="O1265" s="2"/>
      <c r="P1265" s="2"/>
      <c r="S1265" s="13"/>
      <c r="V1265" s="1" t="str">
        <f t="shared" si="316"/>
        <v>2.10\0.8:14</v>
      </c>
      <c r="AG1265" s="3" t="s">
        <v>570</v>
      </c>
      <c r="AH1265" s="3">
        <v>29</v>
      </c>
      <c r="AI1265" s="3">
        <v>30</v>
      </c>
      <c r="AJ1265" s="200"/>
      <c r="AM1265" s="3"/>
    </row>
    <row r="1266" spans="1:39" ht="13.5" thickBot="1" x14ac:dyDescent="0.35">
      <c r="A1266" s="5" t="str">
        <f t="shared" si="313"/>
        <v>SUB902</v>
      </c>
      <c r="B1266" s="1" t="s">
        <v>848</v>
      </c>
      <c r="C1266" s="2" t="str">
        <f t="shared" si="311"/>
        <v>DIO1</v>
      </c>
      <c r="D1266" s="2">
        <v>130</v>
      </c>
      <c r="E1266" s="3">
        <v>2</v>
      </c>
      <c r="F1266" s="3">
        <f t="shared" si="312"/>
        <v>10</v>
      </c>
      <c r="G1266" s="3">
        <v>0</v>
      </c>
      <c r="H1266" s="55">
        <f t="shared" si="315"/>
        <v>8</v>
      </c>
      <c r="I1266" s="59">
        <f t="shared" si="314"/>
        <v>15</v>
      </c>
      <c r="J1266" s="77"/>
      <c r="K1266" s="27"/>
      <c r="L1266" s="30" t="s">
        <v>42</v>
      </c>
      <c r="M1266" s="2"/>
      <c r="N1266" s="2"/>
      <c r="S1266" s="13"/>
      <c r="V1266" s="1" t="str">
        <f t="shared" si="316"/>
        <v>2.10\0.8:15</v>
      </c>
      <c r="AG1266" s="3" t="s">
        <v>570</v>
      </c>
      <c r="AH1266" s="3">
        <v>31</v>
      </c>
      <c r="AI1266" s="3">
        <v>32</v>
      </c>
      <c r="AJ1266" s="200"/>
      <c r="AM1266" s="3"/>
    </row>
    <row r="1267" spans="1:39" x14ac:dyDescent="0.3">
      <c r="A1267" s="76" t="s">
        <v>849</v>
      </c>
      <c r="B1267" s="1" t="s">
        <v>848</v>
      </c>
      <c r="C1267" s="2" t="str">
        <f>+C1130</f>
        <v>DIO1</v>
      </c>
      <c r="D1267" s="2">
        <v>130</v>
      </c>
      <c r="E1267" s="3">
        <f>+E1130</f>
        <v>2</v>
      </c>
      <c r="F1267" s="3">
        <f>+F1130</f>
        <v>10</v>
      </c>
      <c r="G1267" s="3">
        <v>0</v>
      </c>
      <c r="H1267" s="62">
        <v>9</v>
      </c>
      <c r="I1267" s="56"/>
      <c r="J1267" s="209"/>
      <c r="K1267" s="41" t="s">
        <v>300</v>
      </c>
      <c r="M1267" s="2"/>
      <c r="N1267" s="2"/>
      <c r="S1267" s="13"/>
      <c r="V1267" s="1" t="str">
        <f t="shared" si="316"/>
        <v>2.10\0.9:</v>
      </c>
      <c r="Y1267" s="7"/>
      <c r="Z1267" s="206"/>
      <c r="AA1267" s="206"/>
      <c r="AB1267" s="7"/>
      <c r="AC1267" s="7"/>
      <c r="AD1267" s="7"/>
      <c r="AE1267" s="7"/>
      <c r="AH1267" s="205"/>
      <c r="AI1267" s="205"/>
      <c r="AJ1267" s="200"/>
      <c r="AM1267" s="3"/>
    </row>
    <row r="1268" spans="1:39" x14ac:dyDescent="0.3">
      <c r="A1268" s="5" t="str">
        <f>A1267</f>
        <v>SUB902</v>
      </c>
      <c r="B1268" s="1" t="s">
        <v>848</v>
      </c>
      <c r="C1268" s="2" t="str">
        <f>+C1267</f>
        <v>DIO1</v>
      </c>
      <c r="D1268" s="2">
        <v>130</v>
      </c>
      <c r="E1268" s="3">
        <f t="shared" ref="E1268:F1270" si="317">+E1267</f>
        <v>2</v>
      </c>
      <c r="F1268" s="3">
        <f t="shared" si="317"/>
        <v>10</v>
      </c>
      <c r="G1268" s="3">
        <v>0</v>
      </c>
      <c r="H1268" s="55">
        <f>+H1267</f>
        <v>9</v>
      </c>
      <c r="I1268" s="54"/>
      <c r="J1268" s="208"/>
      <c r="K1268" s="2"/>
      <c r="M1268" s="2"/>
      <c r="N1268" s="2"/>
      <c r="V1268" s="1" t="str">
        <f t="shared" si="316"/>
        <v>2.10\0.9:</v>
      </c>
      <c r="Y1268" s="7"/>
      <c r="Z1268" s="206"/>
      <c r="AA1268" s="206"/>
      <c r="AB1268" s="7"/>
      <c r="AC1268" s="7"/>
      <c r="AD1268" s="7"/>
      <c r="AE1268" s="7"/>
      <c r="AH1268" s="205"/>
      <c r="AI1268" s="205"/>
      <c r="AJ1268" s="200"/>
      <c r="AM1268" s="3"/>
    </row>
    <row r="1269" spans="1:39" x14ac:dyDescent="0.3">
      <c r="A1269" s="5" t="str">
        <f>A1268</f>
        <v>SUB902</v>
      </c>
      <c r="B1269" s="1" t="s">
        <v>848</v>
      </c>
      <c r="C1269" s="2" t="str">
        <f>+C1268</f>
        <v>DIO1</v>
      </c>
      <c r="D1269" s="2">
        <v>130</v>
      </c>
      <c r="E1269" s="3">
        <f t="shared" si="317"/>
        <v>2</v>
      </c>
      <c r="F1269" s="3">
        <f t="shared" si="317"/>
        <v>10</v>
      </c>
      <c r="G1269" s="3">
        <v>0</v>
      </c>
      <c r="H1269" s="55">
        <f>+H1268</f>
        <v>9</v>
      </c>
      <c r="I1269" s="54"/>
      <c r="J1269" s="208"/>
      <c r="K1269" s="2"/>
      <c r="M1269" s="2"/>
      <c r="N1269" s="2"/>
      <c r="V1269" s="1" t="str">
        <f t="shared" si="316"/>
        <v>2.10\0.9:</v>
      </c>
      <c r="Y1269" s="7"/>
      <c r="Z1269" s="206"/>
      <c r="AA1269" s="206"/>
      <c r="AB1269" s="7"/>
      <c r="AC1269" s="7"/>
      <c r="AD1269" s="7"/>
      <c r="AE1269" s="7"/>
      <c r="AH1269" s="205"/>
      <c r="AI1269" s="205"/>
      <c r="AJ1269" s="200"/>
      <c r="AM1269" s="3"/>
    </row>
    <row r="1270" spans="1:39" ht="13.5" thickBot="1" x14ac:dyDescent="0.35">
      <c r="A1270" s="5" t="str">
        <f>A1269</f>
        <v>SUB902</v>
      </c>
      <c r="B1270" s="1" t="s">
        <v>848</v>
      </c>
      <c r="C1270" s="2" t="str">
        <f>+C1269</f>
        <v>DIO1</v>
      </c>
      <c r="D1270" s="2">
        <v>130</v>
      </c>
      <c r="E1270" s="3">
        <f t="shared" si="317"/>
        <v>2</v>
      </c>
      <c r="F1270" s="3">
        <f t="shared" si="317"/>
        <v>10</v>
      </c>
      <c r="G1270" s="3">
        <v>0</v>
      </c>
      <c r="H1270" s="55">
        <f>+H1269</f>
        <v>9</v>
      </c>
      <c r="I1270" s="59"/>
      <c r="J1270" s="207"/>
      <c r="K1270" s="2"/>
      <c r="M1270" s="2"/>
      <c r="N1270" s="2"/>
      <c r="V1270" s="1" t="str">
        <f t="shared" si="316"/>
        <v>2.10\0.9:</v>
      </c>
      <c r="Y1270" s="7"/>
      <c r="Z1270" s="206"/>
      <c r="AA1270" s="206"/>
      <c r="AB1270" s="7"/>
      <c r="AC1270" s="7"/>
      <c r="AD1270" s="7"/>
      <c r="AE1270" s="7"/>
      <c r="AH1270" s="205"/>
      <c r="AI1270" s="205"/>
      <c r="AJ1270" s="200"/>
      <c r="AM1270" s="3"/>
    </row>
    <row r="1271" spans="1:39" x14ac:dyDescent="0.3">
      <c r="A1271" s="76" t="s">
        <v>849</v>
      </c>
      <c r="B1271" s="1" t="s">
        <v>848</v>
      </c>
      <c r="C1271" s="2" t="str">
        <f>+C1134</f>
        <v>DIO1</v>
      </c>
      <c r="D1271" s="2">
        <v>130</v>
      </c>
      <c r="E1271" s="3">
        <f>+E1134</f>
        <v>2</v>
      </c>
      <c r="F1271" s="3">
        <f>+F1134</f>
        <v>10</v>
      </c>
      <c r="G1271" s="3">
        <v>0</v>
      </c>
      <c r="H1271" s="57">
        <v>10</v>
      </c>
      <c r="I1271" s="56"/>
      <c r="J1271" s="209"/>
      <c r="K1271" s="41" t="s">
        <v>300</v>
      </c>
      <c r="M1271" s="2"/>
      <c r="N1271" s="2"/>
      <c r="V1271" s="1" t="str">
        <f t="shared" si="316"/>
        <v>2.10\0.10:</v>
      </c>
      <c r="Y1271" s="7"/>
      <c r="Z1271" s="206"/>
      <c r="AA1271" s="206"/>
      <c r="AB1271" s="7"/>
      <c r="AC1271" s="7"/>
      <c r="AD1271" s="7"/>
      <c r="AE1271" s="7"/>
      <c r="AH1271" s="205"/>
      <c r="AI1271" s="205"/>
      <c r="AJ1271" s="200"/>
      <c r="AM1271" s="3"/>
    </row>
    <row r="1272" spans="1:39" x14ac:dyDescent="0.3">
      <c r="A1272" s="5" t="str">
        <f t="shared" ref="A1272:A1278" si="318">A1271</f>
        <v>SUB902</v>
      </c>
      <c r="B1272" s="1" t="s">
        <v>848</v>
      </c>
      <c r="C1272" s="2" t="str">
        <f t="shared" ref="C1272:C1278" si="319">+C1271</f>
        <v>DIO1</v>
      </c>
      <c r="D1272" s="2">
        <v>130</v>
      </c>
      <c r="E1272" s="3">
        <f t="shared" ref="E1272:F1278" si="320">+E1271</f>
        <v>2</v>
      </c>
      <c r="F1272" s="3">
        <f t="shared" si="320"/>
        <v>10</v>
      </c>
      <c r="G1272" s="3">
        <v>0</v>
      </c>
      <c r="H1272" s="55">
        <f>+H1271</f>
        <v>10</v>
      </c>
      <c r="I1272" s="54"/>
      <c r="J1272" s="208"/>
      <c r="K1272" s="2"/>
      <c r="M1272" s="2"/>
      <c r="N1272" s="2"/>
      <c r="V1272" s="1" t="str">
        <f t="shared" si="316"/>
        <v>2.10\0.10:</v>
      </c>
      <c r="Y1272" s="7"/>
      <c r="Z1272" s="206"/>
      <c r="AA1272" s="206"/>
      <c r="AB1272" s="7"/>
      <c r="AC1272" s="7"/>
      <c r="AD1272" s="7"/>
      <c r="AE1272" s="7"/>
      <c r="AH1272" s="205"/>
      <c r="AI1272" s="205"/>
      <c r="AJ1272" s="200"/>
      <c r="AM1272" s="3"/>
    </row>
    <row r="1273" spans="1:39" x14ac:dyDescent="0.3">
      <c r="A1273" s="5" t="str">
        <f t="shared" si="318"/>
        <v>SUB902</v>
      </c>
      <c r="B1273" s="1" t="s">
        <v>848</v>
      </c>
      <c r="C1273" s="2" t="str">
        <f t="shared" si="319"/>
        <v>DIO1</v>
      </c>
      <c r="D1273" s="2">
        <v>130</v>
      </c>
      <c r="E1273" s="3">
        <f t="shared" si="320"/>
        <v>2</v>
      </c>
      <c r="F1273" s="3">
        <f t="shared" si="320"/>
        <v>10</v>
      </c>
      <c r="G1273" s="3">
        <v>0</v>
      </c>
      <c r="H1273" s="55">
        <f>+H1272</f>
        <v>10</v>
      </c>
      <c r="I1273" s="54"/>
      <c r="J1273" s="208"/>
      <c r="K1273" s="2"/>
      <c r="M1273" s="2"/>
      <c r="N1273" s="2"/>
      <c r="V1273" s="1" t="str">
        <f t="shared" si="316"/>
        <v>2.10\0.10:</v>
      </c>
      <c r="Y1273" s="7"/>
      <c r="Z1273" s="206"/>
      <c r="AA1273" s="206"/>
      <c r="AB1273" s="7"/>
      <c r="AC1273" s="7"/>
      <c r="AD1273" s="7"/>
      <c r="AE1273" s="7"/>
      <c r="AH1273" s="205"/>
      <c r="AI1273" s="205"/>
      <c r="AJ1273" s="200"/>
      <c r="AM1273" s="3"/>
    </row>
    <row r="1274" spans="1:39" ht="13.5" thickBot="1" x14ac:dyDescent="0.35">
      <c r="A1274" s="5" t="str">
        <f t="shared" si="318"/>
        <v>SUB902</v>
      </c>
      <c r="B1274" s="1" t="s">
        <v>848</v>
      </c>
      <c r="C1274" s="2" t="str">
        <f t="shared" si="319"/>
        <v>DIO1</v>
      </c>
      <c r="D1274" s="2">
        <v>130</v>
      </c>
      <c r="E1274" s="3">
        <f t="shared" si="320"/>
        <v>2</v>
      </c>
      <c r="F1274" s="3">
        <f t="shared" si="320"/>
        <v>10</v>
      </c>
      <c r="G1274" s="3">
        <v>0</v>
      </c>
      <c r="H1274" s="55">
        <f>+H1273</f>
        <v>10</v>
      </c>
      <c r="I1274" s="59"/>
      <c r="J1274" s="207"/>
      <c r="K1274" s="2"/>
      <c r="M1274" s="2"/>
      <c r="N1274" s="2"/>
      <c r="V1274" s="1" t="str">
        <f t="shared" si="316"/>
        <v>2.10\0.10:</v>
      </c>
      <c r="Y1274" s="7"/>
      <c r="Z1274" s="206"/>
      <c r="AA1274" s="206"/>
      <c r="AB1274" s="7"/>
      <c r="AC1274" s="7"/>
      <c r="AD1274" s="7"/>
      <c r="AE1274" s="7"/>
      <c r="AH1274" s="205"/>
      <c r="AI1274" s="205"/>
      <c r="AJ1274" s="200"/>
      <c r="AM1274" s="3"/>
    </row>
    <row r="1275" spans="1:39" x14ac:dyDescent="0.3">
      <c r="A1275" s="5" t="str">
        <f t="shared" si="318"/>
        <v>SUB902</v>
      </c>
      <c r="B1275" s="1" t="s">
        <v>848</v>
      </c>
      <c r="C1275" s="2" t="str">
        <f t="shared" si="319"/>
        <v>DIO1</v>
      </c>
      <c r="D1275" s="2">
        <v>130</v>
      </c>
      <c r="E1275" s="3">
        <f t="shared" si="320"/>
        <v>2</v>
      </c>
      <c r="F1275" s="3">
        <f t="shared" si="320"/>
        <v>10</v>
      </c>
      <c r="G1275" s="3">
        <v>0</v>
      </c>
      <c r="H1275" s="57">
        <v>11</v>
      </c>
      <c r="I1275" s="56"/>
      <c r="J1275" s="209"/>
      <c r="K1275" s="41" t="s">
        <v>300</v>
      </c>
      <c r="M1275" s="2"/>
      <c r="N1275" s="2"/>
      <c r="V1275" s="1" t="str">
        <f t="shared" si="316"/>
        <v>2.10\0.11:</v>
      </c>
      <c r="Y1275" s="7"/>
      <c r="Z1275" s="206"/>
      <c r="AA1275" s="206"/>
      <c r="AB1275" s="7"/>
      <c r="AC1275" s="7"/>
      <c r="AD1275" s="7"/>
      <c r="AE1275" s="7"/>
      <c r="AH1275" s="205"/>
      <c r="AI1275" s="205"/>
      <c r="AJ1275" s="200"/>
      <c r="AM1275" s="3"/>
    </row>
    <row r="1276" spans="1:39" x14ac:dyDescent="0.3">
      <c r="A1276" s="5" t="str">
        <f t="shared" si="318"/>
        <v>SUB902</v>
      </c>
      <c r="B1276" s="1" t="s">
        <v>848</v>
      </c>
      <c r="C1276" s="2" t="str">
        <f t="shared" si="319"/>
        <v>DIO1</v>
      </c>
      <c r="D1276" s="2">
        <v>130</v>
      </c>
      <c r="E1276" s="3">
        <f t="shared" si="320"/>
        <v>2</v>
      </c>
      <c r="F1276" s="3">
        <f t="shared" si="320"/>
        <v>10</v>
      </c>
      <c r="G1276" s="3">
        <v>0</v>
      </c>
      <c r="H1276" s="55">
        <f>+H1275</f>
        <v>11</v>
      </c>
      <c r="I1276" s="54"/>
      <c r="J1276" s="208"/>
      <c r="K1276" s="2"/>
      <c r="M1276" s="2"/>
      <c r="N1276" s="2"/>
      <c r="V1276" s="1" t="str">
        <f t="shared" si="316"/>
        <v>2.10\0.11:</v>
      </c>
      <c r="Y1276" s="7"/>
      <c r="Z1276" s="206"/>
      <c r="AA1276" s="206"/>
      <c r="AB1276" s="7"/>
      <c r="AC1276" s="7"/>
      <c r="AD1276" s="7"/>
      <c r="AE1276" s="7"/>
      <c r="AH1276" s="205"/>
      <c r="AI1276" s="205"/>
      <c r="AJ1276" s="200"/>
      <c r="AM1276" s="3"/>
    </row>
    <row r="1277" spans="1:39" x14ac:dyDescent="0.3">
      <c r="A1277" s="5" t="str">
        <f t="shared" si="318"/>
        <v>SUB902</v>
      </c>
      <c r="B1277" s="1" t="s">
        <v>848</v>
      </c>
      <c r="C1277" s="2" t="str">
        <f t="shared" si="319"/>
        <v>DIO1</v>
      </c>
      <c r="D1277" s="2">
        <v>130</v>
      </c>
      <c r="E1277" s="3">
        <f t="shared" si="320"/>
        <v>2</v>
      </c>
      <c r="F1277" s="3">
        <f t="shared" si="320"/>
        <v>10</v>
      </c>
      <c r="G1277" s="3">
        <v>0</v>
      </c>
      <c r="H1277" s="55">
        <f>+H1276</f>
        <v>11</v>
      </c>
      <c r="I1277" s="54"/>
      <c r="J1277" s="208"/>
      <c r="K1277" s="2"/>
      <c r="M1277" s="2"/>
      <c r="N1277" s="2"/>
      <c r="V1277" s="1" t="str">
        <f t="shared" si="316"/>
        <v>2.10\0.11:</v>
      </c>
      <c r="Y1277" s="7"/>
      <c r="Z1277" s="206"/>
      <c r="AA1277" s="206"/>
      <c r="AB1277" s="7"/>
      <c r="AC1277" s="7"/>
      <c r="AD1277" s="7"/>
      <c r="AE1277" s="7"/>
      <c r="AH1277" s="205"/>
      <c r="AI1277" s="205"/>
      <c r="AJ1277" s="200"/>
      <c r="AM1277" s="3"/>
    </row>
    <row r="1278" spans="1:39" ht="13.5" thickBot="1" x14ac:dyDescent="0.35">
      <c r="A1278" s="5" t="str">
        <f t="shared" si="318"/>
        <v>SUB902</v>
      </c>
      <c r="B1278" s="1" t="s">
        <v>848</v>
      </c>
      <c r="C1278" s="2" t="str">
        <f t="shared" si="319"/>
        <v>DIO1</v>
      </c>
      <c r="D1278" s="2">
        <v>130</v>
      </c>
      <c r="E1278" s="3">
        <f t="shared" si="320"/>
        <v>2</v>
      </c>
      <c r="F1278" s="3">
        <f t="shared" si="320"/>
        <v>10</v>
      </c>
      <c r="G1278" s="3">
        <v>0</v>
      </c>
      <c r="H1278" s="55">
        <f>+H1277</f>
        <v>11</v>
      </c>
      <c r="I1278" s="59"/>
      <c r="J1278" s="207"/>
      <c r="K1278" s="2"/>
      <c r="M1278" s="2"/>
      <c r="N1278" s="2"/>
      <c r="V1278" s="1" t="str">
        <f t="shared" si="316"/>
        <v>2.10\0.11:</v>
      </c>
      <c r="Y1278" s="7"/>
      <c r="Z1278" s="206"/>
      <c r="AA1278" s="206"/>
      <c r="AB1278" s="7"/>
      <c r="AC1278" s="7"/>
      <c r="AD1278" s="7"/>
      <c r="AE1278" s="7"/>
      <c r="AH1278" s="205"/>
      <c r="AI1278" s="205"/>
      <c r="AJ1278" s="200"/>
      <c r="AM1278" s="3"/>
    </row>
    <row r="1279" spans="1:39" x14ac:dyDescent="0.3">
      <c r="O1279" s="41"/>
      <c r="P1279" s="41"/>
      <c r="Q1279" s="41"/>
      <c r="R1279" s="41"/>
      <c r="S1279" s="41"/>
      <c r="T1279" s="41"/>
      <c r="AB1279" s="7"/>
      <c r="AH1279" s="205"/>
      <c r="AI1279" s="205"/>
      <c r="AJ1279" s="200"/>
      <c r="AM1279" s="3"/>
    </row>
    <row r="1280" spans="1:39" x14ac:dyDescent="0.3">
      <c r="O1280" s="41"/>
      <c r="P1280" s="41"/>
      <c r="Q1280" s="41"/>
      <c r="R1280" s="41"/>
      <c r="S1280" s="41"/>
      <c r="T1280" s="41"/>
      <c r="AB1280" s="7"/>
      <c r="AM1280" s="3"/>
    </row>
    <row r="1281" spans="1:39" x14ac:dyDescent="0.3">
      <c r="O1281" s="41"/>
      <c r="P1281" s="41"/>
      <c r="Q1281" s="41"/>
      <c r="R1281" s="41"/>
      <c r="S1281" s="41"/>
      <c r="T1281" s="41"/>
      <c r="AB1281" s="7"/>
      <c r="AM1281" s="3"/>
    </row>
    <row r="1282" spans="1:39" ht="29" x14ac:dyDescent="0.3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30" t="s">
        <v>843</v>
      </c>
      <c r="L1282" s="2"/>
      <c r="M1282" s="2">
        <v>4</v>
      </c>
      <c r="N1282" s="1" t="s">
        <v>847</v>
      </c>
      <c r="O1282" s="1" t="s">
        <v>61</v>
      </c>
      <c r="P1282" s="1" t="s">
        <v>846</v>
      </c>
      <c r="Q1282" s="2" t="s">
        <v>840</v>
      </c>
      <c r="R1282" s="2"/>
      <c r="S1282" s="1" t="s">
        <v>839</v>
      </c>
      <c r="T1282" s="1" t="s">
        <v>845</v>
      </c>
      <c r="V1282" s="2"/>
      <c r="Y1282" s="204" t="s">
        <v>844</v>
      </c>
      <c r="AG1282" s="203" t="s">
        <v>537</v>
      </c>
      <c r="AH1282" s="203">
        <v>1</v>
      </c>
      <c r="AI1282" s="203">
        <v>2</v>
      </c>
      <c r="AJ1282" s="203">
        <v>3</v>
      </c>
      <c r="AK1282" s="203">
        <v>4</v>
      </c>
      <c r="AL1282" s="1"/>
      <c r="AM1282" s="2"/>
    </row>
    <row r="1283" spans="1:39" ht="29" x14ac:dyDescent="0.3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30" t="s">
        <v>843</v>
      </c>
      <c r="L1283" s="2"/>
      <c r="M1283" s="2">
        <v>4</v>
      </c>
      <c r="N1283" s="1" t="s">
        <v>842</v>
      </c>
      <c r="O1283" s="1" t="s">
        <v>61</v>
      </c>
      <c r="P1283" s="1" t="s">
        <v>841</v>
      </c>
      <c r="Q1283" s="2" t="s">
        <v>840</v>
      </c>
      <c r="R1283" s="2"/>
      <c r="S1283" s="1" t="s">
        <v>839</v>
      </c>
      <c r="T1283" s="1" t="s">
        <v>838</v>
      </c>
      <c r="V1283" s="2"/>
      <c r="Y1283" s="204" t="s">
        <v>837</v>
      </c>
      <c r="AG1283" s="203" t="s">
        <v>537</v>
      </c>
      <c r="AH1283" s="203">
        <v>5</v>
      </c>
      <c r="AI1283" s="203">
        <v>6</v>
      </c>
      <c r="AJ1283" s="203">
        <v>7</v>
      </c>
      <c r="AK1283" s="203">
        <v>8</v>
      </c>
      <c r="AL1283" s="1"/>
      <c r="AM1283" s="2"/>
    </row>
    <row r="1284" spans="1:39" ht="14.5" x14ac:dyDescent="0.3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Q1284" s="2"/>
      <c r="R1284" s="2"/>
      <c r="V1284" s="2"/>
      <c r="AG1284" s="202" t="s">
        <v>537</v>
      </c>
      <c r="AH1284" s="202">
        <v>9</v>
      </c>
      <c r="AI1284" s="202">
        <v>10</v>
      </c>
      <c r="AJ1284" s="202">
        <v>11</v>
      </c>
      <c r="AK1284" s="202">
        <v>12</v>
      </c>
      <c r="AL1284" s="1"/>
      <c r="AM1284" s="2"/>
    </row>
    <row r="1285" spans="1:39" ht="14.5" x14ac:dyDescent="0.3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V1285" s="2"/>
      <c r="AG1285" s="202" t="s">
        <v>537</v>
      </c>
      <c r="AH1285" s="202">
        <v>13</v>
      </c>
      <c r="AI1285" s="202">
        <v>14</v>
      </c>
      <c r="AJ1285" s="202">
        <v>15</v>
      </c>
      <c r="AK1285" s="202">
        <v>16</v>
      </c>
      <c r="AL1285" s="1"/>
      <c r="AM1285" s="2"/>
    </row>
    <row r="1286" spans="1:39" ht="14.5" x14ac:dyDescent="0.3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V1286" s="2"/>
      <c r="AG1286" s="202" t="s">
        <v>537</v>
      </c>
      <c r="AH1286" s="202">
        <v>17</v>
      </c>
      <c r="AI1286" s="202">
        <v>18</v>
      </c>
      <c r="AJ1286" s="202">
        <v>19</v>
      </c>
      <c r="AK1286" s="202">
        <v>20</v>
      </c>
      <c r="AL1286" s="1"/>
      <c r="AM1286" s="2"/>
    </row>
    <row r="1287" spans="1:39" ht="14.5" x14ac:dyDescent="0.3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V1287" s="2"/>
      <c r="AG1287" s="202" t="s">
        <v>537</v>
      </c>
      <c r="AH1287" s="202">
        <v>21</v>
      </c>
      <c r="AI1287" s="202">
        <v>22</v>
      </c>
      <c r="AJ1287" s="202">
        <v>23</v>
      </c>
      <c r="AK1287" s="202">
        <v>24</v>
      </c>
      <c r="AL1287" s="1"/>
      <c r="AM1287" s="2"/>
    </row>
    <row r="1288" spans="1:39" ht="14.5" x14ac:dyDescent="0.3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V1288" s="2"/>
      <c r="AG1288" s="202" t="s">
        <v>537</v>
      </c>
      <c r="AH1288" s="202">
        <v>25</v>
      </c>
      <c r="AI1288" s="202">
        <v>26</v>
      </c>
      <c r="AJ1288" s="202">
        <v>27</v>
      </c>
      <c r="AK1288" s="202">
        <v>28</v>
      </c>
      <c r="AL1288" s="1"/>
      <c r="AM1288" s="2"/>
    </row>
    <row r="1289" spans="1:39" ht="14.5" x14ac:dyDescent="0.3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V1289" s="2"/>
      <c r="AG1289" s="202" t="s">
        <v>537</v>
      </c>
      <c r="AH1289" s="202">
        <v>29</v>
      </c>
      <c r="AI1289" s="202">
        <v>30</v>
      </c>
      <c r="AJ1289" s="202">
        <v>31</v>
      </c>
      <c r="AK1289" s="202">
        <v>32</v>
      </c>
      <c r="AL1289" s="1"/>
      <c r="AM1289" s="2"/>
    </row>
    <row r="1290" spans="1:39" ht="14.5" x14ac:dyDescent="0.3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V1290" s="2"/>
      <c r="AG1290" s="202" t="s">
        <v>537</v>
      </c>
      <c r="AH1290" s="202">
        <v>33</v>
      </c>
      <c r="AI1290" s="202">
        <v>34</v>
      </c>
      <c r="AJ1290" s="202">
        <v>35</v>
      </c>
      <c r="AK1290" s="202">
        <v>36</v>
      </c>
      <c r="AL1290" s="1"/>
      <c r="AM1290" s="2"/>
    </row>
    <row r="1291" spans="1:39" ht="14.5" x14ac:dyDescent="0.3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V1291" s="2"/>
      <c r="AG1291" s="202" t="s">
        <v>537</v>
      </c>
      <c r="AH1291" s="202">
        <v>37</v>
      </c>
      <c r="AI1291" s="202">
        <v>38</v>
      </c>
      <c r="AJ1291" s="202">
        <v>39</v>
      </c>
      <c r="AK1291" s="202">
        <v>40</v>
      </c>
      <c r="AL1291" s="1"/>
      <c r="AM1291" s="2"/>
    </row>
    <row r="1292" spans="1:39" ht="14.5" x14ac:dyDescent="0.3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V1292" s="2"/>
      <c r="AG1292" s="202" t="s">
        <v>537</v>
      </c>
      <c r="AH1292" s="202">
        <v>41</v>
      </c>
      <c r="AI1292" s="202">
        <v>42</v>
      </c>
      <c r="AJ1292" s="202">
        <v>43</v>
      </c>
      <c r="AK1292" s="202">
        <v>44</v>
      </c>
      <c r="AL1292" s="1"/>
      <c r="AM1292" s="2"/>
    </row>
    <row r="1293" spans="1:39" ht="14.5" x14ac:dyDescent="0.3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V1293" s="2"/>
      <c r="AG1293" s="202" t="s">
        <v>537</v>
      </c>
      <c r="AH1293" s="202">
        <v>45</v>
      </c>
      <c r="AI1293" s="202">
        <v>46</v>
      </c>
      <c r="AJ1293" s="202">
        <v>47</v>
      </c>
      <c r="AK1293" s="202">
        <v>48</v>
      </c>
      <c r="AL1293" s="1"/>
      <c r="AM1293" s="2"/>
    </row>
    <row r="1294" spans="1:39" x14ac:dyDescent="0.3">
      <c r="B1294" s="1"/>
      <c r="C1294" s="1"/>
      <c r="D1294" s="2"/>
      <c r="E1294" s="3"/>
      <c r="F1294" s="3"/>
      <c r="G1294" s="3"/>
      <c r="H1294" s="1"/>
      <c r="I1294" s="1"/>
      <c r="J1294" s="1"/>
      <c r="AG1294" s="1"/>
      <c r="AH1294" s="1"/>
      <c r="AI1294" s="1"/>
      <c r="AJ1294" s="1"/>
      <c r="AK1294" s="1"/>
      <c r="AL1294" s="1"/>
      <c r="AM1294" s="2"/>
    </row>
    <row r="1295" spans="1:39" x14ac:dyDescent="0.3">
      <c r="B1295" s="1"/>
      <c r="C1295" s="1"/>
      <c r="D1295" s="2"/>
      <c r="E1295" s="3"/>
      <c r="F1295" s="3"/>
      <c r="G1295" s="3"/>
      <c r="H1295" s="1"/>
      <c r="I1295" s="1"/>
      <c r="J1295" s="1"/>
      <c r="AG1295" s="1"/>
      <c r="AH1295" s="1"/>
      <c r="AI1295" s="1"/>
      <c r="AJ1295" s="1"/>
      <c r="AK1295" s="1"/>
      <c r="AM1295" s="3"/>
    </row>
    <row r="1296" spans="1:39" x14ac:dyDescent="0.3">
      <c r="D1296" s="2"/>
      <c r="AG1296" s="1"/>
      <c r="AH1296" s="1"/>
      <c r="AI1296" s="1"/>
      <c r="AJ1296" s="1"/>
      <c r="AK1296" s="1"/>
    </row>
    <row r="1297" spans="1:39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O1297" s="41"/>
      <c r="P1297" s="41"/>
      <c r="Q1297" s="41"/>
      <c r="R1297" s="41"/>
      <c r="S1297" s="41"/>
      <c r="T1297" s="41"/>
      <c r="AB1297" s="7"/>
      <c r="AM1297" s="3"/>
    </row>
    <row r="1298" spans="1:39" x14ac:dyDescent="0.3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</row>
    <row r="1299" spans="1:39" x14ac:dyDescent="0.3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</row>
    <row r="1300" spans="1:39" x14ac:dyDescent="0.3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</row>
    <row r="1301" spans="1:39" x14ac:dyDescent="0.3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</row>
    <row r="1302" spans="1:39" x14ac:dyDescent="0.3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</row>
    <row r="1303" spans="1:39" x14ac:dyDescent="0.3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</row>
    <row r="1304" spans="1:39" x14ac:dyDescent="0.3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</row>
    <row r="1305" spans="1:39" x14ac:dyDescent="0.3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</row>
    <row r="1306" spans="1:39" x14ac:dyDescent="0.3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</row>
    <row r="1307" spans="1:39" x14ac:dyDescent="0.3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</row>
    <row r="1308" spans="1:39" x14ac:dyDescent="0.3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</row>
    <row r="1309" spans="1:39" x14ac:dyDescent="0.3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</row>
    <row r="1310" spans="1:39" x14ac:dyDescent="0.3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</row>
    <row r="1311" spans="1:39" x14ac:dyDescent="0.3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</row>
    <row r="1312" spans="1:39" x14ac:dyDescent="0.3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</row>
    <row r="1313" spans="1:20" x14ac:dyDescent="0.3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</row>
    <row r="1314" spans="1:20" x14ac:dyDescent="0.3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</row>
    <row r="1315" spans="1:20" x14ac:dyDescent="0.3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</row>
    <row r="1316" spans="1:20" x14ac:dyDescent="0.3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</row>
    <row r="1317" spans="1:20" x14ac:dyDescent="0.3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</row>
    <row r="1318" spans="1:20" x14ac:dyDescent="0.3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</row>
  </sheetData>
  <autoFilter ref="A1:AO1318" xr:uid="{00000000-0001-0000-0900-000000000000}"/>
  <mergeCells count="47">
    <mergeCell ref="I1102:J1102"/>
    <mergeCell ref="Y616:Y618"/>
    <mergeCell ref="Y1251:Y1253"/>
    <mergeCell ref="Y1199:Y1206"/>
    <mergeCell ref="Y1178:Y1187"/>
    <mergeCell ref="Y1191:Y1197"/>
    <mergeCell ref="Y1135:Y1136"/>
    <mergeCell ref="Y1142:Y1143"/>
    <mergeCell ref="Y1150:Y1152"/>
    <mergeCell ref="Y1103:Y1114"/>
    <mergeCell ref="Y1118:Y1119"/>
    <mergeCell ref="Y1156:Y1160"/>
    <mergeCell ref="Y1162:Y1166"/>
    <mergeCell ref="Y1167:Y1169"/>
    <mergeCell ref="Y1170:Y1172"/>
    <mergeCell ref="Y1173:Y1175"/>
    <mergeCell ref="I130:J130"/>
    <mergeCell ref="I131:J131"/>
    <mergeCell ref="I5:J5"/>
    <mergeCell ref="I6:J6"/>
    <mergeCell ref="I7:J7"/>
    <mergeCell ref="I8:J8"/>
    <mergeCell ref="I128:J128"/>
    <mergeCell ref="I129:J129"/>
    <mergeCell ref="I1100:J1100"/>
    <mergeCell ref="I1101:J1101"/>
    <mergeCell ref="I926:J926"/>
    <mergeCell ref="I775:J775"/>
    <mergeCell ref="I776:J776"/>
    <mergeCell ref="I777:J777"/>
    <mergeCell ref="I927:J927"/>
    <mergeCell ref="I928:J928"/>
    <mergeCell ref="I929:J929"/>
    <mergeCell ref="I778:J778"/>
    <mergeCell ref="I315:J315"/>
    <mergeCell ref="I316:J316"/>
    <mergeCell ref="I317:J317"/>
    <mergeCell ref="I1099:J1099"/>
    <mergeCell ref="I467:J467"/>
    <mergeCell ref="I468:J468"/>
    <mergeCell ref="I318:J318"/>
    <mergeCell ref="I633:J633"/>
    <mergeCell ref="I634:J634"/>
    <mergeCell ref="I635:J635"/>
    <mergeCell ref="I636:J636"/>
    <mergeCell ref="I469:J469"/>
    <mergeCell ref="I470:J470"/>
  </mergeCells>
  <conditionalFormatting sqref="K1 K308:K312 K629 K758:K759 K772 K1294:K1296 K1319:K1048576">
    <cfRule type="expression" dxfId="12" priority="66">
      <formula>AND(IF(COUNTIF($K1, "BME*"),TRUE,FALSE), OR($H1=2,$H1=8, $H1=10, $H1=11))</formula>
    </cfRule>
  </conditionalFormatting>
  <conditionalFormatting sqref="K3:K118">
    <cfRule type="expression" dxfId="11" priority="59">
      <formula>AND(IF(COUNTIF($K3, "BME*"),TRUE,FALSE), OR($H3=2,$H3=8, $H3=10, $H3=11))</formula>
    </cfRule>
  </conditionalFormatting>
  <conditionalFormatting sqref="K126:K301">
    <cfRule type="expression" dxfId="10" priority="45">
      <formula>AND(IF(COUNTIF($K126, "BME*"),TRUE,FALSE), OR($H126=2,$H126=8, $H126=10, $H126=11))</formula>
    </cfRule>
  </conditionalFormatting>
  <conditionalFormatting sqref="K302:K305">
    <cfRule type="expression" dxfId="9" priority="67">
      <formula>AND(IF(COUNTIF($K302, "BME*"),TRUE,FALSE), OR($H304=2,$H304=8, $H304=10, $H304=11))</formula>
    </cfRule>
  </conditionalFormatting>
  <conditionalFormatting sqref="K314:K449">
    <cfRule type="expression" dxfId="8" priority="18">
      <formula>AND(IF(COUNTIF($K314, "BME*"),TRUE,FALSE), OR($H314=2,$H314=8, $H314=10, $H314=11))</formula>
    </cfRule>
  </conditionalFormatting>
  <conditionalFormatting sqref="K457:K458">
    <cfRule type="expression" dxfId="7" priority="8">
      <formula>AND(IF(COUNTIF($K457, "BME*"),TRUE,FALSE), OR($H457=2,$H457=8, $H457=10, $H457=11))</formula>
    </cfRule>
  </conditionalFormatting>
  <conditionalFormatting sqref="K466:K619">
    <cfRule type="expression" dxfId="6" priority="7">
      <formula>AND(IF(COUNTIF($K466, "BME*"),TRUE,FALSE), OR($H466=2,$H466=8, $H466=10, $H466=11))</formula>
    </cfRule>
  </conditionalFormatting>
  <conditionalFormatting sqref="K625">
    <cfRule type="expression" dxfId="5" priority="6">
      <formula>AND(IF(COUNTIF($K625, "BME*"),TRUE,FALSE), OR($H625=2,$H625=8, $H625=10, $H625=11))</formula>
    </cfRule>
  </conditionalFormatting>
  <conditionalFormatting sqref="K632:K756">
    <cfRule type="expression" dxfId="4" priority="17">
      <formula>AND(IF(COUNTIF($K632, "BME*"),TRUE,FALSE), OR($H632=2,$H632=8, $H632=10, $H632=11))</formula>
    </cfRule>
  </conditionalFormatting>
  <conditionalFormatting sqref="K775:K915">
    <cfRule type="expression" dxfId="3" priority="4">
      <formula>AND(IF(COUNTIF($K775, "BME*"),TRUE,FALSE), OR($H775=2,$H775=8, $H775=10, $H775=11))</formula>
    </cfRule>
  </conditionalFormatting>
  <conditionalFormatting sqref="K921:K923">
    <cfRule type="expression" dxfId="2" priority="48">
      <formula>AND(IF(COUNTIF($K921, "BME*"),TRUE,FALSE), OR($H921=2,$H921=8, $H921=10, $H921=11))</formula>
    </cfRule>
  </conditionalFormatting>
  <conditionalFormatting sqref="K926:K1096">
    <cfRule type="expression" dxfId="1" priority="2">
      <formula>AND(IF(COUNTIF($K926, "BME*"),TRUE,FALSE), OR($H926=2,$H926=8, $H926=10, $H926=11))</formula>
    </cfRule>
  </conditionalFormatting>
  <conditionalFormatting sqref="K1099:K1283">
    <cfRule type="expression" dxfId="0" priority="1">
      <formula>AND(IF(COUNTIF($K1099, "BME*"),TRUE,FALSE), OR($H1099=2,$H1099=8, $H1099=10, $H1099=11))</formula>
    </cfRule>
  </conditionalFormatting>
  <printOptions gridLines="1"/>
  <pageMargins left="0.23622047244094491" right="0.23622047244094491" top="0.74803149606299213" bottom="0.74803149606299213" header="0.31496062992125984" footer="0.31496062992125984"/>
  <pageSetup paperSize="8" scale="82" fitToHeight="0" orientation="landscape" r:id="rId1"/>
  <headerFooter alignWithMargins="0">
    <oddHeader>&amp;C&amp;F</oddHeader>
    <oddFooter>&amp;R&amp;D&amp;C&amp;"Calibri"&amp;11&amp;K000000&amp;Z&amp;F_x000D_&amp;1#&amp;"Calibri"&amp;10&amp;KFFFFFFRioTintoNonBusiness</oddFooter>
  </headerFooter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Sub IO Assignment</vt:lpstr>
      <vt:lpstr>Field IO Assignment</vt:lpstr>
      <vt:lpstr>'Field IO Assignment'!Print_Area</vt:lpstr>
      <vt:lpstr>'Sub IO Assignment'!Print_Titles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Sleight, Timothy (RTIO-WORLEYPARSONS)</dc:creator>
  <cp:lastModifiedBy>Sleight, Timothy (RTIO-WORLEYPARSONS)</cp:lastModifiedBy>
  <dcterms:created xsi:type="dcterms:W3CDTF">2015-06-05T18:17:20Z</dcterms:created>
  <dcterms:modified xsi:type="dcterms:W3CDTF">2026-09-07T23:53:25Z</dcterms:modified>
</cp:coreProperties>
</file>